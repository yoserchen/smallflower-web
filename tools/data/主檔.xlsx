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<sst xmlns="http://schemas.openxmlformats.org/spreadsheetml/2006/main" count="23169" uniqueCount="7427">
  <si>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</si>
  <si>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</si>
  <si>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</si>
  <si>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</si>
  <si>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</si>
  <si>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</si>
  <si>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</si>
  <si>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</si>
  <si>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</si>
  <si>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</si>
  <si>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</si>
  <si>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</si>
  <si>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</si>
  <si>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</si>
  <si>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</si>
  <si>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</si>
  <si>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</si>
  <si>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</si>
  <si>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</si>
  <si>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</si>
  <si>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</si>
  <si>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</si>
  <si>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</si>
  <si>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</si>
  <si>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</si>
  <si>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</si>
  <si>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</si>
  <si>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</si>
  <si>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</si>
  <si>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</si>
  <si>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</si>
  <si>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</si>
  <si>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</si>
  <si>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</si>
  <si>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</si>
  <si>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</si>
  <si>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</si>
  <si>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</si>
  <si>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</si>
  <si>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</si>
  <si>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</si>
  <si>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</si>
  <si>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</si>
  <si>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</si>
  <si>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</si>
  <si>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</si>
  <si>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</si>
  <si>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</si>
  <si>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</si>
  <si>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</si>
  <si>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</si>
  <si>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</si>
  <si>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</si>
  <si>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小堇菜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</si>
  <si>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</si>
  <si>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</si>
  <si>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</si>
  <si>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</si>
  <si>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</si>
  <si>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</si>
  <si>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</si>
  <si>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</si>
  <si>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</si>
  <si>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</si>
  <si>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</si>
  <si>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</si>
  <si>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</si>
  <si>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</si>
  <si>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</si>
  <si>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</si>
  <si>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</si>
  <si>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</si>
  <si>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</si>
  <si>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</si>
  <si>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</si>
  <si>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</si>
  <si>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</si>
  <si>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</si>
  <si>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</si>
  <si>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</si>
  <si>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</si>
  <si>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</si>
  <si>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</si>
  <si>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</si>
  <si>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</si>
  <si>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</si>
  <si>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</si>
  <si>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</si>
  <si>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</si>
  <si>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</si>
  <si>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</si>
  <si>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</si>
  <si>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</si>
  <si>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</si>
  <si>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</si>
  <si>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</si>
  <si>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</si>
  <si>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</si>
  <si>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</si>
  <si>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</si>
  <si>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</si>
  <si>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</si>
  <si>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</si>
  <si>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</si>
  <si>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</si>
  <si>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</si>
  <si>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</si>
  <si>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</si>
  <si>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t>花開成一團，紅通通的花瓣，很難看出這是豆科的植物，不過有長出果莢，那就可以驗明正身了。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</si>
  <si>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</si>
  <si>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</si>
  <si>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</si>
  <si>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</si>
  <si>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</si>
  <si>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</si>
  <si>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</si>
  <si>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</si>
  <si>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</si>
  <si>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</si>
  <si>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長在水溝裡面，已經連續兩年花季到就會冒出來開花，不過花實在太小，得要非常仔細看才有機會發現。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</si>
  <si>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</si>
  <si>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</si>
  <si>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</si>
  <si>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</si>
  <si>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</si>
  <si>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</si>
  <si>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</si>
  <si>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</si>
  <si>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</si>
  <si>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</si>
  <si>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</si>
  <si>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</si>
  <si>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</si>
  <si>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</si>
  <si>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</si>
  <si>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</si>
  <si>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</si>
  <si>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</si>
  <si>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</si>
  <si>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</si>
  <si>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</si>
  <si>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</si>
  <si>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</si>
  <si>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</si>
  <si>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</si>
  <si>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</si>
  <si>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</si>
  <si>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</si>
  <si>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</si>
  <si>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</si>
  <si>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</si>
  <si>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</si>
  <si>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</si>
  <si>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t>這棵據說是從新加坡引進的，特色是他的葉片基部會反捲，好像一個囊狀，看到就會聯想到包粽子的竹葉。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</si>
  <si>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</si>
  <si>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</si>
  <si>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</si>
  <si>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t>筆柿長在三二三南門町靠近圍牆的地方，一般人不太知道植物園裡面還有這一棵。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</si>
  <si>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</si>
  <si>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</si>
  <si>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</si>
  <si>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</si>
  <si>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</si>
  <si>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</si>
  <si>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t>植物園在這棵酸藤上掛了牌子，看起來已經有點歷史。他攀爬在高處的樹冠上，花開的時候會掉在地上，才知道原來這裡有一棵酸藤。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</si>
  <si>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</si>
  <si>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</si>
  <si>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</si>
  <si>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</si>
  <si>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</si>
  <si>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</si>
  <si>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</si>
  <si>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</si>
  <si>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</si>
  <si>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</si>
  <si>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</si>
  <si>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t>想拍這朵花都需要抬起頭來往高處找，很大的一個花苞，常常被認為是果子。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</si>
  <si>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</si>
  <si>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</si>
  <si>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</si>
  <si>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</si>
  <si>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</si>
  <si>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</si>
  <si>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</si>
  <si>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</si>
  <si>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</si>
  <si>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</si>
  <si>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</si>
  <si>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</si>
  <si>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</si>
  <si>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</si>
  <si>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</si>
  <si>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</si>
  <si>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</si>
  <si>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</si>
  <si>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t>台灣原生種，花蕊有一個Y字，要把它拍出來才算拍到這一朵花。葉子有一種特殊的香氣。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</si>
  <si>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</si>
  <si>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</si>
  <si>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</si>
  <si>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t>台灣特有種，不太容易見到，金縷梅科的花形很有層次，果子有兩隻角，看起來像是Ｑ版的牛魔王。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</si>
  <si>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</si>
  <si>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</si>
  <si>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</si>
  <si>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</si>
  <si>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</si>
  <si>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</si>
  <si>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</si>
  <si>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</si>
  <si>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t>如果不是在植物園，就得要跑到海邊去尋寶了。施丁草的花期很長，白色的花瓣很迷人，拍他的爆果也是一種挑戰。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</si>
  <si>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</si>
  <si>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</si>
  <si>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</si>
  <si>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</si>
  <si>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t>葉子比花好看，每一片葉子的紋路都不一樣，在陽光下更顯得像是一幅幅的彩繪。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</si>
  <si>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</si>
  <si>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</si>
  <si>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</si>
  <si>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</si>
  <si>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</si>
  <si>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</si>
  <si>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</si>
  <si>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</si>
  <si>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</si>
  <si>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</si>
  <si>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</si>
  <si>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</si>
  <si>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</si>
  <si>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</si>
  <si>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</si>
  <si>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</si>
  <si>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</si>
  <si>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t>盯了這棵好幾年，完全不知道他會開花，應該是忽略掉了，花紅紅的，很小，果子土黃色，明顯比花要大許多。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</si>
  <si>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</si>
  <si>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</si>
  <si>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</si>
  <si>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</si>
  <si>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</si>
  <si>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t>這一朵開花的時候，很多花友都大老遠跑來，只為一睹她的風采。鬼督郵的花真的讓人無法抗拒。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</si>
  <si>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</si>
  <si>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</si>
  <si>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</si>
  <si>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t>南丹參，男單身。單單花名就可以玩起好笑的諧音梗。花形也像一隻大老鼠張開嘴的樣子，可作中藥。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</si>
  <si>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</si>
  <si>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</si>
  <si>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</si>
  <si>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</si>
  <si>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</si>
  <si>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</si>
  <si>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</si>
  <si>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</si>
  <si>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</si>
  <si>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</si>
  <si>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</si>
  <si>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</si>
  <si>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</si>
  <si>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</si>
  <si>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</si>
  <si>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</si>
  <si>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</si>
  <si>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</si>
  <si>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</si>
  <si>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</si>
  <si>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越橘葉蔓榕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</si>
  <si>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</si>
  <si>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</si>
  <si>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</si>
  <si>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</si>
  <si>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</si>
  <si>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</si>
  <si>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</si>
  <si>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</si>
  <si>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</si>
  <si>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</si>
  <si>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</si>
  <si>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</si>
  <si>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</si>
  <si>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</si>
  <si>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t>植物園有四五個地方種了鐵色，好像都是雄株，看不到會一直變色的果。仔細觀察他的葉子，葉脈不規則彎曲，看起來像一把鐮刀。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</si>
  <si>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</si>
  <si>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</si>
  <si>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</si>
  <si>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</si>
  <si>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</si>
  <si>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</si>
  <si>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t>這是柳葉菜科中花最小的一種植物，沒有花瓣，要看到他的花很不容易，就跟螞蟻一樣大。想找花，就看哪邊有螞蟻。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</si>
  <si>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</si>
  <si>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</si>
  <si>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</si>
  <si>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</si>
  <si>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</si>
  <si>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t>5,6,7,8,9,10</t>
  </si>
  <si>
    <t>非常漂亮的一朵花，只不過有點害羞，開的花都是往下垂。花期很長，幾乎每次去植物園都會去看看她。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</si>
  <si>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</si>
  <si>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</si>
  <si>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</si>
  <si>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</si>
  <si>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</si>
  <si>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</si>
  <si>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</si>
  <si>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</si>
  <si>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</si>
  <si>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</si>
  <si>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</si>
  <si>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</si>
  <si>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t>名字一聽會以為像耳勾草那樣的彎刀，不過並沒有。這是茄科的植物，果實會由綠轉黃變紅。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</si>
  <si>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</si>
  <si>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</si>
  <si>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</si>
  <si>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</si>
  <si>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</si>
  <si>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</si>
  <si>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</si>
  <si>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</si>
  <si>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</si>
  <si>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</si>
  <si>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</si>
  <si>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</si>
  <si>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</si>
  <si>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</si>
  <si>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</si>
  <si>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</si>
  <si>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</si>
  <si>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</si>
  <si>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t>植物園的月橘很多，長果月橘的花略大一些，果實也比較常，兩種放在一起比較會比較清楚。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</si>
  <si>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</si>
  <si>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</si>
  <si>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</si>
  <si>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</si>
  <si>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</si>
  <si>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</si>
  <si>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名人植物區</t>
  </si>
  <si>
    <t>拍這一朵花的時候換個角度，可能會有出乎意料之外的收穫，我就剛好找到一對金戒指。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</si>
  <si>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</si>
  <si>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</si>
  <si>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</si>
  <si>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</si>
  <si>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</si>
  <si>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</si>
  <si>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</si>
  <si>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</si>
  <si>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</si>
  <si>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</si>
  <si>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</si>
  <si>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</si>
  <si>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</si>
  <si>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</si>
  <si>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</si>
  <si>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</si>
  <si>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</si>
  <si>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</si>
  <si>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</si>
  <si>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</si>
  <si>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</si>
  <si>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</si>
  <si>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</si>
  <si>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</si>
  <si>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</si>
  <si>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</si>
  <si>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</si>
  <si>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</si>
  <si>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</si>
  <si>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</si>
  <si>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</si>
  <si>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</si>
  <si>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</si>
  <si>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</si>
  <si>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</si>
  <si>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</si>
  <si>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t>生命力很旺盛的植物，農民很頭疼的野草。曾經出現在方舟旁廁所前的草地上，後來整理過就沒有再出現。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</si>
  <si>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</si>
  <si>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</si>
  <si>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</si>
  <si>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</si>
  <si>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</si>
  <si>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</si>
  <si>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</si>
  <si>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</si>
  <si>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</si>
  <si>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</si>
  <si>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</si>
  <si>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</si>
  <si>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不收錄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</si>
  <si>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</si>
  <si>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</si>
  <si>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</si>
  <si>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</si>
  <si>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</si>
  <si>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</si>
  <si>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</si>
  <si>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</si>
  <si>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</si>
  <si>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</si>
  <si>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</si>
  <si>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</si>
  <si>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</si>
  <si>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</si>
  <si>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</si>
  <si>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</si>
  <si>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</si>
  <si>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t>這一棵加羅林魚木沒有台電的那麼壯觀，但是時間到也就會開花。他的旁邊還有一棵魚木。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</si>
  <si>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</si>
  <si>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</si>
  <si>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</si>
  <si>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</si>
  <si>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</si>
  <si>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</si>
  <si>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</si>
  <si>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</si>
  <si>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</si>
  <si>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</si>
  <si>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</si>
  <si>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</si>
  <si>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</si>
  <si>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</si>
  <si>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</si>
  <si>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</si>
  <si>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</si>
  <si>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</si>
  <si>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</si>
  <si>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</si>
  <si>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</si>
  <si>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</si>
  <si>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t>第一次見到的時候是果實，看起來很像是一個小漢堡，和福木的果實樣子差很多。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</si>
  <si>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</si>
  <si>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</si>
  <si>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4,5,6</t>
  </si>
  <si>
    <t>2026-04-28</t>
  </si>
  <si>
    <t>黃澄澄的花開起來非常顯眼，花由高處往下開，花期大約一個多月，果子熟成時略現黑色。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</si>
  <si>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</si>
  <si>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</si>
  <si>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</si>
  <si>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</si>
  <si>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</si>
  <si>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</si>
  <si>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t>豨薟也是原先在方舟旁廁所前廣場長出來的植物，曾經有一年不見，過了一年才又冒出來，生命力旺盛。目前已不見其蹤跡。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</si>
  <si>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</si>
  <si>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</si>
  <si>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</si>
  <si>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</si>
  <si>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</si>
  <si>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</si>
  <si>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</si>
  <si>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</si>
  <si>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</si>
  <si>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</si>
  <si>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</si>
  <si>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</si>
  <si>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</si>
  <si>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</si>
  <si>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</si>
  <si>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</si>
  <si>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</si>
  <si>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</si>
  <si>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</si>
  <si>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</si>
  <si>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</si>
  <si>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</si>
  <si>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</si>
  <si>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</si>
  <si>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</si>
  <si>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</si>
  <si>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</si>
  <si>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</si>
  <si>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</si>
  <si>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</si>
  <si>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</si>
  <si>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</si>
  <si>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</si>
  <si>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</si>
  <si>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</si>
  <si>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</si>
  <si>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</si>
  <si>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</si>
  <si>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</si>
  <si>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</si>
  <si>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</si>
  <si>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</si>
  <si>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</si>
  <si>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</si>
  <si>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</si>
  <si>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</si>
  <si>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</si>
  <si>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</si>
  <si>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</si>
  <si>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</si>
  <si>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</si>
  <si>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</si>
  <si>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</si>
  <si>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</si>
  <si>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</si>
  <si>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</si>
  <si>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</si>
  <si>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</si>
  <si>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</si>
  <si>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</si>
  <si>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</si>
  <si>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</si>
  <si>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</si>
  <si>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</si>
  <si>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</si>
  <si>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</si>
  <si>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</si>
  <si>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</si>
  <si>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</si>
  <si>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</si>
  <si>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</si>
  <si>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</si>
  <si>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</si>
  <si>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</si>
  <si>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</si>
  <si>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</si>
  <si>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</si>
  <si>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</si>
  <si>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</si>
  <si>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</si>
  <si>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</si>
  <si>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</si>
  <si>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</si>
  <si>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</si>
  <si>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</si>
  <si>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</si>
  <si>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</si>
  <si>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</si>
  <si>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</si>
  <si>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</si>
  <si>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</si>
  <si>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</si>
  <si>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</si>
  <si>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</si>
  <si>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</si>
  <si>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</si>
  <si>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</si>
  <si>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</si>
  <si>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</si>
  <si>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</si>
  <si>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</si>
  <si>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</si>
  <si>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</si>
  <si>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</si>
  <si>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</si>
  <si>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</si>
  <si>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</si>
  <si>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</si>
  <si>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</si>
  <si>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</si>
  <si>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</si>
  <si>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</si>
  <si>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</si>
  <si>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</si>
  <si>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</si>
  <si>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</si>
  <si>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</si>
  <si>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</si>
  <si>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</si>
  <si>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</si>
  <si>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</si>
  <si>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</si>
  <si>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</si>
  <si>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</si>
  <si>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</si>
  <si>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</si>
  <si>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</si>
  <si>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</si>
  <si>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</si>
  <si>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</si>
  <si>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</si>
  <si>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</si>
  <si>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</si>
  <si>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</si>
  <si>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</si>
  <si>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</si>
  <si>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</si>
  <si>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</si>
  <si>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</si>
  <si>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</si>
  <si>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</si>
  <si>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</si>
  <si>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</si>
  <si>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</si>
  <si>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</si>
  <si>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</si>
  <si>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</si>
  <si>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</si>
  <si>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</si>
  <si>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</si>
  <si>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</si>
  <si>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</si>
  <si>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</si>
  <si>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</si>
  <si>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</si>
  <si>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</si>
  <si>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</si>
  <si>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</si>
  <si>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</si>
  <si>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</si>
  <si>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</si>
  <si>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</si>
  <si>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</si>
  <si>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</si>
  <si>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</si>
  <si>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</si>
  <si>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</si>
  <si>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</si>
  <si>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</si>
  <si>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</si>
  <si>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</si>
  <si>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</si>
  <si>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</si>
  <si>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</si>
  <si>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</si>
  <si>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</si>
  <si>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</si>
  <si>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</si>
  <si>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</si>
  <si>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</si>
  <si>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</si>
  <si>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</si>
  <si>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</si>
  <si>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</si>
  <si>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</si>
  <si>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</si>
  <si>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</si>
  <si>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</si>
  <si>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</si>
  <si>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</si>
  <si>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</si>
  <si>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</si>
  <si>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</si>
  <si>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</si>
  <si>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</si>
  <si>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</si>
  <si>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</si>
  <si>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</si>
  <si>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</si>
  <si>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</si>
  <si>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</si>
  <si>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</si>
  <si>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</si>
  <si>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</si>
  <si>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</si>
  <si>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</si>
  <si>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</si>
  <si>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</si>
  <si>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</si>
  <si>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</si>
  <si>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</si>
  <si>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</si>
  <si>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</si>
  <si>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</si>
  <si>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</si>
  <si>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</si>
  <si>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</si>
  <si>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</si>
  <si>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</si>
  <si>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</si>
  <si>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</si>
  <si>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</si>
  <si>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</si>
  <si>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</si>
  <si>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</si>
  <si>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</si>
  <si>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</si>
  <si>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</si>
  <si>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</si>
  <si>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</si>
  <si>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</si>
  <si>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</si>
  <si>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</si>
  <si>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</si>
  <si>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</si>
  <si>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</si>
  <si>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</si>
  <si>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</si>
  <si>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</si>
  <si>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</si>
  <si>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</si>
  <si>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</si>
  <si>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</si>
  <si>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</si>
  <si>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</si>
  <si>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</si>
  <si>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</si>
  <si>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</si>
  <si>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</si>
  <si>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</si>
  <si>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</si>
  <si>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</si>
  <si>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</si>
  <si>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</si>
  <si>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</si>
  <si>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</si>
  <si>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</si>
  <si>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</si>
  <si>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</si>
  <si>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</si>
  <si>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</si>
  <si>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</si>
  <si>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</si>
  <si>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</si>
  <si>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</si>
  <si>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</si>
  <si>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</si>
  <si>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</si>
  <si>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</si>
  <si>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</si>
  <si>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</si>
  <si>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</si>
  <si>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</si>
  <si>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</si>
  <si>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</si>
  <si>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</si>
  <si>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</si>
  <si>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</si>
  <si>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</si>
  <si>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</si>
  <si>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</si>
  <si>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</si>
  <si>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</si>
  <si>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</si>
  <si>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</si>
  <si>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</si>
  <si>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</si>
  <si>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</si>
  <si>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</si>
  <si>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</si>
  <si>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</si>
  <si>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</si>
  <si>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</si>
  <si>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</si>
  <si>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</si>
  <si>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</si>
  <si>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</si>
  <si>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</si>
  <si>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</si>
  <si>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</si>
  <si>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</si>
  <si>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</si>
  <si>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</si>
  <si>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</si>
  <si>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</si>
  <si>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</si>
  <si>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</si>
  <si>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</si>
  <si>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</si>
  <si>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</si>
  <si>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</si>
  <si>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</si>
  <si>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</si>
  <si>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</si>
  <si>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</si>
  <si>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</si>
  <si>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</si>
  <si>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</si>
  <si>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</si>
  <si>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</si>
  <si>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</si>
  <si>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</si>
  <si>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</si>
  <si>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</si>
  <si>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</si>
  <si>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</si>
  <si>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</si>
  <si>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</si>
  <si>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</si>
  <si>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</si>
  <si>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</si>
  <si>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</si>
  <si>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</si>
  <si>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</si>
  <si>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</si>
  <si>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</si>
  <si>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</si>
  <si>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</si>
  <si>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</si>
  <si>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</si>
  <si>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</si>
  <si>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</si>
  <si>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</si>
  <si>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</si>
  <si>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</si>
  <si>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</si>
  <si>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</si>
  <si>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</si>
  <si>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</si>
  <si>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</si>
  <si>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</si>
  <si>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</si>
  <si>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</si>
  <si>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</si>
  <si>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</si>
  <si>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</si>
  <si>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</si>
  <si>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</si>
  <si>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</si>
  <si>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</si>
  <si>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</si>
  <si>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</si>
  <si>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</si>
  <si>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</si>
  <si>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</si>
  <si>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</si>
  <si>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</si>
  <si>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</si>
  <si>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</si>
  <si>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</si>
  <si>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</si>
  <si>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</si>
  <si>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</si>
  <si>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</si>
  <si>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</si>
  <si>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</si>
  <si>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</si>
  <si>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</si>
  <si>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</si>
  <si>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</si>
  <si>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</si>
  <si>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</si>
  <si>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</si>
  <si>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</si>
  <si>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</si>
  <si>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</si>
  <si>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</si>
  <si>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</si>
  <si>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</si>
  <si>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</si>
  <si>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</si>
  <si>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</si>
  <si>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</si>
  <si>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</si>
  <si>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</si>
  <si>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</si>
  <si>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</si>
  <si>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</si>
  <si>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</si>
  <si>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</si>
  <si>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</si>
  <si>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</si>
  <si>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</si>
  <si>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</si>
  <si>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</si>
  <si>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</si>
  <si>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</si>
  <si>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</si>
  <si>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</si>
  <si>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</si>
  <si>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</si>
  <si>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</si>
  <si>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</si>
  <si>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</si>
  <si>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</si>
  <si>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</si>
  <si>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</si>
  <si>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</si>
  <si>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</si>
  <si>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</si>
  <si>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</si>
  <si>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</si>
  <si>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</si>
  <si>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</si>
  <si>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</si>
  <si>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</si>
  <si>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</si>
  <si>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t>花的照片是在其他地方拍的，植物園的這一棵紫壇長得很隱密，幾乎看不到花，不過棕櫚區的步道上就可以看到很多落果。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</si>
  <si>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</si>
  <si>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</si>
  <si>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</si>
  <si>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</si>
  <si>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</si>
  <si>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</si>
  <si>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</si>
  <si>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</si>
  <si>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</si>
  <si>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</si>
  <si>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</si>
  <si>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</si>
  <si>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</si>
  <si>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</si>
  <si>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</si>
  <si>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</si>
  <si>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</si>
  <si>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</si>
  <si>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</si>
  <si>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</si>
  <si>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</si>
  <si>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</si>
  <si>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</si>
  <si>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</si>
  <si>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</si>
  <si>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</si>
  <si>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</si>
  <si>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</si>
  <si>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</si>
  <si>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</si>
  <si>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</si>
  <si>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</si>
  <si>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</si>
  <si>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</si>
  <si>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</si>
  <si>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</si>
  <si>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</si>
  <si>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</si>
  <si>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</si>
  <si>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</si>
  <si>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</si>
  <si>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</si>
  <si>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</si>
  <si>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</si>
  <si>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</si>
  <si>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</si>
  <si>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</si>
  <si>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</si>
  <si>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</si>
  <si>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</si>
  <si>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</si>
  <si>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</si>
  <si>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</si>
  <si>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</si>
  <si>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</si>
  <si>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</si>
  <si>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</si>
  <si>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</si>
  <si>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</si>
  <si>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</si>
  <si>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</si>
  <si>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</si>
  <si>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</si>
  <si>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</si>
  <si>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</si>
  <si>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</si>
  <si>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</si>
  <si>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</si>
  <si>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</si>
  <si>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</si>
  <si>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</si>
  <si>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</si>
  <si>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</si>
  <si>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</si>
  <si>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</si>
  <si>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</si>
  <si>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</si>
  <si>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</si>
  <si>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</si>
  <si>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</si>
  <si>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</si>
  <si>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</si>
  <si>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</si>
  <si>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</si>
  <si>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</si>
  <si>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</si>
  <si>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</si>
  <si>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</si>
  <si>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</si>
  <si>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</si>
  <si>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</si>
  <si>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</si>
  <si>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</si>
  <si>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</si>
  <si>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</si>
  <si>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</si>
  <si>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</si>
  <si>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</si>
  <si>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</si>
  <si>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</si>
  <si>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</si>
  <si>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</si>
  <si>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</si>
  <si>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</si>
  <si>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</si>
  <si>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</si>
  <si>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</si>
  <si>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</si>
  <si>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</si>
  <si>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</si>
  <si>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</si>
  <si>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</si>
  <si>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</si>
  <si>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</si>
  <si>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</si>
  <si>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</si>
  <si>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</si>
  <si>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</si>
  <si>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</si>
  <si>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</si>
  <si>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</si>
  <si>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</si>
  <si>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</si>
  <si>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</si>
  <si>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</si>
  <si>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</si>
  <si>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</si>
  <si>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</si>
  <si>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</si>
  <si>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</si>
  <si>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</si>
  <si>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</si>
  <si>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</si>
  <si>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</si>
  <si>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</si>
  <si>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</si>
  <si>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</si>
  <si>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</si>
  <si>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</si>
  <si>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</si>
  <si>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</si>
  <si>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</si>
  <si>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</si>
  <si>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</si>
  <si>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</si>
  <si>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</si>
  <si>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</si>
  <si>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</si>
  <si>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</si>
  <si>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</si>
  <si>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</si>
  <si>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</si>
  <si>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</si>
  <si>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</si>
  <si>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</si>
  <si>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</si>
  <si>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</si>
  <si>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</si>
  <si>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</si>
  <si>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</si>
  <si>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</si>
  <si>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</si>
  <si>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</si>
  <si>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</si>
  <si>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</si>
  <si>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</si>
  <si>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</si>
  <si>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</si>
  <si>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</si>
  <si>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</si>
  <si>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</si>
  <si>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</si>
  <si>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</si>
  <si>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</si>
  <si>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</si>
  <si>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</si>
  <si>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</si>
  <si>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</si>
  <si>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</si>
  <si>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</si>
  <si>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</si>
  <si>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</si>
  <si>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</si>
  <si>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</si>
  <si>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</si>
  <si>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</si>
  <si>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</si>
  <si>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</si>
  <si>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</si>
  <si>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</si>
  <si>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</si>
  <si>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</si>
  <si>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</si>
  <si>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</si>
  <si>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</si>
  <si>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</si>
  <si>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</si>
  <si>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</si>
  <si>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</si>
  <si>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</si>
  <si>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</si>
  <si>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</si>
  <si>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</si>
  <si>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</si>
  <si>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</si>
  <si>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</si>
  <si>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</si>
  <si>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</si>
  <si>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</si>
  <si>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</si>
  <si>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</si>
  <si>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</si>
  <si>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</si>
  <si>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</si>
  <si>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</si>
  <si>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</si>
  <si>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</si>
  <si>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</si>
  <si>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</si>
  <si>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</si>
  <si>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</si>
  <si>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</si>
  <si>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</si>
  <si>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</si>
  <si>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</si>
  <si>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</si>
  <si>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</si>
  <si>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</si>
  <si>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</si>
  <si>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</si>
  <si>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</si>
  <si>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</si>
  <si>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</si>
  <si>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</si>
  <si>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</si>
  <si>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</si>
  <si>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</si>
  <si>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</si>
  <si>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</si>
  <si>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</si>
  <si>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</si>
  <si>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</si>
  <si>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</si>
  <si>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</si>
  <si>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</si>
  <si>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</si>
  <si>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</si>
  <si>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</si>
  <si>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</si>
  <si>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</si>
  <si>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</si>
  <si>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</si>
  <si>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</si>
  <si>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</si>
  <si>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</si>
  <si>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</si>
  <si>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</si>
  <si>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</si>
  <si>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</si>
  <si>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</si>
  <si>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</si>
  <si>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</si>
  <si>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</si>
  <si>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</si>
  <si>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</si>
  <si>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</si>
  <si>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</si>
  <si>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</si>
  <si>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</si>
  <si>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</si>
  <si>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</si>
  <si>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</si>
  <si>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</si>
  <si>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</si>
  <si>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</si>
  <si>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</si>
  <si>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</si>
  <si>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</si>
  <si>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</si>
  <si>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</si>
  <si>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</si>
  <si>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</si>
  <si>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</si>
  <si>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</si>
  <si>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</si>
  <si>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</si>
  <si>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</si>
  <si>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</si>
  <si>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</si>
  <si>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</si>
  <si>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</si>
  <si>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</si>
  <si>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</si>
  <si>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</si>
  <si>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</si>
  <si>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</si>
  <si>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</si>
  <si>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</si>
  <si>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</si>
  <si>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</si>
  <si>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</si>
  <si>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</si>
  <si>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</si>
  <si>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</si>
  <si>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</si>
  <si>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</si>
  <si>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</si>
  <si>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</si>
  <si>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</si>
  <si>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</si>
  <si>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</si>
  <si>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</si>
  <si>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</si>
  <si>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</si>
  <si>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</si>
  <si>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</si>
  <si>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</si>
  <si>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</si>
  <si>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</si>
  <si>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</si>
  <si>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</si>
  <si>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</si>
  <si>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</si>
  <si>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</si>
  <si>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</si>
  <si>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</si>
  <si>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</si>
  <si>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</si>
  <si>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</si>
  <si>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</si>
  <si>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</si>
  <si>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</si>
  <si>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</si>
  <si>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</si>
  <si>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</si>
  <si>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</si>
  <si>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</si>
  <si>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</si>
  <si>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</si>
  <si>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</si>
  <si>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</si>
  <si>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</si>
  <si>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</si>
  <si>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</si>
  <si>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</si>
  <si>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</si>
  <si>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</si>
  <si>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</si>
  <si>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</si>
  <si>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</si>
  <si>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</si>
  <si>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</si>
  <si>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</si>
  <si>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</si>
  <si>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</si>
  <si>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</si>
  <si>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</si>
  <si>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</si>
  <si>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</si>
  <si>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</si>
  <si>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</si>
  <si>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</si>
  <si>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</si>
  <si>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</si>
  <si>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</si>
  <si>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</si>
  <si>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</si>
  <si>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</si>
  <si>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</si>
  <si>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</si>
  <si>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</si>
  <si>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</si>
  <si>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</si>
  <si>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</si>
  <si>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</si>
  <si>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</si>
  <si>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</si>
  <si>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</si>
  <si>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</si>
  <si>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</si>
  <si>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</si>
  <si>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</si>
  <si>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</si>
  <si>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</si>
  <si>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</si>
  <si>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</si>
  <si>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</si>
  <si>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</si>
  <si>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</si>
  <si>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</si>
  <si>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</si>
  <si>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</si>
  <si>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</si>
  <si>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</si>
  <si>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</si>
  <si>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</si>
  <si>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</si>
  <si>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</si>
  <si>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</si>
  <si>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</si>
  <si>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</si>
  <si>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</si>
  <si>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</si>
  <si>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</si>
  <si>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</si>
  <si>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</si>
  <si>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</si>
  <si>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</si>
  <si>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</si>
  <si>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</si>
  <si>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</si>
  <si>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</si>
  <si>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</si>
  <si>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</si>
  <si>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</si>
  <si>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</si>
  <si>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</si>
  <si>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</si>
  <si>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</si>
  <si>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</si>
  <si>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</si>
  <si>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</si>
  <si>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</si>
  <si>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</si>
  <si>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</si>
  <si>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</si>
  <si>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</si>
  <si>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</si>
  <si>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</si>
  <si>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</si>
  <si>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</si>
  <si>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</si>
  <si>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</si>
  <si>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</si>
  <si>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</si>
  <si>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</si>
  <si>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</si>
  <si>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</si>
  <si>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</si>
  <si>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</si>
  <si>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</si>
  <si>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</si>
  <si>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</si>
  <si>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</si>
  <si>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</si>
  <si>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</si>
  <si>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</si>
  <si>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</si>
  <si>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</si>
  <si>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</si>
  <si>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</si>
  <si>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</si>
  <si>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</si>
  <si>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</si>
  <si>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</si>
  <si>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</si>
  <si>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</si>
  <si>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</si>
  <si>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</si>
  <si>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</si>
  <si>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</si>
  <si>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</si>
  <si>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</si>
  <si>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</si>
  <si>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</si>
  <si>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</si>
  <si>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</si>
  <si>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</si>
  <si>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</si>
  <si>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</si>
  <si>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</si>
  <si>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</si>
  <si>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</si>
  <si>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</si>
  <si>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</si>
  <si>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</si>
  <si>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</si>
  <si>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</si>
  <si>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</si>
  <si>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</si>
  <si>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</si>
  <si>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</si>
  <si>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</si>
  <si>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</si>
  <si>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</si>
  <si>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</si>
  <si>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</si>
  <si>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</si>
  <si>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</si>
  <si>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</si>
  <si>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</si>
  <si>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</si>
  <si>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</si>
  <si>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</si>
  <si>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</si>
  <si>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</si>
  <si>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</si>
  <si>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</si>
  <si>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</si>
  <si>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</si>
  <si>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</si>
  <si>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</si>
  <si>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</si>
  <si>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</si>
  <si>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</si>
  <si>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</si>
  <si>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</si>
  <si>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</si>
  <si>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</si>
  <si>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</si>
  <si>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</si>
  <si>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</si>
  <si>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</si>
  <si>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</si>
  <si>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</si>
  <si>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</si>
  <si>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</si>
  <si>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</si>
  <si>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</si>
  <si>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</si>
  <si>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</si>
  <si>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</si>
  <si>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</si>
  <si>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</si>
  <si>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</si>
  <si>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</si>
  <si>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</si>
  <si>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</si>
  <si>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</si>
  <si>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</si>
  <si>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</si>
  <si>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</si>
  <si>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</si>
  <si>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</si>
  <si>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</si>
  <si>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</si>
  <si>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</si>
  <si>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</si>
  <si>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</si>
  <si>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</si>
  <si>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</si>
  <si>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</si>
  <si>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</si>
  <si>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</si>
  <si>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</si>
  <si>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</si>
  <si>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</si>
  <si>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</si>
  <si>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</si>
  <si>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</si>
  <si>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</si>
  <si>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t>很會開花的植物，是一種花形很特殊的原生種植物。花蕊上有腺體，未開花之前的花苞也很幼造型。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</si>
  <si>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</si>
  <si>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</si>
  <si>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</si>
  <si>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t>長在水邊的小小花，從背面看有點像是一隻海豚，從正面拍則像是張開大口，舌頭搖來搖去的小怪物，是我很愛拍的一朵小花。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</si>
  <si>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</si>
  <si>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</si>
  <si>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</si>
  <si>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t>垂果瓜，也有人叫垂瓜果，小黃花，在一片綠中很容易發現。是練習拍小花的好標的。果子有毒喔～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</si>
  <si>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</si>
  <si>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</si>
  <si>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</si>
  <si>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</si>
  <si>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</si>
  <si>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</si>
  <si>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</si>
  <si>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</si>
  <si>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</si>
  <si>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</si>
  <si>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</si>
  <si>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</si>
  <si>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</si>
  <si>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</si>
  <si>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</si>
  <si>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</si>
  <si>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</si>
  <si>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</si>
  <si>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</si>
  <si>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</si>
  <si>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</si>
  <si>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</si>
  <si>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</si>
  <si>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</si>
  <si>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</si>
  <si>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</si>
  <si>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</si>
  <si>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</si>
  <si>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</si>
  <si>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</si>
  <si>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</si>
  <si>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</si>
  <si>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</si>
  <si>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</si>
  <si>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</si>
  <si>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</si>
  <si>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</si>
  <si>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</si>
  <si>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</si>
  <si>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</si>
  <si>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</si>
  <si>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</si>
  <si>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</si>
  <si>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</si>
  <si>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</si>
  <si>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</si>
  <si>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</si>
  <si>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</si>
  <si>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</si>
  <si>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</si>
  <si>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</si>
  <si>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</si>
  <si>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</si>
  <si>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</si>
  <si>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</si>
  <si>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</si>
  <si>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</si>
  <si>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</si>
  <si>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</si>
  <si>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</si>
  <si>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</si>
  <si>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</si>
  <si>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</si>
  <si>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</si>
  <si>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</si>
  <si>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</si>
  <si>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</si>
  <si>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</si>
  <si>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</si>
  <si>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</si>
  <si>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</si>
  <si>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</si>
  <si>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</si>
  <si>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</si>
  <si>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</si>
  <si>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</si>
  <si>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</si>
  <si>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</si>
  <si>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</si>
  <si>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</si>
  <si>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</si>
  <si>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</si>
  <si>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</si>
  <si>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</si>
  <si>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</si>
  <si>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</si>
  <si>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</si>
  <si>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</si>
  <si>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</si>
  <si>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</si>
  <si>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</si>
  <si>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</si>
  <si>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</si>
  <si>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</si>
  <si>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</si>
  <si>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</si>
  <si>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</si>
  <si>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</si>
  <si>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</si>
  <si>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</si>
  <si>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</si>
  <si>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</si>
  <si>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</si>
  <si>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</si>
  <si>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</si>
  <si>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</si>
  <si>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</si>
  <si>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</si>
  <si>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</si>
  <si>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</si>
  <si>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</si>
  <si>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</si>
  <si>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</si>
  <si>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</si>
  <si>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</si>
  <si>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</si>
  <si>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</si>
  <si>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</si>
  <si>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</si>
  <si>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</si>
  <si>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</si>
  <si>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</si>
  <si>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</si>
  <si>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</si>
  <si>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</si>
  <si>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</si>
  <si>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</si>
  <si>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</si>
  <si>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</si>
  <si>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</si>
  <si>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</si>
  <si>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</si>
  <si>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</si>
  <si>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</si>
  <si>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</si>
  <si>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</si>
  <si>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</si>
  <si>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</si>
  <si>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</si>
  <si>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</si>
  <si>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</si>
  <si>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</si>
  <si>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</si>
  <si>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</si>
  <si>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</si>
  <si>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</si>
  <si>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</si>
  <si>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</si>
  <si>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</si>
  <si>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</si>
  <si>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</si>
  <si>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</si>
  <si>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</si>
  <si>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</si>
  <si>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</si>
  <si>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</si>
  <si>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</si>
  <si>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</si>
  <si>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</si>
  <si>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</si>
  <si>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</si>
  <si>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</si>
  <si>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</si>
  <si>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</si>
  <si>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</si>
  <si>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</si>
  <si>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</si>
  <si>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</si>
  <si>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</si>
  <si>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</si>
  <si>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</si>
  <si>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</si>
  <si>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</si>
  <si>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</si>
  <si>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</si>
  <si>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</si>
  <si>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</si>
  <si>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</si>
  <si>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</si>
  <si>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</si>
  <si>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</si>
  <si>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</si>
  <si>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</si>
  <si>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</si>
  <si>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</si>
  <si>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</si>
  <si>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</si>
  <si>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</si>
  <si>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</si>
  <si>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</si>
  <si>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</si>
  <si>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</si>
  <si>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</si>
  <si>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</si>
  <si>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</si>
  <si>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</si>
  <si>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</si>
  <si>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</si>
  <si>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</si>
  <si>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</si>
  <si>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</si>
  <si>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</si>
  <si>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</si>
  <si>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</si>
  <si>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</si>
  <si>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</si>
  <si>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</si>
  <si>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</si>
  <si>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</si>
  <si>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</si>
  <si>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</si>
  <si>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</si>
  <si>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</si>
  <si>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</si>
  <si>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</si>
  <si>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</si>
  <si>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</si>
  <si>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</si>
  <si>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</si>
  <si>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</si>
  <si>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</si>
  <si>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</si>
  <si>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</si>
  <si>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</si>
  <si>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</si>
  <si>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</si>
  <si>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</si>
  <si>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</si>
  <si>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</si>
  <si>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</si>
  <si>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</si>
  <si>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</si>
  <si>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</si>
  <si>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</si>
  <si>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</si>
  <si>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</si>
  <si>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</si>
  <si>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</si>
  <si>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</si>
  <si>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</si>
  <si>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</si>
  <si>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</si>
  <si>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</si>
  <si>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</si>
  <si>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</si>
  <si>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</si>
  <si>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</si>
  <si>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</si>
  <si>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</si>
  <si>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</si>
  <si>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</si>
  <si>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</si>
  <si>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</si>
  <si>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</si>
  <si>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</si>
  <si>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</si>
  <si>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</si>
  <si>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</si>
  <si>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</si>
  <si>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</si>
  <si>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</si>
  <si>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</si>
  <si>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</si>
  <si>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</si>
  <si>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</si>
  <si>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</si>
  <si>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</si>
  <si>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</si>
  <si>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</si>
  <si>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</si>
  <si>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</si>
  <si>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</si>
  <si>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</si>
  <si>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</si>
  <si>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</si>
  <si>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</si>
  <si>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</si>
  <si>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</si>
  <si>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</si>
  <si>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</si>
  <si>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</si>
  <si>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</si>
  <si>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</si>
  <si>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</si>
  <si>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</si>
  <si>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</si>
  <si>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</si>
  <si>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</si>
  <si>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</si>
  <si>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</si>
  <si>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</si>
  <si>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</si>
  <si>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</si>
  <si>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</si>
  <si>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</si>
  <si>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</si>
  <si>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</si>
  <si>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</si>
  <si>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</si>
  <si>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</si>
  <si>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</si>
  <si>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</si>
  <si>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</si>
  <si>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</si>
  <si>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</si>
  <si>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</si>
  <si>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</si>
  <si>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</si>
  <si>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</si>
  <si>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</si>
  <si>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</si>
  <si>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</si>
  <si>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</si>
  <si>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</si>
  <si>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</si>
  <si>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</si>
  <si>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</si>
  <si>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</si>
  <si>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</si>
  <si>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</si>
  <si>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</si>
  <si>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</si>
  <si>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</si>
  <si>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</si>
  <si>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</si>
  <si>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</si>
  <si>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</si>
  <si>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</si>
  <si>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</si>
  <si>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</si>
  <si>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</si>
  <si>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</si>
  <si>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</si>
  <si>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</si>
  <si>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</si>
  <si>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</si>
  <si>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</si>
  <si>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</si>
  <si>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</si>
  <si>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</si>
  <si>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</si>
  <si>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</si>
  <si>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</si>
  <si>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</si>
  <si>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</si>
  <si>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</si>
  <si>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</si>
  <si>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</si>
  <si>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</si>
  <si>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</si>
  <si>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</si>
  <si>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</si>
  <si>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</si>
  <si>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</si>
  <si>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</si>
  <si>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</si>
  <si>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</si>
  <si>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</si>
  <si>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</si>
  <si>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</si>
  <si>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</si>
  <si>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</si>
  <si>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</si>
  <si>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</si>
  <si>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</si>
  <si>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</si>
  <si>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</si>
  <si>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</si>
  <si>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</si>
  <si>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</si>
  <si>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</si>
  <si>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</si>
  <si>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</si>
  <si>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</si>
  <si>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</si>
  <si>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</si>
  <si>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</si>
  <si>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</si>
  <si>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</si>
  <si>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</si>
  <si>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</si>
  <si>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</si>
  <si>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t>植物園的蟠龍木是雄株，沒有能看到紅通通的果子。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</si>
  <si>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</si>
  <si>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</si>
  <si>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</si>
  <si>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</si>
  <si>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</si>
  <si>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</si>
  <si>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</si>
  <si>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</si>
  <si>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</si>
  <si>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</si>
  <si>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</si>
  <si>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</si>
  <si>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</si>
  <si>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</si>
  <si>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</si>
  <si>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</si>
  <si>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</si>
  <si>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</si>
  <si>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</si>
  <si>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</si>
  <si>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</si>
  <si>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</si>
  <si>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</si>
  <si>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</si>
  <si>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</si>
  <si>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</si>
  <si>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</si>
  <si>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</si>
  <si>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</si>
  <si>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</si>
  <si>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</si>
  <si>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</si>
  <si>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</si>
  <si>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</si>
  <si>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</si>
  <si>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</si>
  <si>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</si>
  <si>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</si>
  <si>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</si>
  <si>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</si>
  <si>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</si>
  <si>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</si>
  <si>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</si>
  <si>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</si>
  <si>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</si>
  <si>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</si>
  <si>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</si>
  <si>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</si>
  <si>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</si>
  <si>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</si>
  <si>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</si>
  <si>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</si>
  <si>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</si>
  <si>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</si>
  <si>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</si>
  <si>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</si>
  <si>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</si>
  <si>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</si>
  <si>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</si>
  <si>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</si>
  <si>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</si>
  <si>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</si>
  <si>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</si>
  <si>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</si>
  <si>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</si>
  <si>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</si>
  <si>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</si>
  <si>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</si>
  <si>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</si>
  <si>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</si>
  <si>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</si>
  <si>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</si>
  <si>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</si>
  <si>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</si>
  <si>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</si>
  <si>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</si>
  <si>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</si>
  <si>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</si>
  <si>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</si>
  <si>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</si>
  <si>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</si>
  <si>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</si>
  <si>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</si>
  <si>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</si>
  <si>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</si>
  <si>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</si>
  <si>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</si>
  <si>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</si>
  <si>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</si>
  <si>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</si>
  <si>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</si>
  <si>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</si>
  <si>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</si>
  <si>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</si>
  <si>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</si>
  <si>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</si>
  <si>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</si>
  <si>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</si>
  <si>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</si>
  <si>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</si>
  <si>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</si>
  <si>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</si>
  <si>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</si>
  <si>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</si>
  <si>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</si>
  <si>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</si>
  <si>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</si>
  <si>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</si>
  <si>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</si>
  <si>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</si>
  <si>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</si>
  <si>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</si>
  <si>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</si>
  <si>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</si>
  <si>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</si>
  <si>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</si>
  <si>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</si>
  <si>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</si>
  <si>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</si>
  <si>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</si>
  <si>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</si>
  <si>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</si>
  <si>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</si>
  <si>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</si>
  <si>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</si>
  <si>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</si>
  <si>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</si>
  <si>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</si>
  <si>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</si>
  <si>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</si>
  <si>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</si>
  <si>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</si>
  <si>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</si>
  <si>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</si>
  <si>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</si>
  <si>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</si>
  <si>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</si>
  <si>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</si>
  <si>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</si>
  <si>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</si>
  <si>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</si>
  <si>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</si>
  <si>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</si>
  <si>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</si>
  <si>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</si>
  <si>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</si>
  <si>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</si>
  <si>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</si>
  <si>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</si>
  <si>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</si>
  <si>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</si>
  <si>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</si>
  <si>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</si>
  <si>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</si>
  <si>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</si>
  <si>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</si>
  <si>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</si>
  <si>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</si>
  <si>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</si>
  <si>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</si>
  <si>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</si>
  <si>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</si>
  <si>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</si>
  <si>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</si>
  <si>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</si>
  <si>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</si>
  <si>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</si>
  <si>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</si>
  <si>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</si>
  <si>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</si>
  <si>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</si>
  <si>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</si>
  <si>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</si>
  <si>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</si>
  <si>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</si>
  <si>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</si>
  <si>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</si>
  <si>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</si>
  <si>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</si>
  <si>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</si>
  <si>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</si>
  <si>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</si>
  <si>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</si>
  <si>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</si>
  <si>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</si>
  <si>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</si>
  <si>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</si>
  <si>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</si>
  <si>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</si>
  <si>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</si>
  <si>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</si>
  <si>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</si>
  <si>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</si>
  <si>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</si>
  <si>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</si>
  <si>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</si>
  <si>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</si>
  <si>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</si>
  <si>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</si>
  <si>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</si>
  <si>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</si>
  <si>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</si>
  <si>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</si>
  <si>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</si>
  <si>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</si>
  <si>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</si>
  <si>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</si>
  <si>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</si>
  <si>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</si>
  <si>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</si>
  <si>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</si>
  <si>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</si>
  <si>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</si>
  <si>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</si>
  <si>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</si>
  <si>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</si>
  <si>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</si>
  <si>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</si>
  <si>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</si>
  <si>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</si>
  <si>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</si>
  <si>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</si>
  <si>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</si>
  <si>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</si>
  <si>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</si>
  <si>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</si>
  <si>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</si>
  <si>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</si>
  <si>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</si>
  <si>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</si>
  <si>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</si>
  <si>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</si>
  <si>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</si>
  <si>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</si>
  <si>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</si>
  <si>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</si>
  <si>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</si>
  <si>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</si>
  <si>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</si>
  <si>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</si>
  <si>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</si>
  <si>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</si>
  <si>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</si>
  <si>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</si>
  <si>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</si>
  <si>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</si>
  <si>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</si>
  <si>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</si>
  <si>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</si>
  <si>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</si>
  <si>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</si>
  <si>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</si>
  <si>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</si>
  <si>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</si>
  <si>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</si>
  <si>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</si>
  <si>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</si>
  <si>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</si>
  <si>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</si>
  <si>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</si>
  <si>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</si>
  <si>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</si>
  <si>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</si>
  <si>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</si>
  <si>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</si>
  <si>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</si>
  <si>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</si>
  <si>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</si>
  <si>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</si>
  <si>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</si>
  <si>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</si>
  <si>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</si>
  <si>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</si>
  <si>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</si>
  <si>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</si>
  <si>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</si>
  <si>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</si>
  <si>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</si>
  <si>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</si>
  <si>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</si>
  <si>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</si>
  <si>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</si>
  <si>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</si>
  <si>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</si>
  <si>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</si>
  <si>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</si>
  <si>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</si>
  <si>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</si>
  <si>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</si>
  <si>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</si>
  <si>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</si>
  <si>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</si>
  <si>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</si>
  <si>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</si>
  <si>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</si>
  <si>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</si>
  <si>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</si>
  <si>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</si>
  <si>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</si>
  <si>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</si>
  <si>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</si>
  <si>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</si>
  <si>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</si>
  <si>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</si>
  <si>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</si>
  <si>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</si>
  <si>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</si>
  <si>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</si>
  <si>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</si>
  <si>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</si>
  <si>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</si>
  <si>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</si>
  <si>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</si>
  <si>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</si>
  <si>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</si>
  <si>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</si>
  <si>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</si>
  <si>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</si>
  <si>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</si>
  <si>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</si>
  <si>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</si>
  <si>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</si>
  <si>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</si>
  <si>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</si>
  <si>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</si>
  <si>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</si>
  <si>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</si>
  <si>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</si>
  <si>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</si>
  <si>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</si>
  <si>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</si>
  <si>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</si>
  <si>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</si>
  <si>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</si>
  <si>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</si>
  <si>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</si>
  <si>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</si>
  <si>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</si>
  <si>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</si>
  <si>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</si>
  <si>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</si>
  <si>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</si>
  <si>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</si>
  <si>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</si>
  <si>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</si>
  <si>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</si>
  <si>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</si>
  <si>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</si>
  <si>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</si>
  <si>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</si>
  <si>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</si>
  <si>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</si>
  <si>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</si>
  <si>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</si>
  <si>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</si>
  <si>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</si>
  <si>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</si>
  <si>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</si>
  <si>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</si>
  <si>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</si>
  <si>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</si>
  <si>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</si>
  <si>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</si>
  <si>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</si>
  <si>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</si>
  <si>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</si>
  <si>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</si>
  <si>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</si>
  <si>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</si>
  <si>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</si>
  <si>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</si>
  <si>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</si>
  <si>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</si>
  <si>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</si>
  <si>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</si>
  <si>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</si>
  <si>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</si>
  <si>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</si>
  <si>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</si>
  <si>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</si>
  <si>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</si>
  <si>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</si>
  <si>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</si>
  <si>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</si>
  <si>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</si>
  <si>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</si>
  <si>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</si>
  <si>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</si>
  <si>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</si>
  <si>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</si>
  <si>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</si>
  <si>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</si>
  <si>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</si>
  <si>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</si>
  <si>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</si>
  <si>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</si>
  <si>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</si>
  <si>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</si>
  <si>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</si>
  <si>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</si>
  <si>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</si>
  <si>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</si>
  <si>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</si>
  <si>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</si>
  <si>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</si>
  <si>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</si>
  <si>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</si>
  <si>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</si>
  <si>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</si>
  <si>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</si>
  <si>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</si>
  <si>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</si>
  <si>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</si>
  <si>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</si>
  <si>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</si>
  <si>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</si>
  <si>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</si>
  <si>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</si>
  <si>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</si>
  <si>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</si>
  <si>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</si>
  <si>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</si>
  <si>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</si>
  <si>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</si>
  <si>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</si>
  <si>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</si>
  <si>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</si>
  <si>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</si>
  <si>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</si>
  <si>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</si>
  <si>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</si>
  <si>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</si>
  <si>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</si>
  <si>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</si>
  <si>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</si>
  <si>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</si>
  <si>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</si>
  <si>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</si>
  <si>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</si>
  <si>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</si>
  <si>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</si>
  <si>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</si>
  <si>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</si>
  <si>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</si>
  <si>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</si>
  <si>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</si>
  <si>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</si>
  <si>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</si>
  <si>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</si>
  <si>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</si>
  <si>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</si>
  <si>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</si>
  <si>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</si>
  <si>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</si>
  <si>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</si>
  <si>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</si>
  <si>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</si>
  <si>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</si>
  <si>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</si>
  <si>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</si>
  <si>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</si>
  <si>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</si>
  <si>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</si>
  <si>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</si>
  <si>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</si>
  <si>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</si>
  <si>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</si>
  <si>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</si>
  <si>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</si>
  <si>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</si>
  <si>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</si>
  <si>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</si>
  <si>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</si>
  <si>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</si>
  <si>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</si>
  <si>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</si>
  <si>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</si>
  <si>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</si>
  <si>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</si>
  <si>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</si>
  <si>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</si>
  <si>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</si>
  <si>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</si>
  <si>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</si>
  <si>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</si>
  <si>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</si>
  <si>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</si>
  <si>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</si>
  <si>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</si>
  <si>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</si>
  <si>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</si>
  <si>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</si>
  <si>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</si>
  <si>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</si>
  <si>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</si>
  <si>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</si>
  <si>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</si>
  <si>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</si>
  <si>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</si>
  <si>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</si>
  <si>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</si>
  <si>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</si>
  <si>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</si>
  <si>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</si>
  <si>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</si>
  <si>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</si>
  <si>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</si>
  <si>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</si>
  <si>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</si>
  <si>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</si>
  <si>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</si>
  <si>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</si>
  <si>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</si>
  <si>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</si>
  <si>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</si>
  <si>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</si>
  <si>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</si>
  <si>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</si>
  <si>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</si>
  <si>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</si>
  <si>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</si>
  <si>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</si>
  <si>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</si>
  <si>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</si>
  <si>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</si>
  <si>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</si>
  <si>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</si>
  <si>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</si>
  <si>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</si>
  <si>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</si>
  <si>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</si>
  <si>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</si>
  <si>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</si>
  <si>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</si>
  <si>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</si>
  <si>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</si>
  <si>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</si>
  <si>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</si>
  <si>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</si>
  <si>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</si>
  <si>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</si>
  <si>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</si>
  <si>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</si>
  <si>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</si>
  <si>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</si>
  <si>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</si>
  <si>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</si>
  <si>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</si>
  <si>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</si>
  <si>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</si>
  <si>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</si>
  <si>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</si>
  <si>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</si>
  <si>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</si>
  <si>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</si>
  <si>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</si>
  <si>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</si>
  <si>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</si>
  <si>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</si>
  <si>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</si>
  <si>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</si>
  <si>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</si>
  <si>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</si>
  <si>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</si>
  <si>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</si>
  <si>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</si>
  <si>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</si>
  <si>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</si>
  <si>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</si>
  <si>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</si>
  <si>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</si>
  <si>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</si>
  <si>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</si>
  <si>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</si>
  <si>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</si>
  <si>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</si>
  <si>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</si>
  <si>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</si>
  <si>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</si>
  <si>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</si>
  <si>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</si>
  <si>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</si>
  <si>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</si>
  <si>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</si>
  <si>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</si>
  <si>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</si>
  <si>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</si>
  <si>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</si>
  <si>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</si>
  <si>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</si>
  <si>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</si>
  <si>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</si>
  <si>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</si>
  <si>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</si>
  <si>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</si>
  <si>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</si>
  <si>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</si>
  <si>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</si>
  <si>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</si>
  <si>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</si>
  <si>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</si>
  <si>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</si>
  <si>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</si>
  <si>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</si>
  <si>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</si>
  <si>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</si>
  <si>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</si>
  <si>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</si>
  <si>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</si>
  <si>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</si>
  <si>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</si>
  <si>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</si>
  <si>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t>1,5,7,8,9,10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</si>
  <si>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</si>
  <si>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</si>
  <si>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</si>
  <si>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</si>
  <si>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</si>
  <si>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</si>
  <si>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</si>
  <si>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</si>
  <si>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</si>
  <si>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</si>
  <si>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</si>
  <si>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</si>
  <si>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</si>
  <si>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1,5,6,7,8,9,10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</si>
  <si>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</si>
  <si>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</si>
  <si>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</si>
  <si>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</si>
  <si>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</si>
  <si>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</si>
  <si>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</si>
  <si>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</si>
  <si>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</si>
  <si>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</si>
  <si>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</si>
  <si>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</si>
  <si>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</si>
  <si>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t>1,6,7,8,9,10,11,12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</si>
  <si>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</si>
  <si>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</si>
  <si>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</si>
  <si>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</si>
  <si>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</si>
  <si>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</si>
  <si>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</si>
  <si>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</si>
  <si>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</si>
  <si>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</si>
  <si>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</si>
  <si>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</si>
  <si>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</si>
  <si>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t>2,7,8,9,10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</si>
  <si>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</si>
  <si>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</si>
  <si>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</si>
  <si>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</si>
  <si>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</si>
  <si>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</si>
  <si>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</si>
  <si>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</si>
  <si>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</si>
  <si>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</si>
  <si>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</si>
  <si>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</si>
  <si>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</si>
  <si>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</si>
  <si>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</si>
  <si>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</si>
  <si>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</si>
  <si>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</si>
  <si>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</si>
  <si>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</si>
  <si>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</si>
  <si>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</si>
  <si>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</si>
  <si>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</si>
  <si>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</si>
  <si>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</si>
  <si>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</si>
  <si>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</si>
  <si>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</si>
  <si>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</si>
  <si>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</si>
  <si>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</si>
  <si>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</si>
  <si>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</si>
  <si>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</si>
  <si>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</si>
  <si>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</si>
  <si>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</si>
  <si>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</si>
  <si>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</si>
  <si>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</si>
  <si>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</si>
  <si>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</si>
  <si>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</si>
  <si>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</si>
  <si>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</si>
  <si>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</si>
  <si>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</si>
  <si>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</si>
  <si>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</si>
  <si>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</si>
  <si>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</si>
  <si>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</si>
  <si>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</si>
  <si>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</si>
  <si>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</si>
  <si>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</si>
  <si>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</si>
  <si>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</si>
  <si>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</si>
  <si>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</si>
  <si>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</si>
  <si>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</si>
  <si>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</si>
  <si>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</si>
  <si>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</si>
  <si>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</si>
  <si>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</si>
  <si>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</si>
  <si>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</si>
  <si>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</si>
  <si>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</si>
  <si>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</si>
  <si>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</si>
  <si>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</si>
  <si>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</si>
  <si>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</si>
  <si>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</si>
  <si>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</si>
  <si>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</si>
  <si>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</si>
  <si>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</si>
  <si>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</si>
  <si>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</si>
  <si>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</si>
  <si>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</si>
  <si>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</si>
  <si>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</si>
  <si>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</si>
  <si>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</si>
  <si>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</si>
  <si>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</si>
  <si>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</si>
  <si>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</si>
  <si>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</si>
  <si>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</si>
  <si>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</si>
  <si>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</si>
  <si>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</si>
  <si>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</si>
  <si>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</si>
  <si>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</si>
  <si>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</si>
  <si>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</si>
  <si>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</si>
  <si>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</si>
  <si>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</si>
  <si>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</si>
  <si>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</si>
  <si>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</si>
  <si>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</si>
  <si>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</si>
  <si>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</si>
  <si>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</si>
  <si>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</si>
  <si>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</si>
  <si>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</si>
  <si>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</si>
  <si>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</si>
  <si>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</si>
  <si>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</si>
  <si>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</si>
  <si>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</si>
  <si>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t>莖基部木質化，看起來跟竹子很像，可能是因此才得名。這是一朵超級小的白花，花藥顏色不明顯，能夠把這一朵拍得清楚，那功力就已經非常頂尖了。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</si>
  <si>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</si>
  <si>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</si>
  <si>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</si>
  <si>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</si>
  <si>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</si>
  <si>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</si>
  <si>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</si>
  <si>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</si>
  <si>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</si>
  <si>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</si>
  <si>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</si>
  <si>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</si>
  <si>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</si>
  <si>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</si>
  <si>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</si>
  <si>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</si>
  <si>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</si>
  <si>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</si>
  <si>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t>在方舟，荷花池邊，竹區，蕨類植物區，很多地方都可以看到他的身影，不過只有在花開的時候才會注意到他。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</si>
  <si>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</si>
  <si>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</si>
  <si>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</si>
  <si>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</si>
  <si>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</si>
  <si>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</si>
  <si>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</si>
  <si>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</si>
  <si>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</si>
  <si>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</si>
  <si>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</si>
  <si>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</si>
  <si>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</si>
  <si>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</si>
  <si>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</si>
  <si>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</si>
  <si>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</si>
  <si>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</si>
  <si>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</si>
  <si>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</si>
  <si>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</si>
  <si>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</si>
  <si>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</si>
  <si>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</si>
  <si>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</si>
  <si>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</si>
  <si>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</si>
  <si>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</si>
  <si>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</si>
  <si>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</si>
  <si>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</si>
  <si>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</si>
  <si>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</si>
  <si>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</si>
  <si>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</si>
  <si>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</si>
  <si>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</si>
  <si>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</si>
  <si>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</si>
  <si>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</si>
  <si>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</si>
  <si>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</si>
  <si>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</si>
  <si>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</si>
  <si>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</si>
  <si>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</si>
  <si>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</si>
  <si>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</si>
  <si>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</si>
  <si>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</si>
  <si>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</si>
  <si>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</si>
  <si>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</si>
  <si>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</si>
  <si>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</si>
  <si>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</si>
  <si>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</si>
  <si>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</si>
  <si>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</si>
  <si>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</si>
  <si>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</si>
  <si>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</si>
  <si>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</si>
  <si>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</si>
  <si>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</si>
  <si>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</si>
  <si>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</si>
  <si>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</si>
  <si>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</si>
  <si>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</si>
  <si>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</si>
  <si>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</si>
  <si>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</si>
  <si>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</si>
  <si>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</si>
  <si>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</si>
  <si>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</si>
  <si>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</si>
  <si>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</si>
  <si>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</si>
  <si>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</si>
  <si>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</si>
  <si>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</si>
  <si>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</si>
  <si>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</si>
  <si>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</si>
  <si>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</si>
  <si>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</si>
  <si>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</si>
  <si>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</si>
  <si>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</si>
  <si>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</si>
  <si>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</si>
  <si>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</si>
  <si>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</si>
  <si>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</si>
  <si>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</si>
  <si>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</si>
  <si>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</si>
  <si>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</si>
  <si>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</si>
  <si>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</si>
  <si>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</si>
  <si>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</si>
  <si>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</si>
  <si>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</si>
  <si>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</si>
  <si>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</si>
  <si>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</si>
  <si>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</si>
  <si>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</si>
  <si>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</si>
  <si>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</si>
  <si>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</si>
  <si>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</si>
  <si>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</si>
  <si>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</si>
  <si>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</si>
  <si>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</si>
  <si>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</si>
  <si>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</si>
  <si>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</si>
  <si>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</si>
  <si>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</si>
  <si>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</si>
  <si>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</si>
  <si>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</si>
  <si>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</si>
  <si>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</si>
  <si>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</si>
  <si>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</si>
  <si>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</si>
  <si>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</si>
  <si>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</si>
  <si>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</si>
  <si>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</si>
  <si>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</si>
  <si>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</si>
  <si>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</si>
  <si>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</si>
  <si>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</si>
  <si>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</si>
  <si>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</si>
  <si>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</si>
  <si>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</si>
  <si>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</si>
  <si>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</si>
  <si>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</si>
  <si>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</si>
  <si>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</si>
  <si>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</si>
  <si>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</si>
  <si>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</si>
  <si>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</si>
  <si>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</si>
  <si>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</si>
  <si>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</si>
  <si>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</si>
  <si>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</si>
  <si>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</si>
  <si>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</si>
  <si>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</si>
  <si>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</si>
  <si>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</si>
  <si>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</si>
  <si>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</si>
  <si>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</si>
  <si>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</si>
  <si>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</si>
  <si>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</si>
  <si>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</si>
  <si>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</si>
  <si>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</si>
  <si>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</si>
  <si>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</si>
  <si>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</si>
  <si>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</si>
  <si>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</si>
  <si>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</si>
  <si>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</si>
  <si>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</si>
  <si>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</si>
  <si>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</si>
  <si>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</si>
  <si>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</si>
  <si>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</si>
  <si>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</si>
  <si>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</si>
  <si>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</si>
  <si>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</si>
  <si>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</si>
  <si>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</si>
  <si>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</si>
  <si>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</si>
  <si>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</si>
  <si>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</si>
  <si>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</si>
  <si>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</si>
  <si>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</si>
  <si>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</si>
  <si>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</si>
  <si>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</si>
  <si>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</si>
  <si>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</si>
  <si>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</si>
  <si>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</si>
  <si>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</si>
  <si>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</si>
  <si>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</si>
  <si>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</si>
  <si>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</si>
  <si>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</si>
  <si>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</si>
  <si>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</si>
  <si>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葛瑪蘭芭蕉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</si>
  <si>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</si>
  <si>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</si>
  <si>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</si>
  <si>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</si>
  <si>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</si>
  <si>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t>植物園在方舟後方新中不久的樹，2026年就開花結果。豆科的迷你花，不容易拍，果莢倒是很大一串，會由綠逐漸變黑。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</si>
  <si>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</si>
  <si>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</si>
  <si>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</si>
  <si>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</si>
  <si>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</si>
  <si>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t>聽到這個名字請不要認為他是吃的喔，這是一朵很漂亮的花，值得細細欣賞。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</si>
  <si>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</si>
  <si>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</si>
  <si>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</si>
  <si>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</si>
  <si>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</si>
  <si>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</si>
  <si>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</si>
  <si>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</si>
  <si>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</si>
  <si>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</si>
  <si>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</si>
  <si>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</si>
  <si>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</si>
  <si>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</si>
  <si>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</si>
  <si>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</si>
  <si>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</si>
  <si>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</si>
  <si>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</si>
  <si>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</si>
  <si>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</si>
  <si>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</si>
  <si>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</si>
  <si>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</si>
  <si>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</si>
  <si>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</si>
  <si>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</si>
  <si>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</si>
  <si>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</si>
  <si>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</si>
  <si>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</si>
  <si>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</si>
  <si>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</si>
  <si>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</si>
  <si>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</si>
  <si>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</si>
  <si>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</si>
  <si>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</si>
  <si>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</si>
  <si>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</si>
  <si>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</si>
  <si>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</si>
  <si>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</si>
  <si>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</si>
  <si>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</si>
  <si>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</si>
  <si>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</si>
  <si>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</si>
  <si>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</si>
  <si>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</si>
  <si>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</si>
  <si>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</si>
  <si>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</si>
  <si>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</si>
  <si>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</si>
  <si>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</si>
  <si>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</si>
  <si>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</si>
  <si>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</si>
  <si>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</si>
  <si>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</si>
  <si>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</si>
  <si>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</si>
  <si>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</si>
  <si>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</si>
  <si>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</si>
  <si>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</si>
  <si>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</si>
  <si>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</si>
  <si>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</si>
  <si>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</si>
  <si>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</si>
  <si>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要辨識菲律賓紫檀和印度紫檀，最明顯的地方就是看兩者的果實，菲律賓的有毛，印度的無毛。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</si>
  <si>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</si>
  <si>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</si>
  <si>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</si>
  <si>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</si>
  <si>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</si>
  <si>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</si>
  <si>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</si>
  <si>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</si>
  <si>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</si>
  <si>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</si>
  <si>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檄樹就是一般說的諾麗果，兩性花，幾乎全年都有機會見到。果實熟成時會有一股惡臭味，通常是做成酵素食用。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</si>
  <si>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</si>
  <si>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</si>
  <si>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</si>
  <si>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</si>
  <si>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</si>
  <si>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</si>
  <si>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</si>
  <si>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</si>
  <si>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</si>
  <si>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</si>
  <si>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</si>
  <si>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</si>
  <si>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</si>
  <si>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</si>
  <si>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</si>
  <si>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</si>
  <si>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</si>
  <si>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</si>
  <si>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</si>
  <si>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</si>
  <si>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</si>
  <si>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</si>
  <si>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</si>
  <si>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</si>
  <si>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</si>
  <si>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</si>
  <si>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</si>
  <si>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</si>
  <si>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</si>
  <si>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</si>
  <si>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</si>
  <si>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</si>
  <si>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</si>
  <si>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</si>
  <si>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</si>
  <si>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</si>
  <si>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</si>
  <si>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</si>
  <si>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</si>
  <si>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</si>
  <si>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</si>
  <si>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</si>
  <si>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</si>
  <si>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</si>
  <si>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</si>
  <si>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</si>
  <si>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</si>
  <si>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</si>
  <si>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</si>
  <si>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</si>
  <si>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</si>
  <si>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</si>
  <si>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</si>
  <si>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</si>
  <si>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</si>
  <si>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</si>
  <si>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</si>
  <si>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</si>
  <si>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</si>
  <si>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</si>
  <si>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</si>
  <si>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</si>
  <si>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</si>
  <si>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t>1,2,3,4,5,6,7,8,9,10,11,12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</si>
  <si>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</si>
  <si>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</si>
  <si>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</si>
  <si>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</si>
  <si>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</si>
  <si>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</si>
  <si>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</si>
  <si>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</si>
  <si>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</si>
  <si>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</si>
  <si>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</si>
  <si>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</si>
  <si>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</si>
  <si>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</si>
  <si>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</si>
  <si>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</si>
  <si>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</si>
  <si>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</si>
  <si>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</si>
  <si>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</si>
  <si>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</si>
  <si>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</si>
  <si>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</si>
  <si>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</si>
  <si>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</si>
  <si>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</si>
  <si>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</si>
  <si>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</si>
  <si>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</si>
  <si>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</si>
  <si>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</si>
  <si>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</si>
  <si>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</si>
  <si>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</si>
  <si>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</si>
  <si>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</si>
  <si>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</si>
  <si>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</si>
  <si>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</si>
  <si>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</si>
  <si>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</si>
  <si>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</si>
  <si>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</si>
  <si>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</si>
  <si>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</si>
  <si>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</si>
  <si>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</si>
  <si>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</si>
  <si>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</si>
  <si>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</si>
  <si>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</si>
  <si>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</si>
  <si>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</si>
  <si>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</si>
  <si>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</si>
  <si>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</si>
  <si>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</si>
  <si>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</si>
  <si>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</si>
  <si>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</si>
  <si>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</si>
  <si>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</si>
  <si>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</si>
  <si>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</si>
  <si>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</si>
  <si>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</si>
  <si>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</si>
  <si>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</si>
  <si>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</si>
  <si>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</si>
  <si>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</si>
  <si>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</si>
  <si>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</si>
  <si>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</si>
  <si>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</si>
  <si>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</si>
  <si>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</si>
  <si>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</si>
  <si>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</si>
  <si>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</si>
  <si>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</si>
  <si>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</si>
  <si>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</si>
  <si>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</si>
  <si>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</si>
  <si>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</si>
  <si>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</si>
  <si>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</si>
  <si>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</si>
  <si>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</si>
  <si>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</si>
  <si>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</si>
  <si>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</si>
  <si>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</si>
  <si>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</si>
  <si>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</si>
  <si>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</si>
  <si>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</si>
  <si>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</si>
  <si>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</si>
  <si>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</si>
  <si>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</si>
  <si>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</si>
  <si>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</si>
  <si>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</si>
  <si>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</si>
  <si>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</si>
  <si>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</si>
  <si>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</si>
  <si>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</si>
  <si>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</si>
  <si>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</si>
  <si>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</si>
  <si>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</si>
  <si>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</si>
  <si>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</si>
  <si>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</si>
  <si>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</si>
  <si>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</si>
  <si>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</si>
  <si>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</si>
  <si>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</si>
  <si>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</si>
  <si>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</si>
  <si>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</si>
  <si>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</si>
  <si>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</si>
  <si>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</si>
  <si>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</si>
  <si>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</si>
  <si>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</si>
  <si>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</si>
  <si>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</si>
  <si>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</si>
  <si>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</si>
  <si>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</si>
  <si>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</si>
  <si>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</si>
  <si>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</si>
  <si>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</si>
  <si>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</si>
  <si>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</si>
  <si>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</si>
  <si>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</si>
  <si>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</si>
  <si>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</si>
  <si>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</si>
  <si>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</si>
  <si>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</si>
  <si>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</si>
  <si>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</si>
  <si>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</si>
  <si>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</si>
  <si>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</si>
  <si>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</si>
  <si>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</si>
  <si>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</si>
  <si>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</si>
  <si>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</si>
  <si>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</si>
  <si>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</si>
  <si>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</si>
  <si>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</si>
  <si>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</si>
  <si>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</si>
  <si>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</si>
  <si>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</si>
  <si>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</si>
  <si>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</si>
  <si>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</si>
  <si>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</si>
  <si>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</si>
  <si>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</si>
  <si>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</si>
  <si>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</si>
  <si>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</si>
  <si>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</si>
  <si>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</si>
  <si>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</si>
  <si>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</si>
  <si>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</si>
  <si>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</si>
  <si>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</si>
  <si>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</si>
  <si>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</si>
  <si>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</si>
  <si>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</si>
  <si>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</si>
  <si>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</si>
  <si>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</si>
  <si>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</si>
  <si>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</si>
  <si>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</si>
  <si>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</si>
  <si>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</si>
  <si>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</si>
  <si>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</si>
  <si>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</si>
  <si>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</si>
  <si>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</si>
  <si>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</si>
  <si>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</si>
  <si>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</si>
  <si>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</si>
  <si>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</si>
  <si>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</si>
  <si>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</si>
  <si>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</si>
  <si>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</si>
  <si>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</si>
  <si>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</si>
  <si>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</si>
  <si>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</si>
  <si>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</si>
  <si>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</si>
  <si>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</si>
  <si>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</si>
  <si>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</si>
  <si>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</si>
  <si>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</si>
  <si>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</si>
  <si>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</si>
  <si>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</si>
  <si>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</si>
  <si>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</si>
  <si>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</si>
  <si>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</si>
  <si>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</si>
  <si>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</si>
  <si>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</si>
  <si>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</si>
  <si>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</si>
  <si>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</si>
  <si>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</si>
  <si>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</si>
  <si>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</si>
  <si>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</si>
  <si>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</si>
  <si>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</si>
  <si>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</si>
  <si>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</si>
  <si>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</si>
  <si>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</si>
  <si>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</si>
  <si>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</si>
  <si>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</si>
  <si>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</si>
  <si>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</si>
  <si>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</si>
  <si>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t>以前看到樹上很多果子，卻不知道他的花長怎樣。直到有一次在荷花池邊半圓形廣場可以近看到花，才驚覺怎麼花這麼小。爆果露出果實時，看起來很像一頂紅色的安全帽。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</si>
  <si>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</si>
  <si>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</si>
  <si>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</si>
  <si>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</si>
  <si>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</si>
  <si>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</si>
  <si>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</si>
  <si>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t>一科一種的植物。很特殊，花超小超難拍，只有一年見到他開花，正在等著下一次，再把他的花好好拍個夠。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</si>
  <si>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</si>
  <si>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</si>
  <si>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</si>
  <si>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</si>
  <si>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</si>
  <si>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</si>
  <si>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</si>
  <si>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</si>
  <si>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</si>
  <si>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</si>
  <si>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</si>
  <si>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</si>
  <si>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</si>
  <si>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</si>
  <si>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</si>
  <si>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</si>
  <si>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</si>
  <si>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</si>
  <si>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</si>
  <si>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</si>
  <si>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</si>
  <si>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</si>
  <si>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</si>
  <si>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</si>
  <si>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</si>
  <si>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</si>
  <si>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</si>
  <si>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</si>
  <si>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</si>
  <si>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</si>
  <si>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</si>
  <si>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</si>
  <si>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</si>
  <si>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</si>
  <si>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</si>
  <si>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</si>
  <si>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</si>
  <si>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</si>
  <si>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</si>
  <si>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</si>
  <si>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</si>
  <si>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</si>
  <si>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</si>
  <si>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</si>
  <si>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</si>
  <si>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</si>
  <si>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</si>
  <si>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</si>
  <si>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</si>
  <si>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</si>
  <si>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</si>
  <si>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</si>
  <si>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</si>
  <si>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</si>
  <si>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</si>
  <si>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</si>
  <si>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</si>
  <si>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</si>
  <si>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</si>
  <si>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</si>
  <si>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</si>
  <si>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</si>
  <si>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</si>
  <si>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</si>
  <si>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</si>
  <si>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</si>
  <si>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</si>
  <si>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</si>
  <si>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</si>
  <si>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</si>
  <si>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</si>
  <si>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</si>
  <si>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</si>
  <si>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</si>
  <si>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</si>
  <si>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</si>
  <si>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</si>
  <si>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</si>
  <si>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</si>
  <si>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</si>
  <si>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</si>
  <si>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</si>
  <si>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</si>
  <si>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</si>
  <si>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</si>
  <si>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</si>
  <si>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</si>
  <si>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</si>
  <si>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</si>
  <si>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</si>
  <si>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</si>
  <si>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</si>
  <si>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</si>
  <si>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</si>
  <si>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</si>
  <si>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</si>
  <si>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</si>
  <si>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</si>
  <si>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</si>
  <si>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</si>
  <si>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</si>
  <si>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</si>
  <si>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</si>
  <si>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</si>
  <si>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</si>
  <si>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</si>
  <si>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</si>
  <si>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</si>
  <si>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</si>
  <si>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</si>
  <si>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</si>
  <si>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</si>
  <si>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</si>
  <si>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</si>
  <si>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</si>
  <si>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</si>
  <si>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</si>
  <si>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</si>
  <si>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</si>
  <si>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</si>
  <si>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</si>
  <si>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</si>
  <si>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</si>
  <si>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</si>
  <si>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</si>
  <si>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</si>
  <si>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</si>
  <si>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</si>
  <si>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</si>
  <si>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</si>
  <si>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</si>
  <si>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</si>
  <si>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</si>
  <si>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</si>
  <si>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</si>
  <si>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</si>
  <si>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</si>
  <si>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</si>
  <si>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</si>
  <si>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</si>
  <si>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</si>
  <si>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</si>
  <si>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</si>
  <si>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</si>
  <si>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</si>
  <si>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</si>
  <si>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</si>
  <si>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</si>
  <si>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</si>
  <si>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</si>
  <si>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</si>
  <si>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</si>
  <si>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</si>
  <si>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</si>
  <si>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</si>
  <si>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</si>
  <si>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</si>
  <si>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</si>
  <si>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</si>
  <si>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</si>
  <si>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</si>
  <si>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</si>
  <si>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</si>
  <si>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</si>
  <si>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</si>
  <si>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</si>
  <si>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</si>
  <si>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</si>
  <si>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</si>
  <si>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</si>
  <si>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</si>
  <si>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</si>
  <si>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</si>
  <si>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</si>
  <si>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</si>
  <si>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</si>
  <si>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</si>
  <si>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</si>
  <si>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</si>
  <si>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</si>
  <si>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</si>
  <si>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</si>
  <si>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</si>
  <si>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</si>
  <si>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</si>
  <si>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</si>
  <si>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</si>
  <si>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</si>
  <si>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</si>
  <si>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</si>
  <si>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</si>
  <si>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</si>
  <si>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</si>
  <si>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</si>
  <si>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</si>
  <si>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</si>
  <si>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</si>
  <si>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</si>
  <si>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</si>
  <si>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</si>
  <si>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</si>
  <si>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</si>
  <si>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</si>
  <si>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</si>
  <si>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</si>
  <si>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</si>
  <si>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</si>
  <si>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</si>
  <si>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</si>
  <si>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</si>
  <si>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</si>
  <si>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</si>
  <si>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</si>
  <si>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</si>
  <si>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</si>
  <si>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</si>
  <si>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</si>
  <si>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</si>
  <si>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</si>
  <si>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</si>
  <si>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</si>
  <si>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</si>
  <si>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</si>
  <si>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</si>
  <si>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</si>
  <si>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</si>
  <si>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</si>
  <si>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</si>
  <si>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</si>
  <si>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</si>
  <si>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</si>
  <si>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</si>
  <si>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</si>
  <si>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</si>
  <si>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</si>
  <si>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</si>
  <si>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</si>
  <si>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</si>
  <si>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</si>
  <si>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</si>
  <si>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</si>
  <si>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</si>
  <si>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</si>
  <si>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</si>
  <si>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</si>
  <si>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</si>
  <si>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</si>
  <si>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</si>
  <si>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</si>
  <si>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</si>
  <si>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</si>
  <si>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</si>
  <si>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</si>
  <si>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t>我每次都把這一朵花拍成像一個獎盃的樣子，這樣我也拿了不少獎杯回家。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</si>
  <si>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</si>
  <si>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</si>
  <si>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</si>
  <si>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</si>
  <si>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</si>
  <si>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</si>
  <si>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</si>
  <si>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</si>
  <si>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</si>
  <si>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</si>
  <si>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</si>
  <si>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</si>
  <si>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</si>
  <si>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</si>
  <si>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</si>
  <si>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</si>
  <si>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t>花從地上冒出來，一次開好幾朵，不過花期不長，要遇見有時候還得看機緣。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</si>
  <si>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</si>
  <si>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</si>
  <si>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</si>
  <si>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</si>
  <si>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</si>
  <si>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</si>
  <si>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先開花，再長葉。賞花要趁早。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</si>
  <si>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</si>
  <si>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</si>
  <si>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</si>
  <si>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</si>
  <si>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</si>
  <si>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</si>
  <si>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</si>
  <si>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</si>
  <si>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</si>
  <si>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</si>
  <si>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</si>
  <si>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</si>
  <si>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</si>
  <si>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</si>
  <si>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</si>
  <si>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</si>
  <si>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</si>
  <si>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</si>
  <si>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</si>
  <si>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</si>
  <si>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</si>
  <si>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</si>
  <si>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</si>
  <si>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</si>
  <si>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</si>
  <si>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</si>
  <si>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</si>
  <si>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</si>
  <si>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</si>
  <si>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</si>
  <si>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</si>
  <si>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</si>
  <si>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</si>
  <si>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</si>
  <si>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</si>
  <si>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</si>
  <si>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</si>
  <si>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</si>
  <si>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</si>
  <si>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</si>
  <si>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</si>
  <si>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</si>
  <si>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</si>
  <si>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</si>
  <si>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</si>
  <si>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</si>
  <si>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</si>
  <si>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</si>
  <si>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</si>
  <si>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</si>
  <si>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</si>
  <si>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</si>
  <si>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</si>
  <si>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</si>
  <si>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</si>
  <si>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</si>
  <si>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</si>
  <si>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</si>
  <si>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</si>
  <si>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</si>
  <si>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</si>
  <si>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</si>
  <si>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</si>
  <si>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</si>
  <si>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</si>
  <si>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</si>
  <si>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</si>
  <si>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</si>
  <si>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</si>
  <si>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</si>
  <si>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t>花開在植株中間，要稍微把葉子撥開比較容易發現，某個角度看起來，花就像是一位中亞公主的打扮。我在花精靈裡面特地為這位公主寫了一篇長篇故事。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</si>
  <si>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</si>
  <si>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</si>
  <si>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</si>
  <si>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</si>
  <si>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</si>
  <si>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</si>
  <si>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</si>
  <si>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</si>
  <si>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</si>
  <si>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</si>
  <si>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</si>
  <si>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</si>
  <si>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</si>
  <si>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</si>
  <si>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</si>
  <si>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</si>
  <si>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</si>
  <si>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</si>
  <si>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</si>
  <si>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</si>
  <si>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</si>
  <si>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</si>
  <si>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</si>
  <si>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</si>
  <si>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</si>
  <si>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</si>
  <si>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</si>
  <si>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</si>
  <si>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</si>
  <si>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</si>
  <si>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</si>
  <si>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</si>
  <si>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</si>
  <si>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</si>
  <si>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</si>
  <si>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</si>
  <si>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</si>
  <si>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</si>
  <si>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</si>
  <si>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</si>
  <si>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</si>
  <si>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</si>
  <si>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</si>
  <si>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</si>
  <si>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</si>
  <si>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</si>
  <si>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</si>
  <si>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</si>
  <si>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</si>
  <si>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</si>
  <si>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</si>
  <si>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</si>
  <si>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</si>
  <si>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</si>
  <si>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</si>
  <si>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</si>
  <si>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</si>
  <si>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</si>
  <si>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</si>
  <si>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</si>
  <si>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</si>
  <si>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</si>
  <si>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</si>
  <si>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</si>
  <si>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</si>
  <si>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</si>
  <si>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</si>
  <si>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</si>
  <si>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</si>
  <si>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</si>
  <si>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花從根部附近的經上冒出來，如果想在葉子上找花，可是會大失所望喔。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</si>
  <si>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</si>
  <si>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</si>
  <si>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</si>
  <si>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</si>
  <si>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</si>
  <si>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</si>
  <si>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</si>
  <si>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</si>
  <si>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</si>
  <si>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t>花開到爆果要經過好幾個月，未免也醞釀太久了。不過如果整叢的果子爆開，非常好看。要注意植株上也很多椿象，不要靠太近。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</si>
  <si>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</si>
  <si>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</si>
  <si>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</si>
  <si>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</si>
  <si>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</si>
  <si>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</si>
  <si>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</si>
  <si>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</si>
  <si>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</si>
  <si>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</si>
  <si>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</si>
  <si>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</si>
  <si>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</si>
  <si>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</si>
  <si>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</si>
  <si>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</si>
  <si>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</si>
  <si>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</si>
  <si>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</si>
  <si>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</si>
  <si>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</si>
  <si>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</si>
  <si>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</si>
  <si>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</si>
  <si>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</si>
  <si>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</si>
  <si>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</si>
  <si>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</si>
  <si>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</si>
  <si>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</si>
  <si>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</si>
  <si>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t>雖然被稱作是「煙斗」馬兜鈴，不過我一直覺得他的形狀比較像一隻鴨子，你覺得呢？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</si>
  <si>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</si>
  <si>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</si>
  <si>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t>阿婆並不常出門，想見他們要趁早上太陽出來的時候。花藥從前後兩邊看，顏色不一樣，一黑一白，煞是有趣。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</si>
  <si>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</si>
  <si>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</si>
  <si>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</si>
  <si>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</si>
  <si>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</si>
  <si>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</si>
  <si>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</si>
  <si>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t>這朵在植物園只出現過一次，我每次經過的時候都還會往地上看一下，希望哪天他會冒出花來。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</si>
  <si>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</si>
  <si>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</si>
  <si>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</si>
  <si>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</si>
  <si>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</si>
  <si>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</si>
  <si>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</si>
  <si>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</si>
  <si>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t>植物園的咖哩樹有點營養不良，在鄉下見到的都開很多花，結一大串果子。不過我們不能把植物園當成果園啦。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</si>
  <si>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</si>
  <si>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</si>
  <si>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</si>
  <si>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</si>
  <si>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</si>
  <si>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</si>
  <si>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</si>
  <si>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</si>
  <si>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t>這是一朵我超級喜歡的花，大氣、高雅，花謝之後的造型多變，看起來很像泡麵的麵條，最適合拿來寫故事。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</si>
  <si>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</si>
  <si>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</si>
  <si>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</si>
  <si>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</si>
  <si>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</si>
  <si>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</si>
  <si>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</si>
  <si>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</si>
  <si>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</si>
  <si>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</si>
  <si>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</si>
  <si>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</si>
  <si>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</si>
  <si>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</si>
  <si>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</si>
  <si>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</si>
  <si>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</si>
  <si>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</si>
  <si>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</si>
  <si>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</si>
  <si>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</si>
  <si>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</si>
  <si>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</si>
  <si>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</si>
  <si>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</si>
  <si>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</si>
  <si>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</si>
  <si>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</si>
  <si>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</si>
  <si>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</si>
  <si>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</si>
  <si>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</si>
  <si>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</si>
  <si>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</si>
  <si>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</si>
  <si>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</si>
  <si>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</si>
  <si>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</si>
  <si>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</si>
  <si>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</si>
  <si>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</si>
  <si>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</si>
  <si>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</si>
  <si>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</si>
  <si>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</si>
  <si>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</si>
  <si>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</si>
  <si>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</si>
  <si>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</si>
  <si>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</si>
  <si>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</si>
  <si>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</si>
  <si>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</si>
  <si>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</si>
  <si>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</si>
  <si>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</si>
  <si>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</si>
  <si>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</si>
  <si>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</si>
  <si>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</si>
  <si>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</si>
  <si>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</si>
  <si>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</si>
  <si>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</si>
  <si>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</si>
  <si>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</si>
  <si>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</si>
  <si>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</si>
  <si>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</si>
  <si>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</si>
  <si>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</si>
  <si>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</si>
  <si>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</si>
  <si>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</si>
  <si>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</si>
  <si>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</si>
  <si>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</si>
  <si>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</si>
  <si>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</si>
  <si>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</si>
  <si>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</si>
  <si>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</si>
  <si>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</si>
  <si>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</si>
  <si>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</si>
  <si>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</si>
  <si>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</si>
  <si>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</si>
  <si>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</si>
  <si>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</si>
  <si>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</si>
  <si>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</si>
  <si>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</si>
  <si>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</si>
  <si>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</si>
  <si>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</si>
  <si>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</si>
  <si>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</si>
  <si>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</si>
  <si>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</si>
  <si>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</si>
  <si>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</si>
  <si>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</si>
  <si>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</si>
  <si>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</si>
  <si>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</si>
  <si>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</si>
  <si>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</si>
  <si>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</si>
  <si>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</si>
  <si>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</si>
  <si>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</si>
  <si>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</si>
  <si>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</si>
  <si>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</si>
  <si>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</si>
  <si>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</si>
  <si>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</si>
  <si>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</si>
  <si>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</si>
  <si>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</si>
  <si>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</si>
  <si>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</si>
  <si>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</si>
  <si>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</si>
  <si>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</si>
  <si>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</si>
  <si>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</si>
  <si>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</si>
  <si>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</si>
  <si>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</si>
  <si>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</si>
  <si>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</si>
  <si>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</si>
  <si>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</si>
  <si>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</si>
  <si>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</si>
  <si>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</si>
  <si>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</si>
  <si>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</si>
  <si>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</si>
  <si>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</si>
  <si>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</si>
  <si>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</si>
  <si>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</si>
  <si>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</si>
  <si>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</si>
  <si>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</si>
  <si>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</si>
  <si>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</si>
  <si>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</si>
  <si>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</si>
  <si>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</si>
  <si>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</si>
  <si>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</si>
  <si>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</si>
  <si>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</si>
  <si>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</si>
  <si>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</si>
  <si>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</si>
  <si>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</si>
  <si>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</si>
  <si>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</si>
  <si>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</si>
  <si>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</si>
  <si>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</si>
  <si>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</si>
  <si>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</si>
  <si>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</si>
  <si>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</si>
  <si>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</si>
  <si>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</si>
  <si>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</si>
  <si>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</si>
  <si>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</si>
  <si>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</si>
  <si>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</si>
  <si>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</si>
  <si>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</si>
  <si>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</si>
  <si>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</si>
  <si>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</si>
  <si>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</si>
  <si>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</si>
  <si>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</si>
  <si>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</si>
  <si>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</si>
  <si>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</si>
  <si>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</si>
  <si>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</si>
  <si>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</si>
  <si>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</si>
  <si>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</si>
  <si>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</si>
  <si>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</si>
  <si>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</si>
  <si>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</si>
  <si>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</si>
  <si>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</si>
  <si>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</si>
  <si>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</si>
  <si>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</si>
  <si>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t>型態特殊的小花，但是會結成一顆約拳頭大小的果。我還有一天早上從樹下經過，差一點被掉下來的果子打中，原來是松鼠吃了幾口，掉了下來。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</si>
  <si>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</si>
  <si>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</si>
  <si>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</si>
  <si>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</si>
  <si>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</si>
  <si>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</si>
  <si>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</si>
  <si>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</si>
  <si>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</si>
  <si>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</si>
  <si>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</si>
  <si>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</si>
  <si>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</si>
  <si>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</si>
  <si>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</si>
  <si>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</si>
  <si>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</si>
  <si>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</si>
  <si>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薔薇科的黃土樹，因為他的樹皮看起來像黃土，才因此得名。花非常漂亮，不過樹高，不太容易見到。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</si>
  <si>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</si>
  <si>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</si>
  <si>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</si>
  <si>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</si>
  <si>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第一次看到這一朵花的時候，被他的名字閃到了，怎麼會有冰淇淋啊？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</si>
  <si>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</si>
  <si>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</si>
  <si>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</si>
  <si>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</si>
  <si>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據說全台灣只有這麼一棵，是台北市受保護的樹木之一，花的形狀很像一隻小鳥或是小於，在陽光下會閃閃發光。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</si>
  <si>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</si>
  <si>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</si>
  <si>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</si>
  <si>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</si>
  <si>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</si>
  <si>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</si>
  <si>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</si>
  <si>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</si>
  <si>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</si>
  <si>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t>以前一直都不知道這一棵什麼時候開花，後來查資料，才知道他的花好小，而且幾乎都被葉子遮住了。想要看到他的花蕊，可得費一番功夫。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</si>
  <si>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</si>
  <si>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</si>
  <si>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</si>
  <si>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</si>
  <si>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</si>
  <si>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</si>
  <si>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t>很小的花，有白色，有粉色，分別長在不同的樹上，來到雙子葉植物區的時候，仔細找一下。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</si>
  <si>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</si>
  <si>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</si>
  <si>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</si>
  <si>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t>花形很像老鷹的爪子，我把它聯想成抓娃娃機的「怪手」，希望一撈就是一大把。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</si>
  <si>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</si>
  <si>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</si>
  <si>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</si>
  <si>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</si>
  <si>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</si>
  <si>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</si>
  <si>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t>每次抬頭都沒有見到花，只能在地上見到紅色的花瓣。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</si>
  <si>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</si>
  <si>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</si>
  <si>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t>這一朵花是在植物園以外拍到的，雙子葉植物區在花期的時候，可以注意地上會有很多落花。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</si>
  <si>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</si>
  <si>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</si>
  <si>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t>這棵開的花位置還算親民，一長串的花很像雞毛撢子，果實會捲曲，爆開可以看到紅色的種子。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</si>
  <si>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</si>
  <si>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</si>
  <si>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</si>
  <si>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</si>
  <si>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t>進到雙子葉植物區的後方，一定會看到這棵澳洲大葉榕，粗大的板根是他的特徵，地上也很常看到他掉落的果子。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</si>
  <si>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</si>
  <si>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</si>
  <si>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一整棵開花的裡白巴豆，幾乎所見都是雄花，雌花寥寥可數，從花型就可以看出差異。不過想看到雌花得要瞪大眼睛仔細找。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</si>
  <si>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</si>
  <si>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</si>
  <si>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</si>
  <si>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</si>
  <si>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</si>
  <si>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</si>
  <si>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</si>
  <si>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</si>
  <si>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</si>
  <si>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</si>
  <si>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</si>
  <si>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</si>
  <si>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</si>
  <si>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</si>
  <si>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</si>
  <si>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t>果子很像子彈的造型，被這樣叫很名符其實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</si>
  <si>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</si>
  <si>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</si>
  <si>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</si>
  <si>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</si>
  <si>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</si>
  <si>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</si>
  <si>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t>在雙子葉植物區的角落看到他的果，才發現原來這邊有一科，不過還真的不知道他是什麼時候開花。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</si>
  <si>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</si>
  <si>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</si>
  <si>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</si>
  <si>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</si>
  <si>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t>植物園的三種十大功勞之一，不過因為他的位置不在步道旁，比較少被看到。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</si>
  <si>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</si>
  <si>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</si>
  <si>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</si>
  <si>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</si>
  <si>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</si>
  <si>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</si>
  <si>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</si>
  <si>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</si>
  <si>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</si>
  <si>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</si>
  <si>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</si>
  <si>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</si>
  <si>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</si>
  <si>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</si>
  <si>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</si>
  <si>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</si>
  <si>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</si>
  <si>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t>偶爾會出現的新花種，九月份在荷花池邊角落野花園的新發現。</t>
  </si>
  <si>
    <t>雙-73</t>
  </si>
  <si>
    <t>孟加拉榕</t>
  </si>
  <si>
    <t>茜-54</t>
  </si>
  <si>
    <t>掌葉萼龍藤</t>
  </si>
  <si>
    <t>澳-72</t>
  </si>
  <si>
    <t>紅花緬梔</t>
  </si>
  <si>
    <t>澳-73</t>
  </si>
  <si>
    <t>菊花木</t>
  </si>
  <si>
    <t>雙-74</t>
  </si>
  <si>
    <t>菩提樹</t>
  </si>
  <si>
    <t>雙-69</t>
  </si>
  <si>
    <t>原-39</t>
  </si>
  <si>
    <t>地-45</t>
  </si>
  <si>
    <t>荷-123</t>
  </si>
  <si>
    <t>澳-58</t>
  </si>
  <si>
    <t>舟右-65</t>
  </si>
  <si>
    <t>茜-48</t>
  </si>
  <si>
    <t>舟左-84</t>
  </si>
  <si>
    <t>舟後-101</t>
  </si>
  <si>
    <t>舟後-102</t>
  </si>
  <si>
    <t>方舟溫室區後方</t>
  </si>
  <si>
    <t>舟右-66</t>
  </si>
  <si>
    <t>舟後-103</t>
  </si>
  <si>
    <t>雙-70</t>
  </si>
  <si>
    <t>舟-196</t>
  </si>
  <si>
    <t>荷-124</t>
  </si>
  <si>
    <t>舟右-67</t>
  </si>
  <si>
    <t>方舟溫室區右前方</t>
  </si>
  <si>
    <t>水-28</t>
  </si>
  <si>
    <t>荷-125</t>
  </si>
  <si>
    <t>舟-197</t>
  </si>
  <si>
    <t>舟右-68</t>
  </si>
  <si>
    <t>名-60</t>
  </si>
  <si>
    <t>佛-36</t>
  </si>
  <si>
    <t>佛-37</t>
  </si>
  <si>
    <t>澳-59</t>
  </si>
  <si>
    <t>荷-126</t>
  </si>
  <si>
    <t>名-61</t>
  </si>
  <si>
    <t>荷-127</t>
  </si>
  <si>
    <t>蕨-77</t>
  </si>
  <si>
    <t>名-62</t>
  </si>
  <si>
    <t>野-53</t>
  </si>
  <si>
    <t>澳-60</t>
  </si>
  <si>
    <t>名-63</t>
  </si>
  <si>
    <t>名-64</t>
  </si>
  <si>
    <t>澳-61</t>
  </si>
  <si>
    <t>舟右-69</t>
  </si>
  <si>
    <t>名-65</t>
  </si>
  <si>
    <t>肖-60</t>
  </si>
  <si>
    <t>肖-61</t>
  </si>
  <si>
    <t>蕨-78</t>
  </si>
  <si>
    <t>澳-62</t>
  </si>
  <si>
    <t>肖-62</t>
  </si>
  <si>
    <t>肖-63</t>
  </si>
  <si>
    <t>地-46</t>
  </si>
  <si>
    <t>舟右-70</t>
  </si>
  <si>
    <t>蕨-79</t>
  </si>
  <si>
    <t>地-47</t>
  </si>
  <si>
    <t>舟左-85</t>
  </si>
  <si>
    <t>方舟溫室區左方</t>
  </si>
  <si>
    <t>澳-63</t>
  </si>
  <si>
    <t>薑-103</t>
  </si>
  <si>
    <t>蕨-80</t>
  </si>
  <si>
    <t>水-29</t>
  </si>
  <si>
    <t>水-30</t>
  </si>
  <si>
    <t>茜-49</t>
  </si>
  <si>
    <t>肉-112</t>
  </si>
  <si>
    <t>茜-50</t>
  </si>
  <si>
    <t>地-48</t>
  </si>
  <si>
    <t>原-40</t>
  </si>
  <si>
    <t>舟左-86</t>
  </si>
  <si>
    <t>竹-68</t>
  </si>
  <si>
    <t>舟後-104</t>
  </si>
  <si>
    <t>原-41</t>
  </si>
  <si>
    <t>茜-51</t>
  </si>
  <si>
    <t>原-42</t>
  </si>
  <si>
    <t>薑-104</t>
  </si>
  <si>
    <t>茜-52</t>
  </si>
  <si>
    <t>荷-128</t>
  </si>
  <si>
    <t>肖-64</t>
  </si>
  <si>
    <t>舟右-71</t>
  </si>
  <si>
    <t>荷-129</t>
  </si>
  <si>
    <t>竹-69</t>
  </si>
  <si>
    <t>地-49</t>
  </si>
  <si>
    <t>地-50</t>
  </si>
  <si>
    <t>澳-64</t>
  </si>
  <si>
    <t>澳-65</t>
  </si>
  <si>
    <t>舟右-72</t>
  </si>
  <si>
    <t>舟左-87</t>
  </si>
  <si>
    <t>澳-66</t>
  </si>
  <si>
    <t>澳-67</t>
  </si>
  <si>
    <t>澳-68</t>
  </si>
  <si>
    <t>澳-69</t>
  </si>
  <si>
    <t>雙-71</t>
  </si>
  <si>
    <t>雙-72</t>
  </si>
  <si>
    <t>舟右-73</t>
  </si>
  <si>
    <t>澳-70</t>
  </si>
  <si>
    <t>佛-38</t>
  </si>
  <si>
    <t>棕-28</t>
  </si>
  <si>
    <t>澳-71</t>
  </si>
  <si>
    <t>蕨-81</t>
  </si>
  <si>
    <t>棕-29</t>
  </si>
  <si>
    <t>棕-30</t>
  </si>
  <si>
    <t>茜-53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</si>
  <si>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</si>
  <si>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</si>
  <si>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</si>
  <si>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</si>
  <si>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</si>
  <si>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</si>
  <si>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</si>
  <si>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</si>
  <si>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</si>
  <si>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</si>
  <si>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</si>
  <si>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</si>
  <si>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</si>
  <si>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</si>
  <si>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</si>
  <si>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</si>
  <si>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</si>
  <si>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</si>
  <si>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</si>
  <si>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</si>
  <si>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</si>
  <si>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</si>
  <si>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</si>
  <si>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</si>
  <si>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</si>
  <si>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</si>
  <si>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</si>
  <si>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</si>
  <si>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</si>
  <si>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</si>
  <si>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</si>
  <si>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</si>
  <si>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</si>
  <si>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</si>
  <si>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</si>
  <si>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</si>
  <si>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</si>
  <si>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</si>
  <si>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</si>
  <si>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</si>
  <si>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</si>
  <si>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</si>
  <si>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</si>
  <si>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</si>
  <si>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</si>
  <si>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</si>
  <si>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</si>
  <si>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</si>
  <si>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</si>
  <si>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</si>
  <si>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</si>
  <si>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</si>
  <si>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</si>
  <si>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</si>
  <si>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</si>
  <si>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</si>
  <si>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</si>
  <si>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</si>
  <si>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</si>
  <si>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</si>
  <si>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</si>
  <si>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</si>
  <si>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</si>
  <si>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</si>
  <si>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</si>
  <si>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</si>
  <si>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</si>
  <si>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</si>
  <si>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</si>
  <si>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</si>
  <si>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</si>
  <si>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</si>
  <si>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</si>
  <si>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</si>
  <si>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</si>
  <si>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</si>
  <si>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</si>
  <si>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</si>
  <si>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</si>
  <si>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</si>
  <si>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</si>
  <si>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舟後-89 葛瑪蘭芭蕉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</si>
  <si>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</si>
  <si>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</si>
  <si>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</si>
  <si>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</si>
  <si>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</si>
  <si>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</si>
  <si>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</si>
  <si>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</si>
  <si>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</si>
  <si>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</si>
  <si>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</si>
  <si>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</si>
  <si>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</si>
  <si>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</si>
  <si>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</si>
  <si>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</si>
  <si>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</si>
  <si>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</si>
  <si>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</si>
  <si>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</si>
  <si>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</si>
  <si>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</si>
  <si>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</si>
  <si>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</si>
  <si>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</si>
  <si>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</si>
  <si>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</si>
  <si>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</si>
  <si>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</si>
  <si>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</si>
  <si>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</si>
  <si>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</si>
  <si>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</si>
  <si>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</si>
  <si>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</si>
  <si>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</si>
  <si>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</si>
  <si>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</si>
  <si>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</si>
  <si>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</si>
  <si>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</si>
  <si>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</si>
  <si>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</si>
  <si>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</si>
  <si>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</si>
  <si>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</si>
  <si>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</si>
  <si>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</si>
  <si>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</si>
  <si>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</si>
  <si>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</si>
  <si>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</si>
  <si>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</si>
  <si>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</si>
  <si>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</si>
  <si>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</si>
  <si>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</si>
  <si>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</si>
  <si>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</si>
  <si>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</si>
  <si>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</si>
  <si>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</si>
  <si>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</si>
  <si>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</si>
  <si>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</si>
  <si>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</si>
  <si>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</si>
  <si>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</si>
  <si>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</si>
  <si>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</si>
  <si>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</si>
  <si>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</si>
  <si>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</si>
  <si>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</si>
  <si>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</si>
  <si>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</si>
  <si>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</si>
  <si>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</si>
  <si>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</si>
  <si>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</si>
  <si>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</si>
  <si>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</si>
  <si>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</si>
  <si>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</si>
  <si>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</si>
  <si>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</si>
  <si>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</si>
  <si>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</si>
  <si>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</si>
  <si>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</si>
  <si>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</si>
  <si>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</si>
  <si>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</si>
  <si>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</si>
  <si>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</si>
  <si>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</si>
  <si>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</si>
  <si>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</si>
  <si>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</si>
  <si>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</si>
  <si>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</si>
  <si>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</si>
  <si>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</si>
  <si>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</si>
  <si>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</si>
  <si>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</si>
  <si>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</si>
  <si>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</si>
  <si>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</si>
  <si>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</si>
  <si>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</si>
  <si>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</si>
  <si>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</si>
  <si>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</si>
  <si>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</si>
  <si>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</si>
  <si>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</si>
  <si>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</si>
  <si>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</si>
  <si>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</si>
  <si>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</si>
  <si>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</si>
  <si>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</si>
  <si>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</si>
  <si>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</si>
  <si>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</si>
  <si>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</si>
  <si>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</si>
  <si>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</si>
  <si>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</si>
  <si>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</si>
  <si>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</si>
  <si>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</si>
  <si>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</si>
  <si>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</si>
  <si>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</si>
  <si>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</si>
  <si>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</si>
  <si>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</si>
  <si>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</si>
  <si>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</si>
  <si>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</si>
  <si>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</si>
  <si>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</si>
  <si>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</si>
  <si>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</si>
  <si>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</si>
  <si>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</si>
  <si>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</si>
  <si>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</si>
  <si>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</si>
  <si>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</si>
  <si>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</si>
  <si>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</si>
  <si>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</si>
  <si>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</si>
  <si>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</si>
  <si>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</si>
  <si>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</si>
  <si>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</si>
  <si>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</si>
  <si>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</si>
  <si>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</si>
  <si>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</si>
  <si>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</si>
  <si>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</si>
  <si>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</si>
  <si>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</si>
  <si>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</si>
  <si>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</si>
  <si>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</si>
  <si>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</si>
  <si>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</si>
  <si>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</si>
  <si>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</si>
  <si>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</si>
  <si>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</si>
  <si>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</si>
  <si>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</si>
  <si>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</si>
  <si>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</si>
  <si>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</si>
  <si>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</si>
  <si>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</si>
  <si>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</si>
  <si>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</si>
  <si>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</si>
  <si>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</si>
  <si>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</si>
  <si>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</si>
  <si>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</si>
  <si>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</si>
  <si>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</si>
  <si>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</si>
  <si>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</si>
  <si>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</si>
  <si>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</si>
  <si>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</si>
  <si>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</si>
  <si>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</si>
  <si>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</si>
  <si>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</si>
  <si>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</si>
  <si>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</si>
  <si>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</si>
  <si>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</si>
  <si>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</si>
  <si>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</si>
  <si>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</si>
  <si>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</si>
  <si>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</si>
  <si>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</si>
  <si>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</si>
  <si>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</si>
  <si>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</si>
  <si>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</si>
  <si>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</si>
  <si>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</si>
  <si>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</si>
  <si>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</si>
  <si>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</si>
  <si>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</si>
  <si>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</si>
  <si>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</si>
  <si>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</si>
  <si>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</si>
  <si>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</si>
  <si>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</si>
  <si>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</si>
  <si>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</si>
  <si>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</si>
  <si>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</si>
  <si>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</si>
  <si>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</si>
  <si>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</si>
  <si>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</si>
  <si>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</si>
  <si>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</si>
  <si>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</si>
  <si>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</si>
  <si>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</si>
  <si>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</si>
  <si>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</si>
  <si>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</si>
  <si>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</si>
  <si>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</si>
  <si>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</si>
  <si>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</si>
  <si>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</si>
  <si>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</si>
  <si>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</si>
  <si>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</si>
  <si>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</si>
  <si>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</si>
  <si>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</si>
  <si>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</si>
  <si>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</si>
  <si>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</si>
  <si>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</si>
  <si>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</si>
  <si>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</si>
  <si>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</si>
  <si>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</si>
  <si>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</si>
  <si>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</si>
  <si>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</si>
  <si>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</si>
  <si>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</si>
  <si>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</si>
  <si>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</si>
  <si>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</si>
  <si>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</si>
  <si>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</si>
  <si>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</si>
  <si>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</si>
  <si>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</si>
  <si>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</si>
  <si>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</si>
  <si>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</si>
  <si>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</si>
  <si>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</si>
  <si>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</si>
  <si>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</si>
  <si>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</si>
  <si>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</si>
  <si>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</si>
  <si>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</si>
  <si>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</si>
  <si>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</si>
  <si>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</si>
  <si>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</si>
  <si>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</si>
  <si>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</si>
  <si>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</si>
  <si>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</si>
  <si>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</si>
  <si>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</si>
  <si>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</si>
  <si>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</si>
  <si>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</si>
  <si>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</si>
  <si>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</si>
  <si>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</si>
  <si>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</si>
  <si>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</si>
  <si>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</si>
  <si>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</si>
  <si>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</si>
  <si>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</si>
  <si>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</si>
  <si>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</si>
  <si>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</si>
  <si>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</si>
  <si>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</si>
  <si>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</si>
  <si>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</si>
  <si>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</si>
  <si>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</si>
  <si>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</si>
  <si>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</si>
  <si>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</si>
  <si>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</si>
  <si>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</si>
  <si>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</si>
  <si>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</si>
  <si>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</si>
  <si>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</si>
  <si>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</si>
  <si>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</si>
  <si>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</si>
  <si>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</si>
  <si>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</si>
  <si>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</si>
  <si>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</si>
  <si>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</si>
  <si>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</si>
  <si>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</si>
  <si>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</si>
  <si>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</si>
  <si>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</si>
  <si>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</si>
  <si>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</si>
  <si>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</si>
  <si>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</si>
  <si>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</si>
  <si>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</si>
  <si>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</si>
  <si>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</si>
  <si>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</si>
  <si>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</si>
  <si>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</si>
  <si>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</si>
  <si>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</si>
  <si>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</si>
  <si>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</si>
  <si>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</si>
  <si>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</si>
  <si>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</si>
  <si>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</si>
  <si>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</si>
  <si>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</si>
  <si>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</si>
  <si>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</si>
  <si>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</si>
  <si>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</si>
  <si>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</si>
  <si>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</si>
  <si>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</si>
  <si>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</si>
  <si>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</si>
  <si>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</si>
  <si>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</si>
  <si>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</si>
  <si>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</si>
  <si>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</si>
  <si>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</si>
  <si>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</si>
  <si>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</si>
  <si>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</si>
  <si>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</si>
  <si>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</si>
  <si>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</si>
  <si>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</si>
  <si>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</si>
  <si>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</si>
  <si>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</si>
  <si>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</si>
  <si>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</si>
  <si>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</si>
  <si>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</si>
  <si>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</si>
  <si>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</si>
  <si>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</si>
  <si>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</si>
  <si>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</si>
  <si>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</si>
  <si>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</si>
  <si>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</si>
  <si>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</si>
  <si>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</si>
  <si>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</si>
  <si>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</si>
  <si>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</si>
  <si>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</si>
  <si>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</si>
  <si>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</si>
  <si>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</si>
  <si>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</si>
  <si>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</si>
  <si>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</si>
  <si>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</si>
  <si>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</si>
  <si>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</si>
  <si>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</si>
  <si>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</si>
  <si>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</si>
  <si>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</si>
  <si>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</si>
  <si>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</si>
  <si>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</si>
  <si>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</si>
  <si>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</si>
  <si>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</si>
  <si>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</si>
  <si>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</si>
  <si>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</si>
  <si>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</si>
  <si>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</si>
  <si>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</si>
  <si>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</si>
  <si>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</si>
  <si>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</si>
  <si>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</si>
  <si>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</si>
  <si>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</si>
  <si>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</si>
  <si>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</si>
  <si>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</si>
  <si>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</si>
  <si>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</si>
  <si>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</si>
  <si>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</si>
  <si>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</si>
  <si>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</si>
  <si>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</si>
  <si>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</si>
  <si>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</si>
  <si>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</si>
  <si>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</si>
  <si>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</si>
  <si>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</si>
  <si>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</si>
  <si>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</si>
  <si>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</si>
  <si>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</si>
  <si>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</si>
  <si>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</si>
  <si>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</si>
  <si>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</si>
  <si>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</si>
  <si>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</si>
  <si>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</si>
  <si>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</si>
  <si>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</si>
  <si>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</si>
  <si>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</si>
  <si>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</si>
  <si>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</si>
  <si>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</si>
  <si>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</si>
  <si>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</si>
  <si>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</si>
  <si>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</si>
  <si>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</si>
  <si>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</si>
  <si>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</si>
  <si>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</si>
  <si>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</si>
  <si>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</si>
  <si>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</si>
  <si>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</si>
  <si>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</si>
  <si>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</si>
  <si>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</si>
  <si>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</si>
  <si>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</si>
  <si>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</si>
  <si>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</si>
  <si>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</si>
  <si>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</si>
  <si>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</si>
  <si>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</si>
  <si>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</si>
  <si>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</si>
  <si>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</si>
  <si>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</si>
  <si>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</si>
  <si>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</si>
  <si>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</si>
  <si>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</si>
  <si>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</si>
  <si>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</si>
  <si>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</si>
  <si>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</si>
  <si>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</si>
  <si>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</si>
  <si>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</si>
  <si>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</si>
  <si>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</si>
  <si>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</si>
  <si>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</si>
  <si>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</si>
  <si>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</si>
  <si>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</si>
  <si>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</si>
  <si>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</si>
  <si>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</si>
  <si>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</si>
  <si>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</si>
  <si>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</si>
  <si>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</si>
  <si>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</si>
  <si>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</si>
  <si>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</si>
  <si>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</si>
  <si>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</si>
  <si>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</si>
  <si>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</si>
  <si>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</si>
  <si>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</si>
  <si>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</si>
  <si>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</si>
  <si>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</si>
  <si>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</si>
  <si>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</si>
  <si>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</si>
  <si>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</si>
  <si>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</si>
  <si>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</si>
  <si>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</si>
  <si>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</si>
  <si>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</si>
  <si>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</si>
  <si>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</si>
  <si>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</si>
  <si>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</si>
  <si>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</si>
  <si>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</si>
  <si>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</si>
  <si>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</si>
  <si>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</si>
  <si>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</si>
  <si>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</si>
  <si>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</si>
  <si>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</si>
  <si>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</si>
  <si>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</si>
  <si>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</si>
  <si>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</si>
  <si>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</si>
  <si>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</si>
  <si>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</si>
  <si>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</si>
  <si>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</si>
  <si>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</si>
  <si>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</si>
  <si>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</si>
  <si>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</si>
  <si>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</si>
  <si>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</si>
  <si>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</si>
  <si>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</si>
  <si>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</si>
  <si>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</si>
  <si>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</si>
  <si>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</si>
  <si>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</si>
  <si>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</si>
  <si>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</si>
  <si>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</si>
  <si>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</si>
  <si>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</si>
  <si>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</si>
  <si>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</si>
  <si>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</si>
  <si>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</si>
  <si>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</si>
  <si>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</si>
  <si>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</si>
  <si>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</si>
  <si>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</si>
  <si>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</si>
  <si>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</si>
  <si>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</si>
  <si>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</si>
  <si>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</si>
  <si>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</si>
  <si>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</si>
  <si>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</si>
  <si>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</si>
  <si>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</si>
  <si>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</si>
  <si>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</si>
  <si>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</si>
  <si>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</si>
  <si>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</si>
  <si>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</si>
  <si>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</si>
  <si>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</si>
  <si>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</si>
  <si>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</si>
  <si>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</si>
  <si>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</si>
  <si>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</si>
  <si>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</si>
  <si>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</si>
  <si>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</si>
  <si>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</si>
  <si>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</si>
  <si>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</si>
  <si>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</si>
  <si>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</si>
  <si>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</si>
  <si>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</si>
  <si>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</si>
  <si>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</si>
  <si>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</si>
  <si>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</si>
  <si>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</si>
  <si>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</si>
  <si>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</si>
  <si>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</si>
  <si>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</si>
  <si>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</si>
  <si>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</si>
  <si>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</si>
  <si>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</si>
  <si>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</si>
  <si>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</si>
  <si>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</si>
  <si>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</si>
  <si>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</si>
  <si>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</si>
  <si>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</si>
  <si>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</si>
  <si>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</si>
  <si>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</si>
  <si>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</si>
  <si>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</si>
  <si>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</si>
  <si>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</si>
  <si>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</si>
  <si>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</si>
  <si>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</si>
  <si>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</si>
  <si>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</si>
  <si>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</si>
  <si>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</si>
  <si>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</si>
  <si>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</si>
  <si>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</si>
  <si>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</si>
  <si>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</si>
  <si>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</si>
  <si>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</si>
  <si>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</si>
  <si>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</si>
  <si>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</si>
  <si>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</si>
  <si>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</si>
  <si>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</si>
  <si>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</si>
  <si>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</si>
  <si>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</si>
  <si>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</si>
  <si>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</si>
  <si>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</si>
  <si>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</si>
  <si>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</si>
  <si>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</si>
  <si>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</si>
  <si>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</si>
  <si>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</si>
  <si>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</si>
  <si>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</si>
  <si>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</si>
  <si>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</si>
  <si>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</si>
  <si>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</si>
  <si>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</si>
  <si>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</si>
  <si>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</si>
  <si>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</si>
  <si>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</si>
  <si>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</si>
  <si>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</si>
  <si>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</si>
  <si>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</si>
  <si>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</si>
  <si>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</si>
  <si>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</si>
  <si>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</si>
  <si>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</si>
  <si>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</si>
  <si>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</si>
  <si>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</si>
  <si>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</si>
  <si>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</si>
  <si>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</si>
  <si>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</si>
  <si>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</si>
  <si>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</si>
  <si>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</si>
  <si>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</si>
  <si>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</si>
  <si>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</si>
  <si>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</si>
  <si>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</si>
  <si>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</si>
  <si>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</si>
  <si>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</si>
  <si>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</si>
  <si>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</si>
  <si>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</si>
  <si>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</si>
  <si>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</si>
  <si>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</si>
  <si>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</si>
  <si>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</si>
  <si>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</si>
  <si>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</si>
  <si>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</si>
  <si>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</si>
  <si>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</si>
  <si>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</si>
  <si>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</si>
  <si>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</si>
  <si>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</si>
  <si>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</si>
  <si>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</si>
  <si>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</si>
  <si>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</si>
  <si>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</si>
  <si>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</si>
  <si>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</si>
  <si>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</si>
  <si>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</si>
  <si>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</si>
  <si>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</si>
  <si>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</si>
  <si>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</si>
  <si>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</si>
  <si>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</si>
  <si>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</si>
  <si>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</si>
  <si>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</si>
  <si>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</si>
  <si>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</si>
  <si>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</si>
  <si>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</si>
  <si>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</si>
  <si>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</si>
  <si>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</si>
  <si>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</si>
  <si>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</si>
  <si>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</si>
  <si>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</si>
  <si>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</si>
  <si>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</si>
  <si>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</si>
  <si>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</si>
  <si>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</si>
  <si>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</si>
  <si>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</si>
  <si>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</si>
  <si>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</si>
  <si>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</si>
  <si>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</si>
  <si>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</si>
  <si>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</si>
  <si>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</si>
  <si>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</si>
  <si>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</si>
  <si>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</si>
  <si>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</si>
  <si>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</si>
  <si>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</si>
  <si>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</si>
  <si>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</si>
  <si>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</si>
  <si>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</si>
  <si>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</si>
  <si>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</si>
  <si>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</si>
  <si>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</si>
  <si>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</si>
  <si>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</si>
  <si>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</si>
  <si>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</si>
  <si>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</si>
  <si>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</si>
  <si>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</si>
  <si>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</si>
  <si>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</si>
  <si>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</si>
  <si>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</si>
  <si>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</si>
  <si>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</si>
  <si>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</si>
  <si>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</si>
  <si>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</si>
  <si>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</si>
  <si>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</si>
  <si>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</si>
  <si>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</si>
  <si>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</si>
  <si>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</si>
  <si>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</si>
  <si>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</si>
  <si>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</si>
  <si>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</si>
  <si>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</si>
  <si>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</si>
  <si>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</si>
  <si>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</si>
  <si>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</si>
  <si>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</si>
  <si>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</si>
  <si>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</si>
  <si>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</si>
  <si>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</si>
  <si>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</si>
  <si>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</si>
  <si>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</si>
  <si>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</si>
  <si>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</si>
  <si>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</si>
  <si>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</si>
  <si>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</si>
  <si>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</si>
  <si>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</si>
  <si>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</si>
  <si>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</si>
  <si>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</si>
  <si>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</si>
  <si>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</si>
  <si>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</si>
  <si>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</si>
  <si>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</si>
  <si>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</si>
  <si>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</si>
  <si>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</si>
  <si>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</si>
  <si>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</si>
  <si>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</si>
  <si>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</si>
  <si>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</si>
  <si>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</si>
  <si>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</si>
  <si>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</si>
  <si>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</si>
  <si>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</si>
  <si>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</si>
  <si>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</si>
  <si>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</si>
  <si>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</si>
  <si>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</si>
  <si>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</si>
  <si>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</si>
  <si>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</si>
  <si>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</si>
  <si>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</si>
  <si>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</si>
  <si>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</si>
  <si>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</si>
  <si>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</si>
  <si>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</si>
  <si>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</si>
  <si>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</si>
  <si>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</si>
  <si>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</si>
  <si>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</si>
  <si>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</si>
  <si>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</si>
  <si>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</si>
  <si>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</si>
  <si>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</si>
  <si>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</si>
  <si>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</si>
  <si>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</si>
  <si>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</si>
  <si>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</si>
  <si>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</si>
  <si>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</si>
  <si>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</si>
  <si>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</si>
  <si>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</si>
  <si>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</si>
  <si>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</si>
  <si>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</si>
  <si>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</si>
  <si>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</si>
  <si>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</si>
  <si>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</si>
  <si>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</si>
  <si>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</si>
  <si>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</si>
  <si>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</si>
  <si>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</si>
  <si>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</si>
  <si>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</si>
  <si>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</si>
  <si>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</si>
  <si>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</si>
  <si>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</si>
  <si>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</si>
  <si>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</si>
  <si>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</si>
  <si>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</si>
  <si>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</si>
  <si>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</si>
  <si>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</si>
  <si>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</si>
  <si>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</si>
  <si>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</si>
  <si>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</si>
  <si>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</si>
  <si>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</si>
  <si>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</si>
  <si>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</si>
  <si>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</si>
  <si>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</si>
  <si>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</si>
  <si>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</si>
  <si>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</si>
  <si>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</si>
  <si>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</si>
  <si>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</si>
  <si>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</si>
  <si>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</si>
  <si>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</si>
  <si>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</si>
  <si>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</si>
  <si>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</si>
  <si>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</si>
  <si>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</si>
  <si>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</si>
  <si>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</si>
  <si>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</si>
  <si>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</si>
  <si>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</si>
  <si>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</si>
  <si>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</si>
  <si>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</si>
  <si>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</si>
  <si>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</si>
  <si>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</si>
  <si>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</si>
  <si>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</si>
  <si>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</si>
  <si>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</si>
  <si>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</si>
  <si>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</si>
  <si>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</si>
  <si>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</si>
  <si>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</si>
  <si>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</si>
  <si>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</si>
  <si>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</si>
  <si>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</si>
  <si>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</si>
  <si>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</si>
  <si>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</si>
  <si>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</si>
  <si>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</si>
  <si>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</si>
  <si>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</si>
  <si>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</si>
  <si>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</si>
  <si>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</si>
  <si>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</si>
  <si>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</si>
  <si>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</si>
  <si>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</si>
  <si>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</si>
  <si>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</si>
  <si>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</si>
  <si>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</si>
  <si>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</si>
  <si>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</si>
  <si>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</si>
  <si>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</si>
  <si>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</si>
  <si>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</si>
  <si>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</si>
  <si>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</si>
  <si>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</si>
  <si>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</si>
  <si>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</si>
  <si>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</si>
  <si>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</si>
  <si>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</si>
  <si>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</si>
  <si>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</si>
  <si>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</si>
  <si>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</si>
  <si>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</si>
  <si>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</si>
  <si>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</si>
  <si>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</si>
  <si>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</si>
  <si>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</si>
  <si>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</si>
  <si>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</si>
  <si>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</si>
  <si>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</si>
  <si>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</si>
  <si>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</si>
  <si>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</si>
  <si>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</si>
  <si>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</si>
  <si>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</si>
  <si>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</si>
  <si>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</si>
  <si>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</si>
  <si>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</si>
  <si>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</si>
  <si>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</si>
  <si>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</si>
  <si>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</si>
  <si>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</si>
  <si>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</si>
  <si>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</si>
  <si>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</si>
  <si>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</si>
  <si>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</si>
  <si>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</si>
  <si>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</si>
  <si>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</si>
  <si>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</si>
  <si>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</si>
  <si>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</si>
  <si>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</si>
  <si>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</si>
  <si>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</si>
  <si>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</si>
  <si>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</si>
  <si>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</si>
  <si>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</si>
  <si>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</si>
  <si>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</si>
  <si>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</si>
  <si>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</si>
  <si>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</si>
  <si>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</si>
  <si>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</si>
  <si>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</si>
  <si>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</si>
  <si>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</si>
  <si>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</si>
  <si>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</si>
  <si>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</si>
  <si>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</si>
  <si>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</si>
  <si>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</si>
  <si>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</si>
  <si>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</si>
  <si>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</si>
  <si>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</si>
  <si>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</si>
  <si>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</si>
  <si>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</si>
  <si>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</si>
  <si>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</si>
  <si>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</si>
  <si>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</si>
  <si>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</si>
  <si>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</si>
  <si>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</si>
  <si>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</si>
  <si>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</si>
  <si>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</si>
  <si>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</si>
  <si>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</si>
  <si>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</si>
  <si>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</si>
  <si>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</si>
  <si>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</si>
  <si>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</si>
  <si>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</si>
  <si>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</si>
  <si>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</si>
  <si>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</si>
  <si>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</si>
  <si>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</si>
  <si>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</si>
  <si>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</si>
  <si>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</si>
  <si>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</si>
  <si>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</si>
  <si>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</si>
  <si>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</si>
  <si>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</si>
  <si>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</si>
  <si>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</si>
  <si>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</si>
  <si>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</si>
  <si>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</si>
  <si>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</si>
  <si>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</si>
  <si>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</si>
  <si>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</si>
  <si>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</si>
  <si>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</si>
  <si>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</si>
  <si>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</si>
  <si>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</si>
  <si>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</si>
  <si>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</si>
  <si>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</si>
  <si>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</si>
  <si>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</si>
  <si>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</si>
  <si>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</si>
  <si>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</si>
  <si>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</si>
  <si>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</si>
  <si>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</si>
  <si>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</si>
  <si>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</si>
  <si>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</si>
  <si>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</si>
  <si>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</si>
  <si>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</si>
  <si>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</si>
  <si>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</si>
  <si>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</si>
  <si>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</si>
  <si>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</si>
  <si>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</si>
  <si>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</si>
  <si>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</si>
  <si>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</si>
  <si>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</si>
  <si>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</si>
  <si>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</si>
  <si>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</si>
  <si>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</si>
  <si>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</si>
  <si>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</si>
  <si>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</si>
  <si>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</si>
  <si>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</si>
  <si>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</si>
  <si>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</si>
  <si>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</si>
  <si>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</si>
  <si>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</si>
  <si>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</si>
  <si>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</si>
  <si>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</si>
  <si>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</si>
  <si>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</si>
  <si>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</si>
  <si>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</si>
  <si>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</si>
  <si>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</si>
  <si>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</si>
  <si>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</si>
  <si>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</si>
  <si>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</si>
  <si>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</si>
  <si>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</si>
  <si>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</si>
  <si>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</si>
  <si>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</si>
  <si>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</si>
  <si>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</si>
  <si>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</si>
  <si>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</si>
  <si>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</si>
  <si>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</si>
  <si>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</si>
  <si>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</si>
  <si>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</si>
  <si>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</si>
  <si>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</si>
  <si>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</si>
  <si>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</si>
  <si>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</si>
  <si>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</si>
  <si>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</si>
  <si>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</si>
  <si>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</si>
  <si>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</si>
  <si>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</si>
  <si>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</si>
  <si>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</si>
  <si>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</si>
  <si>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</si>
  <si>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</si>
  <si>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</si>
  <si>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</si>
  <si>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</si>
  <si>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</si>
  <si>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</si>
  <si>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</si>
  <si>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</si>
  <si>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</si>
  <si>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</si>
  <si>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</si>
  <si>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</si>
  <si>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</si>
  <si>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</si>
  <si>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</si>
  <si>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</si>
  <si>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</si>
  <si>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</si>
  <si>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</si>
  <si>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</si>
  <si>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</si>
  <si>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</si>
  <si>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</si>
  <si>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</si>
  <si>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</si>
  <si>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</si>
  <si>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</si>
  <si>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</si>
  <si>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</si>
  <si>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</si>
  <si>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</si>
  <si>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</si>
  <si>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</si>
  <si>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</si>
  <si>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</si>
  <si>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</si>
  <si>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</si>
  <si>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</si>
  <si>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</si>
  <si>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</si>
  <si>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</si>
  <si>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</si>
  <si>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</si>
  <si>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</si>
  <si>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</si>
  <si>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</si>
  <si>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</si>
  <si>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</si>
  <si>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</si>
  <si>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</si>
  <si>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</si>
  <si>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</si>
  <si>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</si>
  <si>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</si>
  <si>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</si>
  <si>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</si>
  <si>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</si>
  <si>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</si>
  <si>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</si>
  <si>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</si>
  <si>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</si>
  <si>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</si>
  <si>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</si>
  <si>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</si>
  <si>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</si>
  <si>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</si>
  <si>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</si>
  <si>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</si>
  <si>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</si>
  <si>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</si>
  <si>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</si>
  <si>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</si>
  <si>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</si>
  <si>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</si>
  <si>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</si>
  <si>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</si>
  <si>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</si>
  <si>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</si>
  <si>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</si>
  <si>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</si>
  <si>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</si>
  <si>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</si>
  <si>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</si>
  <si>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</si>
  <si>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</si>
  <si>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</si>
  <si>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</si>
  <si>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</si>
  <si>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</si>
  <si>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</si>
  <si>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</si>
  <si>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</si>
  <si>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</si>
  <si>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</si>
  <si>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</si>
  <si>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</si>
  <si>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</si>
  <si>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</si>
  <si>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</si>
  <si>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</si>
  <si>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</si>
  <si>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</si>
  <si>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</si>
  <si>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</si>
  <si>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</si>
  <si>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</si>
  <si>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</si>
  <si>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</si>
  <si>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</si>
  <si>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</si>
  <si>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</si>
  <si>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</si>
  <si>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</si>
  <si>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</si>
  <si>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</si>
  <si>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</si>
  <si>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</si>
  <si>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</si>
  <si>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</si>
  <si>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</si>
  <si>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</si>
  <si>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</si>
  <si>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</si>
  <si>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</si>
  <si>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</si>
  <si>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</si>
  <si>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</si>
  <si>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</si>
  <si>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</si>
  <si>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</si>
  <si>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</si>
  <si>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</si>
  <si>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</si>
  <si>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</si>
  <si>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</si>
  <si>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</si>
  <si>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</si>
  <si>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</si>
  <si>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</si>
  <si>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</si>
  <si>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</si>
  <si>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</si>
  <si>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</si>
  <si>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</si>
  <si>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</si>
  <si>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</si>
  <si>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</si>
  <si>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</si>
  <si>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</si>
  <si>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</si>
  <si>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</si>
  <si>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</si>
  <si>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</si>
  <si>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</si>
  <si>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</si>
  <si>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</si>
  <si>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</si>
  <si>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</si>
  <si>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</si>
  <si>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</si>
  <si>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</si>
  <si>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</si>
  <si>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</si>
  <si>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</si>
  <si>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</si>
  <si>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</si>
  <si>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</si>
  <si>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</si>
  <si>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</si>
  <si>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</si>
  <si>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</si>
  <si>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</si>
  <si>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</si>
  <si>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</si>
  <si>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</si>
  <si>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</si>
  <si>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</si>
  <si>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</si>
  <si>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</si>
  <si>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</si>
  <si>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</si>
  <si>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</si>
  <si>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</si>
  <si>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</si>
  <si>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</si>
  <si>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</si>
  <si>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</si>
  <si>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</si>
  <si>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</si>
  <si>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</si>
  <si>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</si>
  <si>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</si>
  <si>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</si>
  <si>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</si>
  <si>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</si>
  <si>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</si>
  <si>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</si>
  <si>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</si>
  <si>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</si>
  <si>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</si>
  <si>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</si>
  <si>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</si>
  <si>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</si>
  <si>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</si>
  <si>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</si>
  <si>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</si>
  <si>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</si>
  <si>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</si>
  <si>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</si>
  <si>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</si>
  <si>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</si>
  <si>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</si>
  <si>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</si>
  <si>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</si>
  <si>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</si>
  <si>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</si>
  <si>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</si>
  <si>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</si>
  <si>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</si>
  <si>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</si>
  <si>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</si>
  <si>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</si>
  <si>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</si>
  <si>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</si>
  <si>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</si>
  <si>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</si>
  <si>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</si>
  <si>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</si>
  <si>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</si>
  <si>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</si>
  <si>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</si>
  <si>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</si>
  <si>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</si>
  <si>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</si>
  <si>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</si>
  <si>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</si>
  <si>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</si>
  <si>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</si>
  <si>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</si>
  <si>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</si>
  <si>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</si>
  <si>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</si>
  <si>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</si>
  <si>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</si>
  <si>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</si>
  <si>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</si>
  <si>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</si>
  <si>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</si>
  <si>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</si>
  <si>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</si>
  <si>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</si>
  <si>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</si>
  <si>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</si>
  <si>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</si>
  <si>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</si>
  <si>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</si>
  <si>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</si>
  <si>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</si>
  <si>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</si>
  <si>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</si>
  <si>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</si>
  <si>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</si>
  <si>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</si>
  <si>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</si>
  <si>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</si>
  <si>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</si>
  <si>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</si>
  <si>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</si>
  <si>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</si>
  <si>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</si>
  <si>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</si>
  <si>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</si>
  <si>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</si>
  <si>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</si>
  <si>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</si>
  <si>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</si>
  <si>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</si>
  <si>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</si>
  <si>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</si>
  <si>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</si>
  <si>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</si>
  <si>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</si>
  <si>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</si>
  <si>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</si>
  <si>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</si>
  <si>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</si>
  <si>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</si>
  <si>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</si>
  <si>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</si>
  <si>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</si>
  <si>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</si>
  <si>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</si>
  <si>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</si>
  <si>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</si>
  <si>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</si>
  <si>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</si>
  <si>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</si>
  <si>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</si>
  <si>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</si>
  <si>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</si>
  <si>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</si>
  <si>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</si>
  <si>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</si>
  <si>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</si>
  <si>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</si>
  <si>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</si>
  <si>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</si>
  <si>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</si>
  <si>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</si>
  <si>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</si>
  <si>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</si>
  <si>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</si>
  <si>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</si>
  <si>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</si>
  <si>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</si>
  <si>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</si>
  <si>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</si>
  <si>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</si>
  <si>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</si>
  <si>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</si>
  <si>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</si>
  <si>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</si>
  <si>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</si>
  <si>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</si>
  <si>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</si>
  <si>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</si>
  <si>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</si>
  <si>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</si>
  <si>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</si>
  <si>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</si>
  <si>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</si>
  <si>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</si>
  <si>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</si>
  <si>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</si>
  <si>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</si>
  <si>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</si>
  <si>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</si>
  <si>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</si>
  <si>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</si>
  <si>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</si>
  <si>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</si>
  <si>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</si>
  <si>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</si>
  <si>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</si>
  <si>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</si>
  <si>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</si>
  <si>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</si>
  <si>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</si>
  <si>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</si>
  <si>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</si>
  <si>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</si>
  <si>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</si>
  <si>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</si>
  <si>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</si>
  <si>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</si>
  <si>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</si>
  <si>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</si>
  <si>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</si>
  <si>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</si>
  <si>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</si>
  <si>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</si>
  <si>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</si>
  <si>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</si>
  <si>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</si>
  <si>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</si>
  <si>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</si>
  <si>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</si>
  <si>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</si>
  <si>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</si>
  <si>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</si>
  <si>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</si>
  <si>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</si>
  <si>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</si>
  <si>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</si>
  <si>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</si>
  <si>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</si>
  <si>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</si>
  <si>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</si>
  <si>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</si>
  <si>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</si>
  <si>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</si>
  <si>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</si>
  <si>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</si>
  <si>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</si>
  <si>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</si>
  <si>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</si>
  <si>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</si>
  <si>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</si>
  <si>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</si>
  <si>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</si>
  <si>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</si>
  <si>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</si>
  <si>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</si>
  <si>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</si>
  <si>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</si>
  <si>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</si>
  <si>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</si>
  <si>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</si>
  <si>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</si>
  <si>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</si>
  <si>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</si>
  <si>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</si>
  <si>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</si>
  <si>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</si>
  <si>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</si>
  <si>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</si>
  <si>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</si>
  <si>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</si>
  <si>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</si>
  <si>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</si>
  <si>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</si>
  <si>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</si>
  <si>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</si>
  <si>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</si>
  <si>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</si>
  <si>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</si>
  <si>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</si>
  <si>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</si>
  <si>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</si>
  <si>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</si>
  <si>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</si>
  <si>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</si>
  <si>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</si>
  <si>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</si>
  <si>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</si>
  <si>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</si>
  <si>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</si>
  <si>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</si>
  <si>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</si>
  <si>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</si>
  <si>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</si>
  <si>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</si>
  <si>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</si>
  <si>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</si>
  <si>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</si>
  <si>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</si>
  <si>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</si>
  <si>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</si>
  <si>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</si>
  <si>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</si>
  <si>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</si>
  <si>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</si>
  <si>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</si>
  <si>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</si>
  <si>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</si>
  <si>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</si>
  <si>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</si>
  <si>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</si>
  <si>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</si>
  <si>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</si>
  <si>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</si>
  <si>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</si>
  <si>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</si>
  <si>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</si>
  <si>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</si>
  <si>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</si>
  <si>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</si>
  <si>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</si>
  <si>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</si>
  <si>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</si>
  <si>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</si>
  <si>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</si>
  <si>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</si>
  <si>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</si>
  <si>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</si>
  <si>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</si>
  <si>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</si>
  <si>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</si>
  <si>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</si>
  <si>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</si>
  <si>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</si>
  <si>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</si>
  <si>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</si>
  <si>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</si>
  <si>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</si>
  <si>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</si>
  <si>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</si>
  <si>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</si>
  <si>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</si>
  <si>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</si>
  <si>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</si>
  <si>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</si>
  <si>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</si>
  <si>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</si>
  <si>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</si>
  <si>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</si>
  <si>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</si>
  <si>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</si>
  <si>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</si>
  <si>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</si>
  <si>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</si>
  <si>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</si>
  <si>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</si>
  <si>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</si>
  <si>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</si>
  <si>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</si>
  <si>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</si>
  <si>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</si>
  <si>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</si>
  <si>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</si>
  <si>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</si>
  <si>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</si>
  <si>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</si>
  <si>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</si>
  <si>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</si>
  <si>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</si>
  <si>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</si>
  <si>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</si>
  <si>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</si>
  <si>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</si>
  <si>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</si>
  <si>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</si>
  <si>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</si>
  <si>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</si>
  <si>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</si>
  <si>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</si>
  <si>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</si>
  <si>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</si>
  <si>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</si>
  <si>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</si>
  <si>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</si>
  <si>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</si>
  <si>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</si>
  <si>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</si>
  <si>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</si>
  <si>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</si>
  <si>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</si>
  <si>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</si>
  <si>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</si>
  <si>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</si>
  <si>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</si>
  <si>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</si>
  <si>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</si>
  <si>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</si>
  <si>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</si>
  <si>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</si>
  <si>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</si>
  <si>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</si>
  <si>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</si>
  <si>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</si>
  <si>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</si>
  <si>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</si>
  <si>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</si>
  <si>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</si>
  <si>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</si>
  <si>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</si>
  <si>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</si>
  <si>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</si>
  <si>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</si>
  <si>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</si>
  <si>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</si>
  <si>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</si>
  <si>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</si>
  <si>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</si>
  <si>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</si>
  <si>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</si>
  <si>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</si>
  <si>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</si>
  <si>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</si>
  <si>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</si>
  <si>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</si>
  <si>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</si>
  <si>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</si>
  <si>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</si>
  <si>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</si>
  <si>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</si>
  <si>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</si>
  <si>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</si>
  <si>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</si>
  <si>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</si>
  <si>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</si>
  <si>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</si>
  <si>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</si>
  <si>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</si>
  <si>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</si>
  <si>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</si>
  <si>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</si>
  <si>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</si>
  <si>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</si>
  <si>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</si>
  <si>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</si>
  <si>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</si>
  <si>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</si>
  <si>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</si>
  <si>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</si>
  <si>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</si>
  <si>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</si>
  <si>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</si>
  <si>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</si>
  <si>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</si>
  <si>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</si>
  <si>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</si>
  <si>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</si>
  <si>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</si>
  <si>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</si>
  <si>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</si>
  <si>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</si>
  <si>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</si>
  <si>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</si>
  <si>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</si>
  <si>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</si>
  <si>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</si>
  <si>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</si>
  <si>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</si>
  <si>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</si>
  <si>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</si>
  <si>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</si>
  <si>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</si>
  <si>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</si>
  <si>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</si>
  <si>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</si>
  <si>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</si>
  <si>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</si>
  <si>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</si>
  <si>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</si>
  <si>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</si>
  <si>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</si>
  <si>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</si>
  <si>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</si>
  <si>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</si>
  <si>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</si>
  <si>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</si>
  <si>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</si>
  <si>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</si>
  <si>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</si>
  <si>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</si>
  <si>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</si>
  <si>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</si>
  <si>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</si>
  <si>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</si>
  <si>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</si>
  <si>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</si>
  <si>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</si>
  <si>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</si>
  <si>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</si>
  <si>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</si>
  <si>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</si>
  <si>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</si>
  <si>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</si>
  <si>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</si>
  <si>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</si>
  <si>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</si>
  <si>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</si>
  <si>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</si>
  <si>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</si>
  <si>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</si>
  <si>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</si>
  <si>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</si>
  <si>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</si>
  <si>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</si>
  <si>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</si>
  <si>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</si>
  <si>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</si>
  <si>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</si>
  <si>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</si>
  <si>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</si>
  <si>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</si>
  <si>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</si>
  <si>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</si>
  <si>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</si>
  <si>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</si>
  <si>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</si>
  <si>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</si>
  <si>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</si>
  <si>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</si>
  <si>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</si>
  <si>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</si>
  <si>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</si>
  <si>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</si>
  <si>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</si>
  <si>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</si>
  <si>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</si>
  <si>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</si>
  <si>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</si>
  <si>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</si>
  <si>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</si>
  <si>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</si>
  <si>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</si>
  <si>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</si>
  <si>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</si>
  <si>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</si>
  <si>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</si>
  <si>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</si>
  <si>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</si>
  <si>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</si>
  <si>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</si>
  <si>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</si>
  <si>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</si>
  <si>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</si>
  <si>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</si>
  <si>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</si>
  <si>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</si>
  <si>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</si>
  <si>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</si>
  <si>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</si>
  <si>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</si>
  <si>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</si>
  <si>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</si>
  <si>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</si>
  <si>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</si>
  <si>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</si>
  <si>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</si>
  <si>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</si>
  <si>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</si>
  <si>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</si>
  <si>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</si>
  <si>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</si>
  <si>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</si>
  <si>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</si>
  <si>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</si>
  <si>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</si>
  <si>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</si>
  <si>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</si>
  <si>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</si>
  <si>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</si>
  <si>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</si>
  <si>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</si>
  <si>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</si>
  <si>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</si>
  <si>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</si>
  <si>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</si>
  <si>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</si>
  <si>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</si>
  <si>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</si>
  <si>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</si>
  <si>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</si>
  <si>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</si>
  <si>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</si>
  <si>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</si>
  <si>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</si>
  <si>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</si>
  <si>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</si>
  <si>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</si>
  <si>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</si>
  <si>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</si>
  <si>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</si>
  <si>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</si>
  <si>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</si>
  <si>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</si>
  <si>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</si>
  <si>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</si>
  <si>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</si>
  <si>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</si>
  <si>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</si>
  <si>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</si>
  <si>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</si>
  <si>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</si>
  <si>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</si>
  <si>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</si>
  <si>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</si>
  <si>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</si>
  <si>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</si>
  <si>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</si>
  <si>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</si>
  <si>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</si>
  <si>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</si>
  <si>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</si>
  <si>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</si>
  <si>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</si>
  <si>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</si>
  <si>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</si>
  <si>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</si>
  <si>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</si>
  <si>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</si>
  <si>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</si>
  <si>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</si>
  <si>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</si>
  <si>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</si>
  <si>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</si>
  <si>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</si>
  <si>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</si>
  <si>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</si>
  <si>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</si>
  <si>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</si>
  <si>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</si>
  <si>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</si>
  <si>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</si>
  <si>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</si>
  <si>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</si>
  <si>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</si>
  <si>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</si>
  <si>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</si>
  <si>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</si>
  <si>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</si>
  <si>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</si>
  <si>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</si>
  <si>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</si>
  <si>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</si>
  <si>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</si>
  <si>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</si>
  <si>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</si>
  <si>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</si>
  <si>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</si>
  <si>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</si>
  <si>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</si>
  <si>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</si>
  <si>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</si>
  <si>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</si>
  <si>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</si>
  <si>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</si>
  <si>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</si>
  <si>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</si>
  <si>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</si>
  <si>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</si>
  <si>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</si>
  <si>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</si>
  <si>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</si>
  <si>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</si>
  <si>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</si>
  <si>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</si>
  <si>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</si>
  <si>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</si>
  <si>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</si>
  <si>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</si>
  <si>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</si>
  <si>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</si>
  <si>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</si>
  <si>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</si>
  <si>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</si>
  <si>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</si>
  <si>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</si>
  <si>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</si>
  <si>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</si>
  <si>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</si>
  <si>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</si>
  <si>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</si>
  <si>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</si>
  <si>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</si>
  <si>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</si>
  <si>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</si>
  <si>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</si>
  <si>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</si>
  <si>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</si>
  <si>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</si>
  <si>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</si>
  <si>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</si>
  <si>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</si>
  <si>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</si>
  <si>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</si>
  <si>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</si>
  <si>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</si>
  <si>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</si>
  <si>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</si>
  <si>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</si>
  <si>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</si>
  <si>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</si>
  <si>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</si>
  <si>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</si>
  <si>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</si>
  <si>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</si>
  <si>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</si>
  <si>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</si>
  <si>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</si>
  <si>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</si>
  <si>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</si>
  <si>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</si>
  <si>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</si>
  <si>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</si>
  <si>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</si>
  <si>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</si>
  <si>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</si>
  <si>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</si>
  <si>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</si>
  <si>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</si>
  <si>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</si>
  <si>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</si>
  <si>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</si>
  <si>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</si>
  <si>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</si>
  <si>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</si>
  <si>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</si>
  <si>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</si>
  <si>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</si>
  <si>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</si>
  <si>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</si>
  <si>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</si>
  <si>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</si>
  <si>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</si>
  <si>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</si>
  <si>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</si>
  <si>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</si>
  <si>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</si>
  <si>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</si>
  <si>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</si>
  <si>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</si>
  <si>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</si>
  <si>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</si>
  <si>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</si>
  <si>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</si>
  <si>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</si>
  <si>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</si>
  <si>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</si>
  <si>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</si>
  <si>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</si>
  <si>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</si>
  <si>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</si>
  <si>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</si>
  <si>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</si>
  <si>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</si>
  <si>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</si>
  <si>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</si>
  <si>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</si>
  <si>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</si>
  <si>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</si>
  <si>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</si>
  <si>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</si>
  <si>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</si>
  <si>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</si>
  <si>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</si>
  <si>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</si>
  <si>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</si>
  <si>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</si>
  <si>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</si>
  <si>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</si>
  <si>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</si>
  <si>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</si>
  <si>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</si>
  <si>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</si>
  <si>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</si>
  <si>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</si>
  <si>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</si>
  <si>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</si>
  <si>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</si>
  <si>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</si>
  <si>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</si>
  <si>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</si>
  <si>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</si>
  <si>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</si>
  <si>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</si>
  <si>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</si>
  <si>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</si>
  <si>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</si>
  <si>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</si>
  <si>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</si>
  <si>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</si>
  <si>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</si>
  <si>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</si>
  <si>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</si>
  <si>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</si>
  <si>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</si>
  <si>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</si>
  <si>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</si>
  <si>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</si>
  <si>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</si>
  <si>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</si>
  <si>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</si>
  <si>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</si>
  <si>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</si>
  <si>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</si>
  <si>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</si>
  <si>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</si>
  <si>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</si>
  <si>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</si>
  <si>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</si>
  <si>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</si>
  <si>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</si>
  <si>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</si>
  <si>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</si>
  <si>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</si>
  <si>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</si>
  <si>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</si>
  <si>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</si>
  <si>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</si>
  <si>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</si>
  <si>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</si>
  <si>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</si>
  <si>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</si>
  <si>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</si>
  <si>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</si>
  <si>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</si>
  <si>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</si>
  <si>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</si>
  <si>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</si>
  <si>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</si>
  <si>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</si>
  <si>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</si>
  <si>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</si>
  <si>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</si>
  <si>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</si>
  <si>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</si>
  <si>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</si>
  <si>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</si>
  <si>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</si>
  <si>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</si>
  <si>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</si>
  <si>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</si>
  <si>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</si>
  <si>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</si>
  <si>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</si>
  <si>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</si>
  <si>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</si>
  <si>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</si>
  <si>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</si>
  <si>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</si>
  <si>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</si>
  <si>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</si>
  <si>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</si>
  <si>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</si>
  <si>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</si>
  <si>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</si>
  <si>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</si>
  <si>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</si>
  <si>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</si>
  <si>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</si>
  <si>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</si>
  <si>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</si>
  <si>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</si>
  <si>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</si>
  <si>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</si>
  <si>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</si>
  <si>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</si>
  <si>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</si>
  <si>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</si>
  <si>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</si>
  <si>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</si>
  <si>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</si>
  <si>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</si>
  <si>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</si>
  <si>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</si>
  <si>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</si>
  <si>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</si>
  <si>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</si>
  <si>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</si>
  <si>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</si>
  <si>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</si>
  <si>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</si>
  <si>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</si>
  <si>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</si>
  <si>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</si>
  <si>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</si>
  <si>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</si>
  <si>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</si>
  <si>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</si>
  <si>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</si>
  <si>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</si>
  <si>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</si>
  <si>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</si>
  <si>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</si>
  <si>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</si>
  <si>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</si>
  <si>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</si>
  <si>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</si>
  <si>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</si>
  <si>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</si>
  <si>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</si>
  <si>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</si>
  <si>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</si>
  <si>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</si>
  <si>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</si>
  <si>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</si>
  <si>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</si>
  <si>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</si>
  <si>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</si>
  <si>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</si>
  <si>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</si>
  <si>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</si>
  <si>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</si>
  <si>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</si>
  <si>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</si>
  <si>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</si>
  <si>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</si>
  <si>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</si>
  <si>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</si>
  <si>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</si>
  <si>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</si>
  <si>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</si>
  <si>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</si>
  <si>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</si>
  <si>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</si>
  <si>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</si>
  <si>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</si>
  <si>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</si>
  <si>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</si>
  <si>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</si>
  <si>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</si>
  <si>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</si>
  <si>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</si>
  <si>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</si>
  <si>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</si>
  <si>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</si>
  <si>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</si>
  <si>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</si>
  <si>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</si>
  <si>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</si>
  <si>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</si>
  <si>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</si>
  <si>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</si>
  <si>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</si>
  <si>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</si>
  <si>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</si>
  <si>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</si>
  <si>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</si>
  <si>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</si>
  <si>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</si>
  <si>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</si>
  <si>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</si>
  <si>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</si>
  <si>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</si>
  <si>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</si>
  <si>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</si>
  <si>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</si>
  <si>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</si>
  <si>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</si>
  <si>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</si>
  <si>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</si>
  <si>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</si>
  <si>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</si>
  <si>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</si>
  <si>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</si>
  <si>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</si>
  <si>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</si>
  <si>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</si>
  <si>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</si>
  <si>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</si>
  <si>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</si>
  <si>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</si>
  <si>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</si>
  <si>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</si>
  <si>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</si>
  <si>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</si>
  <si>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</si>
  <si>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</si>
  <si>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</si>
  <si>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</si>
  <si>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</si>
  <si>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</si>
  <si>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</si>
  <si>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</si>
  <si>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</si>
  <si>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</si>
  <si>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</si>
  <si>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</si>
  <si>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</si>
  <si>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</si>
  <si>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</si>
  <si>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</si>
  <si>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</si>
  <si>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</si>
  <si>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</si>
  <si>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</si>
  <si>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</si>
  <si>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</si>
  <si>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</si>
  <si>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</si>
  <si>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</si>
  <si>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</si>
  <si>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</si>
  <si>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</si>
  <si>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</si>
  <si>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</si>
  <si>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</si>
  <si>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</si>
  <si>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</si>
  <si>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</si>
  <si>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</si>
  <si>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</si>
  <si>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</si>
  <si>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</si>
  <si>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</si>
  <si>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</si>
  <si>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</si>
  <si>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</si>
  <si>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</si>
  <si>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</si>
  <si>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</si>
  <si>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</si>
  <si>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</si>
  <si>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</si>
  <si>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</si>
  <si>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</si>
  <si>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</si>
  <si>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</si>
  <si>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</si>
  <si>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</si>
  <si>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</si>
  <si>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</si>
  <si>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</si>
  <si>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</si>
  <si>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</si>
  <si>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</si>
  <si>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</si>
  <si>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</si>
  <si>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</si>
  <si>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</si>
  <si>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</si>
  <si>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</si>
  <si>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</si>
  <si>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</si>
  <si>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</si>
  <si>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</si>
  <si>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</si>
  <si>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</si>
  <si>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</si>
  <si>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</si>
  <si>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</si>
  <si>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</si>
  <si>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</si>
  <si>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</si>
  <si>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</si>
  <si>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</si>
  <si>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</si>
  <si>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</si>
  <si>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</si>
  <si>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</si>
  <si>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</si>
  <si>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</si>
  <si>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</si>
  <si>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</si>
  <si>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</si>
  <si>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</si>
  <si>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</si>
  <si>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</si>
  <si>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</si>
  <si>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</si>
  <si>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</si>
  <si>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</si>
  <si>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</si>
  <si>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</si>
  <si>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</si>
  <si>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</si>
  <si>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</si>
  <si>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</si>
  <si>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</si>
  <si>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</si>
  <si>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</si>
  <si>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</si>
  <si>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</si>
  <si>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</si>
  <si>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</si>
  <si>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</si>
  <si>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</si>
  <si>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</si>
  <si>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</si>
  <si>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</si>
  <si>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</si>
  <si>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</si>
  <si>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</si>
  <si>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</si>
  <si>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</si>
  <si>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</si>
  <si>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</si>
  <si>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</si>
  <si>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</si>
  <si>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</si>
  <si>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</si>
  <si>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</si>
  <si>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</si>
  <si>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</si>
  <si>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</si>
  <si>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</si>
  <si>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</si>
  <si>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</si>
  <si>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</si>
  <si>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</si>
  <si>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</si>
  <si>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</si>
  <si>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</si>
  <si>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</si>
  <si>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</si>
  <si>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</si>
  <si>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</si>
  <si>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</si>
  <si>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</si>
  <si>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</si>
  <si>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</si>
  <si>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</si>
  <si>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</si>
  <si>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</si>
  <si>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</si>
  <si>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</si>
  <si>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</si>
  <si>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</si>
  <si>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</si>
  <si>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</si>
  <si>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</si>
  <si>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</si>
  <si>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</si>
  <si>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</si>
  <si>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</si>
  <si>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</si>
  <si>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</si>
  <si>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</si>
  <si>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</si>
  <si>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</si>
  <si>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</si>
  <si>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</si>
  <si>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</si>
  <si>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</si>
  <si>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</si>
  <si>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</si>
  <si>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</si>
  <si>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</si>
  <si>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</si>
  <si>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</si>
  <si>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</si>
  <si>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</si>
  <si>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</si>
  <si>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</si>
  <si>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</si>
  <si>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</si>
  <si>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</si>
  <si>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</si>
  <si>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</si>
  <si>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</si>
  <si>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</si>
  <si>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</si>
  <si>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</si>
  <si>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</si>
  <si>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</si>
  <si>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</si>
  <si>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</si>
  <si>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</si>
  <si>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</si>
  <si>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</si>
  <si>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</si>
  <si>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</si>
  <si>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</si>
  <si>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</si>
  <si>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</si>
  <si>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</si>
  <si>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</si>
  <si>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</si>
  <si>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</si>
  <si>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</si>
  <si>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</si>
  <si>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</si>
  <si>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</si>
  <si>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</si>
  <si>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</si>
  <si>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</si>
  <si>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</si>
  <si>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</si>
  <si>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</si>
  <si>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</si>
  <si>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</si>
  <si>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</si>
  <si>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</si>
  <si>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</si>
  <si>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</si>
  <si>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</si>
  <si>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</si>
  <si>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</si>
  <si>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</si>
  <si>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</si>
  <si>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</si>
  <si>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</si>
  <si>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</si>
  <si>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</si>
  <si>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</si>
  <si>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</si>
  <si>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</si>
  <si>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</si>
  <si>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</si>
  <si>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</si>
  <si>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</si>
  <si>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</si>
  <si>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</si>
  <si>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</si>
  <si>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</si>
  <si>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</si>
  <si>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</si>
  <si>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</si>
  <si>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</si>
  <si>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</si>
  <si>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</si>
  <si>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</si>
  <si>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</si>
  <si>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</si>
  <si>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</si>
  <si>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</si>
  <si>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</si>
  <si>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</si>
  <si>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</si>
  <si>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</si>
  <si>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</si>
  <si>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</si>
  <si>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</si>
  <si>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</si>
  <si>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</si>
  <si>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</si>
  <si>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</si>
  <si>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</si>
  <si>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</si>
  <si>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</si>
  <si>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</si>
  <si>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</si>
  <si>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</si>
  <si>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</si>
  <si>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</si>
  <si>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</si>
  <si>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</si>
  <si>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</si>
  <si>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</si>
  <si>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</si>
  <si>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</si>
  <si>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</si>
  <si>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</si>
  <si>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</si>
  <si>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</si>
  <si>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</si>
  <si>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</si>
  <si>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</si>
  <si>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</si>
  <si>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</si>
  <si>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</si>
  <si>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</si>
  <si>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</si>
  <si>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</si>
  <si>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</si>
  <si>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</si>
  <si>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</si>
  <si>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</si>
  <si>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</si>
  <si>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</si>
  <si>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</si>
  <si>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</si>
  <si>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</si>
  <si>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</si>
  <si>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</si>
  <si>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</si>
  <si>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</si>
  <si>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</si>
  <si>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</si>
  <si>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</si>
  <si>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</si>
  <si>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</si>
  <si>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</si>
  <si>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</si>
  <si>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</si>
  <si>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</si>
  <si>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</si>
  <si>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</si>
  <si>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</si>
  <si>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</si>
  <si>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</si>
  <si>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</si>
  <si>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</si>
  <si>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</si>
  <si>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</si>
  <si>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</si>
  <si>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</si>
  <si>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</si>
  <si>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</si>
  <si>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</si>
  <si>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</si>
  <si>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</si>
  <si>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</si>
  <si>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</si>
  <si>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</si>
  <si>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</si>
  <si>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</si>
  <si>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</si>
  <si>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</si>
  <si>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</si>
  <si>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</si>
  <si>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</si>
  <si>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</si>
  <si>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</si>
  <si>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</si>
  <si>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</si>
  <si>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</si>
  <si>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</si>
  <si>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</si>
  <si>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</si>
  <si>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</si>
  <si>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</si>
  <si>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</si>
  <si>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</si>
  <si>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</si>
  <si>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</si>
  <si>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</si>
  <si>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</si>
  <si>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</si>
  <si>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</si>
  <si>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</si>
  <si>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</si>
  <si>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</si>
  <si>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</si>
  <si>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</si>
  <si>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</si>
  <si>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</si>
  <si>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</si>
  <si>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</si>
  <si>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</si>
  <si>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</si>
  <si>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</si>
  <si>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</si>
  <si>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</si>
  <si>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</si>
  <si>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</si>
  <si>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</si>
  <si>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</si>
  <si>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</si>
  <si>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</si>
  <si>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</si>
  <si>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</si>
  <si>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</si>
  <si>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</si>
  <si>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</si>
  <si>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</si>
  <si>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</si>
  <si>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</si>
  <si>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</si>
  <si>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</si>
  <si>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</si>
  <si>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</si>
  <si>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</si>
  <si>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</si>
  <si>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</si>
  <si>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</si>
  <si>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</si>
  <si>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</si>
  <si>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</si>
  <si>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</si>
  <si>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</si>
  <si>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</si>
  <si>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</si>
  <si>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</si>
  <si>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</si>
  <si>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</si>
  <si>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</si>
  <si>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</si>
  <si>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</si>
  <si>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</si>
  <si>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</si>
  <si>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</si>
  <si>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</si>
  <si>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</si>
  <si>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</si>
  <si>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</si>
  <si>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</si>
  <si>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</si>
  <si>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</si>
  <si>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</si>
  <si>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</si>
  <si>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</si>
  <si>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</si>
  <si>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</si>
  <si>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</si>
  <si>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</si>
  <si>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</si>
  <si>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</si>
  <si>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</si>
  <si>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</si>
  <si>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</si>
  <si>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</si>
  <si>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</si>
  <si>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</si>
  <si>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</si>
  <si>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</si>
  <si>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</si>
  <si>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</si>
  <si>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</si>
  <si>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</si>
  <si>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</si>
  <si>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</si>
  <si>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</si>
  <si>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</si>
  <si>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</si>
  <si>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</si>
  <si>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</si>
  <si>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</si>
  <si>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</si>
  <si>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</si>
  <si>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</si>
  <si>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</si>
  <si>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</si>
  <si>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</si>
  <si>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</si>
  <si>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</si>
  <si>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</si>
  <si>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</si>
  <si>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</si>
  <si>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</si>
  <si>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</si>
  <si>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</si>
  <si>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</si>
  <si>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</si>
  <si>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</si>
  <si>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</si>
  <si>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</si>
  <si>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</si>
  <si>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</si>
  <si>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</si>
  <si>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</si>
  <si>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</si>
  <si>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</si>
  <si>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</si>
  <si>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</si>
  <si>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</si>
  <si>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</si>
  <si>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</si>
  <si>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</si>
  <si>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</si>
  <si>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</si>
  <si>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</si>
  <si>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</si>
  <si>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</si>
  <si>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</si>
  <si>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</si>
  <si>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</si>
  <si>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</si>
  <si>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</si>
  <si>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</si>
  <si>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</si>
  <si>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</si>
  <si>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</si>
  <si>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</si>
  <si>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</si>
  <si>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</si>
  <si>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</si>
  <si>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</si>
  <si>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</si>
  <si>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</si>
  <si>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</si>
  <si>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</si>
  <si>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</si>
  <si>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</si>
  <si>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</si>
  <si>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</si>
  <si>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</si>
  <si>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</si>
  <si>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</si>
  <si>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</si>
  <si>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</si>
  <si>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</si>
  <si>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</si>
  <si>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</si>
  <si>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</si>
  <si>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</si>
  <si>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</si>
  <si>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</si>
  <si>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</si>
  <si>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</si>
  <si>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</si>
  <si>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</si>
  <si>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</si>
  <si>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</si>
  <si>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</si>
  <si>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</si>
  <si>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</si>
  <si>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</si>
  <si>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</si>
  <si>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</si>
  <si>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</si>
  <si>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</si>
  <si>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</si>
  <si>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</si>
  <si>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</si>
  <si>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</si>
  <si>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</si>
  <si>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</si>
  <si>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</si>
  <si>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</si>
  <si>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</si>
  <si>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</si>
  <si>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</si>
  <si>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</si>
  <si>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</si>
  <si>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</si>
  <si>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</si>
  <si>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</si>
  <si>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</si>
  <si>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</si>
  <si>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</si>
  <si>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</si>
  <si>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</si>
  <si>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</si>
  <si>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</si>
  <si>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</si>
  <si>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</si>
  <si>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</si>
  <si>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</si>
  <si>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</si>
  <si>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</si>
  <si>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</si>
  <si>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</si>
  <si>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</si>
  <si>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</si>
  <si>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</si>
  <si>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</si>
  <si>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</si>
  <si>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</si>
  <si>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</si>
  <si>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</si>
  <si>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</si>
  <si>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</si>
  <si>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</si>
  <si>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</si>
  <si>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</si>
  <si>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</si>
  <si>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</si>
  <si>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</si>
  <si>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</si>
  <si>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</si>
  <si>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</si>
  <si>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</si>
  <si>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</si>
  <si>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</si>
  <si>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</si>
  <si>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</si>
  <si>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</si>
  <si>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</si>
  <si>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</si>
  <si>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</si>
  <si>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</si>
  <si>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</si>
  <si>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</si>
  <si>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</si>
  <si>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</si>
  <si>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</si>
  <si>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</si>
  <si>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</si>
  <si>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</si>
  <si>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</si>
  <si>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</si>
  <si>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</si>
  <si>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</si>
  <si>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</si>
  <si>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</si>
  <si>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</si>
  <si>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</si>
  <si>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</si>
  <si>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</si>
  <si>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</si>
  <si>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</si>
  <si>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</si>
  <si>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</si>
  <si>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</si>
  <si>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</si>
  <si>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</si>
  <si>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</si>
  <si>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</si>
  <si>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</si>
  <si>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</si>
  <si>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</si>
  <si>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</si>
  <si>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</si>
  <si>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</si>
  <si>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</si>
  <si>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</si>
  <si>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</si>
  <si>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</si>
  <si>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</si>
  <si>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</si>
  <si>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</si>
  <si>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</si>
  <si>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</si>
  <si>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</si>
  <si>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</si>
  <si>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</si>
  <si>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</si>
  <si>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</si>
  <si>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</si>
  <si>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</si>
  <si>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</si>
  <si>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</si>
  <si>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</si>
  <si>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</si>
  <si>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</si>
  <si>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</si>
  <si>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</si>
  <si>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</si>
  <si>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</si>
  <si>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</si>
  <si>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</si>
  <si>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</si>
  <si>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</si>
  <si>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</si>
  <si>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</si>
  <si>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</si>
  <si>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</si>
  <si>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</si>
  <si>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</si>
  <si>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</si>
  <si>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</si>
  <si>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</si>
  <si>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</si>
  <si>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</si>
  <si>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</si>
  <si>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</si>
  <si>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</si>
  <si>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</si>
  <si>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</si>
  <si>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</si>
  <si>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</si>
  <si>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</si>
  <si>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</si>
  <si>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</si>
  <si>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</si>
  <si>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</si>
  <si>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</si>
  <si>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</si>
  <si>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</si>
  <si>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</si>
  <si>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</si>
  <si>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</si>
  <si>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</si>
  <si>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</si>
  <si>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</si>
  <si>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</si>
  <si>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</si>
  <si>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</si>
  <si>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</si>
  <si>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</si>
  <si>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</si>
  <si>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</si>
  <si>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</si>
  <si>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</si>
  <si>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</si>
  <si>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</si>
  <si>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</si>
  <si>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</si>
  <si>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</si>
  <si>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</si>
  <si>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</si>
  <si>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</si>
  <si>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</si>
  <si>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</si>
  <si>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</si>
  <si>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</si>
  <si>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</si>
  <si>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</si>
  <si>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</si>
  <si>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</si>
  <si>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</si>
  <si>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</si>
  <si>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</si>
  <si>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</si>
  <si>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</si>
  <si>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</si>
  <si>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</si>
  <si>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</si>
  <si>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</si>
  <si>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</si>
  <si>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</si>
  <si>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</si>
  <si>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</si>
  <si>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</si>
  <si>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</si>
  <si>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</si>
  <si>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</si>
  <si>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</si>
  <si>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</si>
  <si>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</si>
  <si>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</si>
  <si>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</si>
  <si>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</si>
  <si>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</si>
  <si>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</si>
  <si>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</si>
  <si>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</si>
  <si>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</si>
  <si>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</si>
  <si>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</si>
  <si>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</si>
  <si>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</si>
  <si>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</si>
  <si>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</si>
  <si>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</si>
  <si>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</si>
  <si>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</si>
  <si>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</si>
  <si>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</si>
  <si>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</si>
  <si>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</si>
  <si>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</si>
  <si>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</si>
  <si>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</si>
  <si>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</si>
  <si>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</si>
  <si>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</si>
  <si>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</si>
  <si>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</si>
  <si>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</si>
  <si>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</si>
  <si>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</si>
  <si>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</si>
  <si>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</si>
  <si>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</si>
  <si>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</si>
  <si>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</si>
  <si>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</si>
  <si>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</si>
  <si>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</si>
  <si>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</si>
  <si>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</si>
  <si>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</si>
  <si>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</si>
  <si>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</si>
  <si>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</si>
  <si>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</si>
  <si>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</si>
  <si>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</si>
  <si>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</si>
  <si>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</si>
  <si>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</si>
  <si>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</si>
  <si>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</si>
  <si>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</si>
  <si>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</si>
  <si>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</si>
  <si>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</si>
  <si>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</si>
  <si>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</si>
  <si>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</si>
  <si>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</si>
  <si>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</si>
  <si>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</si>
  <si>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</si>
  <si>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</si>
  <si>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</si>
  <si>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</si>
  <si>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</si>
  <si>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</si>
  <si>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</si>
  <si>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</si>
  <si>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</si>
  <si>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</si>
  <si>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</si>
  <si>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</si>
  <si>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</si>
  <si>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</si>
  <si>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</si>
  <si>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</si>
  <si>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園-45 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</si>
  <si>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</si>
  <si>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</si>
  <si>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</si>
  <si>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</si>
  <si>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</si>
  <si>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</si>
  <si>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</si>
  <si>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</si>
  <si>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</si>
  <si>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</si>
  <si>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</si>
  <si>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</si>
  <si>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</si>
  <si>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</si>
  <si>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</si>
  <si>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</si>
  <si>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</si>
  <si>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</si>
  <si>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</si>
  <si>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</si>
  <si>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</si>
  <si>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</si>
  <si>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</si>
  <si>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</si>
  <si>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</si>
  <si>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</si>
  <si>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</si>
  <si>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</si>
  <si>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</si>
  <si>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</si>
  <si>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</si>
  <si>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</si>
  <si>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</si>
  <si>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</si>
  <si>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</si>
  <si>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</si>
  <si>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</si>
  <si>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</si>
  <si>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</si>
  <si>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</si>
  <si>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</si>
  <si>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放進地圖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</si>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</sst>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color rgb="FF000000"/>
      <name val="PingFang TC"/>
    </font>
    <font>
      <color rgb="FF000000"/>
      <name val="PingFang TC"/>
    </font>
    <font>
      <b/>
      <sz val="11.0"/>
      <color theme="1"/>
      <name val="Arial"/>
    </font>
    <font>
      <b/>
      <sz val="12.0"/>
      <color rgb="FF222222"/>
      <name val="Roboto"/>
    </font>
    <font>
      <sz val="11.0"/>
      <color rgb="FF16171A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2" fillId="4" fontId="7" numFmtId="0" xfId="0" applyAlignment="1" applyBorder="1" applyFill="1" applyFont="1">
      <alignment readingOrder="0" vertical="top"/>
    </xf>
    <xf borderId="2" fillId="0" fontId="8" numFmtId="0" xfId="0" applyAlignment="1" applyBorder="1" applyFont="1">
      <alignment readingOrder="0" vertical="top"/>
    </xf>
    <xf borderId="2" fillId="0" fontId="1" numFmtId="0" xfId="0" applyAlignment="1" applyBorder="1" applyFont="1">
      <alignment vertical="top"/>
    </xf>
    <xf borderId="2" fillId="0" fontId="1" numFmtId="0" xfId="0" applyAlignment="1" applyBorder="1" applyFont="1">
      <alignment readingOrder="0" vertical="top"/>
    </xf>
    <xf borderId="1" fillId="2" fontId="9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1" fillId="3" fontId="4" numFmtId="0" xfId="0" applyAlignment="1" applyBorder="1" applyFill="1" applyFont="1">
      <alignment readingOrder="0" shrinkToFit="0" vertical="bottom" wrapText="0"/>
    </xf>
    <xf borderId="0" fillId="5" fontId="10" numFmtId="0" xfId="0" applyAlignment="1" applyFill="1" applyFont="1">
      <alignment horizontal="left" readingOrder="0"/>
    </xf>
    <xf borderId="0" fillId="5" fontId="11" numFmtId="0" xfId="0" applyAlignment="1" applyFill="1" applyFont="1">
      <alignment shrinkToFit="0" vertical="top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IFERROR(__xludf.DUMMYFUNCTION("""COMPUTED_VALUE"""),"原-28")</f>
        <v>原-28</v>
      </c>
      <c r="B5" s="1" t="str">
        <f>IFERROR(__xludf.DUMMYFUNCTION("""COMPUTED_VALUE"""),"排香草")</f>
        <v>排香草</v>
      </c>
      <c r="C5" s="1" t="str">
        <f>IFERROR(__xludf.DUMMYFUNCTION("""COMPUTED_VALUE"""),"現存")</f>
        <v>現存</v>
      </c>
      <c r="D5" s="1"/>
      <c r="E5" s="1" t="str">
        <f>IFERROR(__xludf.DUMMYFUNCTION("""COMPUTED_VALUE"""),"現存")</f>
        <v>現存</v>
      </c>
      <c r="F5" s="1" t="str">
        <f>IFERROR(__xludf.DUMMYFUNCTION("""COMPUTED_VALUE"""),"5,6,7,8,9")</f>
        <v>5,6,7,8,9</v>
      </c>
      <c r="G5" s="1" t="str">
        <f>IFERROR(__xludf.DUMMYFUNCTION("""COMPUTED_VALUE"""),"5,6,7,8,9,10")</f>
        <v>5,6,7,8,9,10</v>
      </c>
      <c r="H5" s="1" t="str">
        <f>IFERROR(__xludf.DUMMYFUNCTION("""COMPUTED_VALUE"""),"5,6,7,8,9,10")</f>
        <v>5,6,7,8,9,10</v>
      </c>
    </row>
    <row r="6">
      <c r="A6" s="1" t="str">
        <f>IFERROR(__xludf.DUMMYFUNCTION("""COMPUTED_VALUE"""),"原-34")</f>
        <v>原-34</v>
      </c>
      <c r="B6" s="1" t="str">
        <f>IFERROR(__xludf.DUMMYFUNCTION("""COMPUTED_VALUE"""),"細葉假黃鵪菜")</f>
        <v>細葉假黃鵪菜</v>
      </c>
      <c r="C6" s="1" t="str">
        <f>IFERROR(__xludf.DUMMYFUNCTION("""COMPUTED_VALUE"""),"現存")</f>
        <v>現存</v>
      </c>
      <c r="D6" s="1" t="str">
        <f>IFERROR(__xludf.DUMMYFUNCTION("""COMPUTED_VALUE"""),"近年未見")</f>
        <v>近年未見</v>
      </c>
      <c r="E6" s="1" t="str">
        <f>IFERROR(__xludf.DUMMYFUNCTION("""COMPUTED_VALUE"""),"近年未見")</f>
        <v>近年未見</v>
      </c>
      <c r="F6" s="1" t="str">
        <f>IFERROR(__xludf.DUMMYFUNCTION("""COMPUTED_VALUE"""),"6")</f>
        <v>6</v>
      </c>
      <c r="G6" s="1"/>
      <c r="H6" s="1" t="str">
        <f>IFERROR(__xludf.DUMMYFUNCTION("""COMPUTED_VALUE"""),"6")</f>
        <v>6</v>
      </c>
    </row>
    <row r="7">
      <c r="A7" s="1" t="str">
        <f>IFERROR(__xludf.DUMMYFUNCTION("""COMPUTED_VALUE"""),"名-01")</f>
        <v>名-01</v>
      </c>
      <c r="B7" s="1" t="str">
        <f>IFERROR(__xludf.DUMMYFUNCTION("""COMPUTED_VALUE"""),"佛氏通泉草")</f>
        <v>佛氏通泉草</v>
      </c>
      <c r="C7" s="1" t="str">
        <f>IFERROR(__xludf.DUMMYFUNCTION("""COMPUTED_VALUE"""),"現存")</f>
        <v>現存</v>
      </c>
      <c r="D7" s="1" t="str">
        <f>IFERROR(__xludf.DUMMYFUNCTION("""COMPUTED_VALUE"""),"現存")</f>
        <v>現存</v>
      </c>
      <c r="E7" s="1" t="str">
        <f>IFERROR(__xludf.DUMMYFUNCTION("""COMPUTED_VALUE"""),"現存")</f>
        <v>現存</v>
      </c>
      <c r="F7" s="1" t="str">
        <f>IFERROR(__xludf.DUMMYFUNCTION("""COMPUTED_VALUE"""),"1,2,4")</f>
        <v>1,2,4</v>
      </c>
      <c r="G7" s="1"/>
      <c r="H7" s="1" t="str">
        <f>IFERROR(__xludf.DUMMYFUNCTION("""COMPUTED_VALUE"""),"1,2,4")</f>
        <v>1,2,4</v>
      </c>
    </row>
    <row r="8">
      <c r="A8" s="1" t="str">
        <f>IFERROR(__xludf.DUMMYFUNCTION("""COMPUTED_VALUE"""),"名-17")</f>
        <v>名-17</v>
      </c>
      <c r="B8" s="1" t="str">
        <f>IFERROR(__xludf.DUMMYFUNCTION("""COMPUTED_VALUE"""),"小苞黃脈爵床")</f>
        <v>小苞黃脈爵床</v>
      </c>
      <c r="C8" s="1" t="str">
        <f>IFERROR(__xludf.DUMMYFUNCTION("""COMPUTED_VALUE"""),"現存")</f>
        <v>現存</v>
      </c>
      <c r="D8" s="1" t="str">
        <f>IFERROR(__xludf.DUMMYFUNCTION("""COMPUTED_VALUE"""),"不收錄")</f>
        <v>不收錄</v>
      </c>
      <c r="E8" s="1" t="str">
        <f>IFERROR(__xludf.DUMMYFUNCTION("""COMPUTED_VALUE"""),"不收錄")</f>
        <v>不收錄</v>
      </c>
      <c r="F8" s="1" t="str">
        <f>IFERROR(__xludf.DUMMYFUNCTION("""COMPUTED_VALUE"""),"3")</f>
        <v>3</v>
      </c>
      <c r="G8" s="1"/>
      <c r="H8" s="1" t="str">
        <f>IFERROR(__xludf.DUMMYFUNCTION("""COMPUTED_VALUE"""),"3")</f>
        <v>3</v>
      </c>
    </row>
    <row r="9">
      <c r="A9" s="1" t="str">
        <f>IFERROR(__xludf.DUMMYFUNCTION("""COMPUTED_VALUE"""),"名-25")</f>
        <v>名-25</v>
      </c>
      <c r="B9" s="1" t="str">
        <f>IFERROR(__xludf.DUMMYFUNCTION("""COMPUTED_VALUE"""),"姬鳳梨")</f>
        <v>姬鳳梨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IFERROR(__xludf.DUMMYFUNCTION("""COMPUTED_VALUE"""),"4")</f>
        <v>4</v>
      </c>
      <c r="G9" s="1"/>
      <c r="H9" s="1" t="str">
        <f>IFERROR(__xludf.DUMMYFUNCTION("""COMPUTED_VALUE"""),"4")</f>
        <v>4</v>
      </c>
    </row>
    <row r="10">
      <c r="A10" s="1" t="str">
        <f>IFERROR(__xludf.DUMMYFUNCTION("""COMPUTED_VALUE"""),"名-30")</f>
        <v>名-30</v>
      </c>
      <c r="B10" s="1" t="str">
        <f>IFERROR(__xludf.DUMMYFUNCTION("""COMPUTED_VALUE"""),"蔓綠絨")</f>
        <v>蔓綠絨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IFERROR(__xludf.DUMMYFUNCTION("""COMPUTED_VALUE"""),"4,6")</f>
        <v>4,6</v>
      </c>
      <c r="G10" s="1"/>
      <c r="H10" s="1" t="str">
        <f>IFERROR(__xludf.DUMMYFUNCTION("""COMPUTED_VALUE"""),"4,6")</f>
        <v>4,6</v>
      </c>
    </row>
    <row r="11">
      <c r="A11" s="1" t="str">
        <f>IFERROR(__xludf.DUMMYFUNCTION("""COMPUTED_VALUE"""),"名-32")</f>
        <v>名-32</v>
      </c>
      <c r="B11" s="1" t="str">
        <f>IFERROR(__xludf.DUMMYFUNCTION("""COMPUTED_VALUE"""),"蘭嶼胡桐")</f>
        <v>蘭嶼胡桐</v>
      </c>
      <c r="C11" s="1" t="str">
        <f>IFERROR(__xludf.DUMMYFUNCTION("""COMPUTED_VALUE"""),"現存")</f>
        <v>現存</v>
      </c>
      <c r="D11" s="1"/>
      <c r="E11" s="1" t="str">
        <f>IFERROR(__xludf.DUMMYFUNCTION("""COMPUTED_VALUE"""),"現存")</f>
        <v>現存</v>
      </c>
      <c r="F11" s="1" t="str">
        <f>IFERROR(__xludf.DUMMYFUNCTION("""COMPUTED_VALUE"""),"4,6")</f>
        <v>4,6</v>
      </c>
      <c r="G11" s="1" t="str">
        <f>IFERROR(__xludf.DUMMYFUNCTION("""COMPUTED_VALUE"""),"4,5,6")</f>
        <v>4,5,6</v>
      </c>
      <c r="H11" s="1" t="str">
        <f>IFERROR(__xludf.DUMMYFUNCTION("""COMPUTED_VALUE"""),"4,5,6")</f>
        <v>4,5,6</v>
      </c>
    </row>
    <row r="12">
      <c r="A12" s="1" t="str">
        <f>IFERROR(__xludf.DUMMYFUNCTION("""COMPUTED_VALUE"""),"名-34")</f>
        <v>名-34</v>
      </c>
      <c r="B12" s="1" t="str">
        <f>IFERROR(__xludf.DUMMYFUNCTION("""COMPUTED_VALUE"""),"豨薟")</f>
        <v>豨薟</v>
      </c>
      <c r="C12" s="1" t="str">
        <f>IFERROR(__xludf.DUMMYFUNCTION("""COMPUTED_VALUE"""),"現存")</f>
        <v>現存</v>
      </c>
      <c r="D12" s="1" t="str">
        <f>IFERROR(__xludf.DUMMYFUNCTION("""COMPUTED_VALUE"""),"近年未見")</f>
        <v>近年未見</v>
      </c>
      <c r="E12" s="1" t="str">
        <f>IFERROR(__xludf.DUMMYFUNCTION("""COMPUTED_VALUE"""),"近年未見")</f>
        <v>近年未見</v>
      </c>
      <c r="F12" s="1" t="str">
        <f>IFERROR(__xludf.DUMMYFUNCTION("""COMPUTED_VALUE"""),"4")</f>
        <v>4</v>
      </c>
      <c r="G12" s="1"/>
      <c r="H12" s="1" t="str">
        <f>IFERROR(__xludf.DUMMYFUNCTION("""COMPUTED_VALUE"""),"4")</f>
        <v>4</v>
      </c>
    </row>
    <row r="13">
      <c r="A13" s="1" t="str">
        <f>IFERROR(__xludf.DUMMYFUNCTION("""COMPUTED_VALUE"""),"名-46")</f>
        <v>名-46</v>
      </c>
      <c r="B13" s="1" t="str">
        <f>IFERROR(__xludf.DUMMYFUNCTION("""COMPUTED_VALUE"""),"大花秋海棠")</f>
        <v>大花秋海棠</v>
      </c>
      <c r="C13" s="1" t="str">
        <f>IFERROR(__xludf.DUMMYFUNCTION("""COMPUTED_VALUE"""),"現存")</f>
        <v>現存</v>
      </c>
      <c r="D13" s="1" t="str">
        <f>IFERROR(__xludf.DUMMYFUNCTION("""COMPUTED_VALUE"""),"不收錄")</f>
        <v>不收錄</v>
      </c>
      <c r="E13" s="1" t="str">
        <f>IFERROR(__xludf.DUMMYFUNCTION("""COMPUTED_VALUE"""),"不收錄")</f>
        <v>不收錄</v>
      </c>
      <c r="F13" s="1" t="str">
        <f>IFERROR(__xludf.DUMMYFUNCTION("""COMPUTED_VALUE"""),"6")</f>
        <v>6</v>
      </c>
      <c r="G13" s="1"/>
      <c r="H13" s="1" t="str">
        <f>IFERROR(__xludf.DUMMYFUNCTION("""COMPUTED_VALUE"""),"6")</f>
        <v>6</v>
      </c>
    </row>
    <row r="14">
      <c r="A14" s="1" t="str">
        <f>IFERROR(__xludf.DUMMYFUNCTION("""COMPUTED_VALUE"""),"名-51")</f>
        <v>名-51</v>
      </c>
      <c r="B14" s="1" t="str">
        <f>IFERROR(__xludf.DUMMYFUNCTION("""COMPUTED_VALUE"""),"哈里斯鳳梨")</f>
        <v>哈里斯鳳梨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IFERROR(__xludf.DUMMYFUNCTION("""COMPUTED_VALUE"""),"8")</f>
        <v>8</v>
      </c>
      <c r="G14" s="1"/>
      <c r="H14" s="1" t="str">
        <f>IFERROR(__xludf.DUMMYFUNCTION("""COMPUTED_VALUE"""),"8")</f>
        <v>8</v>
      </c>
    </row>
    <row r="15">
      <c r="A15" s="1" t="str">
        <f>IFERROR(__xludf.DUMMYFUNCTION("""COMPUTED_VALUE"""),"名-52")</f>
        <v>名-52</v>
      </c>
      <c r="B15" s="1" t="str">
        <f>IFERROR(__xludf.DUMMYFUNCTION("""COMPUTED_VALUE"""),"黑狐狸秋海棠")</f>
        <v>黑狐狸秋海棠</v>
      </c>
      <c r="C15" s="1" t="str">
        <f>IFERROR(__xludf.DUMMYFUNCTION("""COMPUTED_VALUE"""),"現存")</f>
        <v>現存</v>
      </c>
      <c r="D15" s="1" t="str">
        <f>IFERROR(__xludf.DUMMYFUNCTION("""COMPUTED_VALUE"""),"近年未見")</f>
        <v>近年未見</v>
      </c>
      <c r="E15" s="1" t="str">
        <f>IFERROR(__xludf.DUMMYFUNCTION("""COMPUTED_VALUE"""),"近年未見")</f>
        <v>近年未見</v>
      </c>
      <c r="F15" s="1" t="str">
        <f>IFERROR(__xludf.DUMMYFUNCTION("""COMPUTED_VALUE"""),"8")</f>
        <v>8</v>
      </c>
      <c r="G15" s="1"/>
      <c r="H15" s="1" t="str">
        <f>IFERROR(__xludf.DUMMYFUNCTION("""COMPUTED_VALUE"""),"8")</f>
        <v>8</v>
      </c>
    </row>
    <row r="16">
      <c r="A16" s="1" t="str">
        <f>IFERROR(__xludf.DUMMYFUNCTION("""COMPUTED_VALUE"""),"名-59")</f>
        <v>名-59</v>
      </c>
      <c r="B16" s="1" t="str">
        <f>IFERROR(__xludf.DUMMYFUNCTION("""COMPUTED_VALUE"""),"耳葉鴨跖草")</f>
        <v>耳葉鴨跖草</v>
      </c>
      <c r="C16" s="1" t="str">
        <f>IFERROR(__xludf.DUMMYFUNCTION("""COMPUTED_VALUE"""),"現存")</f>
        <v>現存</v>
      </c>
      <c r="D16" s="1" t="str">
        <f>IFERROR(__xludf.DUMMYFUNCTION("""COMPUTED_VALUE"""),"不收錄")</f>
        <v>不收錄</v>
      </c>
      <c r="E16" s="1" t="str">
        <f>IFERROR(__xludf.DUMMYFUNCTION("""COMPUTED_VALUE"""),"不收錄")</f>
        <v>不收錄</v>
      </c>
      <c r="F16" s="1" t="str">
        <f>IFERROR(__xludf.DUMMYFUNCTION("""COMPUTED_VALUE"""),"11")</f>
        <v>11</v>
      </c>
      <c r="G16" s="1"/>
      <c r="H16" s="1" t="str">
        <f>IFERROR(__xludf.DUMMYFUNCTION("""COMPUTED_VALUE"""),"11")</f>
        <v>11</v>
      </c>
    </row>
    <row r="17">
      <c r="A17" s="1" t="str">
        <f>IFERROR(__xludf.DUMMYFUNCTION("""COMPUTED_VALUE"""),"園-04")</f>
        <v>園-04</v>
      </c>
      <c r="B17" s="1" t="str">
        <f>IFERROR(__xludf.DUMMYFUNCTION("""COMPUTED_VALUE"""),"杜英")</f>
        <v>杜英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IFERROR(__xludf.DUMMYFUNCTION("""COMPUTED_VALUE"""),"1,3")</f>
        <v>1,3</v>
      </c>
      <c r="G17" s="1"/>
      <c r="H17" s="1" t="str">
        <f>IFERROR(__xludf.DUMMYFUNCTION("""COMPUTED_VALUE"""),"1,3")</f>
        <v>1,3</v>
      </c>
    </row>
    <row r="18">
      <c r="A18" s="1" t="str">
        <f>IFERROR(__xludf.DUMMYFUNCTION("""COMPUTED_VALUE"""),"園-17")</f>
        <v>園-17</v>
      </c>
      <c r="B18" s="1" t="str">
        <f>IFERROR(__xludf.DUMMYFUNCTION("""COMPUTED_VALUE"""),"藝妓咖啡")</f>
        <v>藝妓咖啡</v>
      </c>
      <c r="C18" s="1" t="str">
        <f>IFERROR(__xludf.DUMMYFUNCTION("""COMPUTED_VALUE"""),"近年未見")</f>
        <v>近年未見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IFERROR(__xludf.DUMMYFUNCTION("""COMPUTED_VALUE"""),"4")</f>
        <v>4</v>
      </c>
      <c r="G18" s="1"/>
      <c r="H18" s="1" t="str">
        <f>IFERROR(__xludf.DUMMYFUNCTION("""COMPUTED_VALUE"""),"4")</f>
        <v>4</v>
      </c>
    </row>
    <row r="19">
      <c r="A19" s="1" t="str">
        <f>IFERROR(__xludf.DUMMYFUNCTION("""COMPUTED_VALUE"""),"園-27")</f>
        <v>園-27</v>
      </c>
      <c r="B19" s="1" t="str">
        <f>IFERROR(__xludf.DUMMYFUNCTION("""COMPUTED_VALUE"""),"紫金牛")</f>
        <v>紫金牛</v>
      </c>
      <c r="C19" s="1" t="str">
        <f>IFERROR(__xludf.DUMMYFUNCTION("""COMPUTED_VALUE"""),"現存")</f>
        <v>現存</v>
      </c>
      <c r="D19" s="1" t="str">
        <f>IFERROR(__xludf.DUMMYFUNCTION("""COMPUTED_VALUE"""),"不收錄")</f>
        <v>不收錄</v>
      </c>
      <c r="E19" s="1" t="str">
        <f>IFERROR(__xludf.DUMMYFUNCTION("""COMPUTED_VALUE"""),"不收錄")</f>
        <v>不收錄</v>
      </c>
      <c r="F19" s="1" t="str">
        <f>IFERROR(__xludf.DUMMYFUNCTION("""COMPUTED_VALUE"""),"6,7")</f>
        <v>6,7</v>
      </c>
      <c r="G19" s="1"/>
      <c r="H19" s="1" t="str">
        <f>IFERROR(__xludf.DUMMYFUNCTION("""COMPUTED_VALUE"""),"6,7")</f>
        <v>6,7</v>
      </c>
    </row>
    <row r="20">
      <c r="A20" s="1" t="str">
        <f>IFERROR(__xludf.DUMMYFUNCTION("""COMPUTED_VALUE"""),"園-37")</f>
        <v>園-37</v>
      </c>
      <c r="B20" s="1" t="str">
        <f>IFERROR(__xludf.DUMMYFUNCTION("""COMPUTED_VALUE"""),"鐵雨傘")</f>
        <v>鐵雨傘</v>
      </c>
      <c r="C20" s="1" t="str">
        <f>IFERROR(__xludf.DUMMYFUNCTION("""COMPUTED_VALUE"""),"現存")</f>
        <v>現存</v>
      </c>
      <c r="D20" s="1" t="str">
        <f>IFERROR(__xludf.DUMMYFUNCTION("""COMPUTED_VALUE"""),"現存")</f>
        <v>現存</v>
      </c>
      <c r="E20" s="1" t="str">
        <f>IFERROR(__xludf.DUMMYFUNCTION("""COMPUTED_VALUE"""),"現存")</f>
        <v>現存</v>
      </c>
      <c r="F20" s="1" t="str">
        <f>IFERROR(__xludf.DUMMYFUNCTION("""COMPUTED_VALUE"""),"9")</f>
        <v>9</v>
      </c>
      <c r="G20" s="1"/>
      <c r="H20" s="1" t="str">
        <f>IFERROR(__xludf.DUMMYFUNCTION("""COMPUTED_VALUE"""),"9")</f>
        <v>9</v>
      </c>
    </row>
    <row r="21">
      <c r="A21" s="1" t="str">
        <f>IFERROR(__xludf.DUMMYFUNCTION("""COMPUTED_VALUE"""),"園-40")</f>
        <v>園-40</v>
      </c>
      <c r="B21" s="1" t="str">
        <f>IFERROR(__xludf.DUMMYFUNCTION("""COMPUTED_VALUE"""),"細葉結縷草")</f>
        <v>細葉結縷草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IFERROR(__xludf.DUMMYFUNCTION("""COMPUTED_VALUE"""),"10")</f>
        <v>10</v>
      </c>
      <c r="G21" s="1"/>
      <c r="H21" s="1" t="str">
        <f>IFERROR(__xludf.DUMMYFUNCTION("""COMPUTED_VALUE"""),"10")</f>
        <v>10</v>
      </c>
    </row>
    <row r="22">
      <c r="A22" s="1" t="str">
        <f>IFERROR(__xludf.DUMMYFUNCTION("""COMPUTED_VALUE"""),"園-45")</f>
        <v>園-45</v>
      </c>
      <c r="B22" s="1" t="str">
        <f>IFERROR(__xludf.DUMMYFUNCTION("""COMPUTED_VALUE"""),"越橘葉曼絨")</f>
        <v>越橘葉曼絨</v>
      </c>
      <c r="C22" s="1" t="str">
        <f>IFERROR(__xludf.DUMMYFUNCTION("""COMPUTED_VALUE"""),"現存")</f>
        <v>現存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IFERROR(__xludf.DUMMYFUNCTION("""COMPUTED_VALUE"""),"11")</f>
        <v>11</v>
      </c>
      <c r="G22" s="1"/>
      <c r="H22" s="1" t="str">
        <f>IFERROR(__xludf.DUMMYFUNCTION("""COMPUTED_VALUE"""),"11")</f>
        <v>11</v>
      </c>
    </row>
    <row r="23">
      <c r="A23" s="1" t="str">
        <f>IFERROR(__xludf.DUMMYFUNCTION("""COMPUTED_VALUE"""),"地-02")</f>
        <v>地-02</v>
      </c>
      <c r="B23" s="1" t="str">
        <f>IFERROR(__xludf.DUMMYFUNCTION("""COMPUTED_VALUE"""),"咖啡")</f>
        <v>咖啡</v>
      </c>
      <c r="C23" s="1" t="str">
        <f>IFERROR(__xludf.DUMMYFUNCTION("""COMPUTED_VALUE"""),"現存")</f>
        <v>現存</v>
      </c>
      <c r="D23" s="1" t="str">
        <f>IFERROR(__xludf.DUMMYFUNCTION("""COMPUTED_VALUE"""),"不收錄")</f>
        <v>不收錄</v>
      </c>
      <c r="E23" s="1" t="str">
        <f>IFERROR(__xludf.DUMMYFUNCTION("""COMPUTED_VALUE"""),"不收錄")</f>
        <v>不收錄</v>
      </c>
      <c r="F23" s="1" t="str">
        <f>IFERROR(__xludf.DUMMYFUNCTION("""COMPUTED_VALUE"""),"1,2,3,4")</f>
        <v>1,2,3,4</v>
      </c>
      <c r="G23" s="1"/>
      <c r="H23" s="1" t="str">
        <f>IFERROR(__xludf.DUMMYFUNCTION("""COMPUTED_VALUE"""),"1,2,3,4")</f>
        <v>1,2,3,4</v>
      </c>
    </row>
    <row r="24">
      <c r="A24" s="1" t="str">
        <f>IFERROR(__xludf.DUMMYFUNCTION("""COMPUTED_VALUE"""),"地-11")</f>
        <v>地-11</v>
      </c>
      <c r="B24" s="1" t="str">
        <f>IFERROR(__xludf.DUMMYFUNCTION("""COMPUTED_VALUE"""),"台灣黃鵪菜")</f>
        <v>台灣黃鵪菜</v>
      </c>
      <c r="C24" s="1" t="str">
        <f>IFERROR(__xludf.DUMMYFUNCTION("""COMPUTED_VALUE"""),"現存")</f>
        <v>現存</v>
      </c>
      <c r="D24" s="1" t="str">
        <f>IFERROR(__xludf.DUMMYFUNCTION("""COMPUTED_VALUE"""),"近年未見")</f>
        <v>近年未見</v>
      </c>
      <c r="E24" s="1" t="str">
        <f>IFERROR(__xludf.DUMMYFUNCTION("""COMPUTED_VALUE"""),"近年未見")</f>
        <v>近年未見</v>
      </c>
      <c r="F24" s="1" t="str">
        <f>IFERROR(__xludf.DUMMYFUNCTION("""COMPUTED_VALUE"""),"2")</f>
        <v>2</v>
      </c>
      <c r="G24" s="1"/>
      <c r="H24" s="1" t="str">
        <f>IFERROR(__xludf.DUMMYFUNCTION("""COMPUTED_VALUE"""),"2")</f>
        <v>2</v>
      </c>
    </row>
    <row r="25">
      <c r="A25" s="1" t="str">
        <f>IFERROR(__xludf.DUMMYFUNCTION("""COMPUTED_VALUE"""),"地-12")</f>
        <v>地-12</v>
      </c>
      <c r="B25" s="1" t="str">
        <f>IFERROR(__xludf.DUMMYFUNCTION("""COMPUTED_VALUE"""),"吉野櫻")</f>
        <v>吉野櫻</v>
      </c>
      <c r="C25" s="1" t="str">
        <f>IFERROR(__xludf.DUMMYFUNCTION("""COMPUTED_VALUE"""),"近年未見")</f>
        <v>近年未見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IFERROR(__xludf.DUMMYFUNCTION("""COMPUTED_VALUE"""),"2,3,11")</f>
        <v>2,3,11</v>
      </c>
      <c r="G25" s="1"/>
      <c r="H25" s="1" t="str">
        <f>IFERROR(__xludf.DUMMYFUNCTION("""COMPUTED_VALUE"""),"2,3,11")</f>
        <v>2,3,11</v>
      </c>
    </row>
    <row r="26">
      <c r="A26" s="1" t="str">
        <f>IFERROR(__xludf.DUMMYFUNCTION("""COMPUTED_VALUE"""),"地-21")</f>
        <v>地-21</v>
      </c>
      <c r="B26" s="1" t="str">
        <f>IFERROR(__xludf.DUMMYFUNCTION("""COMPUTED_VALUE"""),"基隆紫堇")</f>
        <v>基隆紫堇</v>
      </c>
      <c r="C26" s="1" t="str">
        <f>IFERROR(__xludf.DUMMYFUNCTION("""COMPUTED_VALUE"""),"現存")</f>
        <v>現存</v>
      </c>
      <c r="D26" s="1" t="str">
        <f>IFERROR(__xludf.DUMMYFUNCTION("""COMPUTED_VALUE"""),"近年未見")</f>
        <v>近年未見</v>
      </c>
      <c r="E26" s="1" t="str">
        <f>IFERROR(__xludf.DUMMYFUNCTION("""COMPUTED_VALUE"""),"近年未見")</f>
        <v>近年未見</v>
      </c>
      <c r="F26" s="1" t="str">
        <f>IFERROR(__xludf.DUMMYFUNCTION("""COMPUTED_VALUE"""),"3")</f>
        <v>3</v>
      </c>
      <c r="G26" s="1"/>
      <c r="H26" s="1" t="str">
        <f>IFERROR(__xludf.DUMMYFUNCTION("""COMPUTED_VALUE"""),"3")</f>
        <v>3</v>
      </c>
    </row>
    <row r="27">
      <c r="A27" s="1" t="str">
        <f>IFERROR(__xludf.DUMMYFUNCTION("""COMPUTED_VALUE"""),"地-35")</f>
        <v>地-35</v>
      </c>
      <c r="B27" s="1" t="str">
        <f>IFERROR(__xludf.DUMMYFUNCTION("""COMPUTED_VALUE"""),"細葉紫珠")</f>
        <v>細葉紫珠</v>
      </c>
      <c r="C27" s="1" t="str">
        <f>IFERROR(__xludf.DUMMYFUNCTION("""COMPUTED_VALUE"""),"現存")</f>
        <v>現存</v>
      </c>
      <c r="D27" s="1" t="str">
        <f>IFERROR(__xludf.DUMMYFUNCTION("""COMPUTED_VALUE"""),"近年未見")</f>
        <v>近年未見</v>
      </c>
      <c r="E27" s="1" t="str">
        <f>IFERROR(__xludf.DUMMYFUNCTION("""COMPUTED_VALUE"""),"近年未見")</f>
        <v>近年未見</v>
      </c>
      <c r="F27" s="1" t="str">
        <f>IFERROR(__xludf.DUMMYFUNCTION("""COMPUTED_VALUE"""),"5")</f>
        <v>5</v>
      </c>
      <c r="G27" s="1"/>
      <c r="H27" s="1" t="str">
        <f>IFERROR(__xludf.DUMMYFUNCTION("""COMPUTED_VALUE"""),"5")</f>
        <v>5</v>
      </c>
    </row>
    <row r="28">
      <c r="A28" s="1" t="str">
        <f>IFERROR(__xludf.DUMMYFUNCTION("""COMPUTED_VALUE"""),"地-43")</f>
        <v>地-43</v>
      </c>
      <c r="B28" s="1" t="str">
        <f>IFERROR(__xludf.DUMMYFUNCTION("""COMPUTED_VALUE"""),"烏來鳳尾蕨")</f>
        <v>烏來鳳尾蕨</v>
      </c>
      <c r="C28" s="1" t="str">
        <f>IFERROR(__xludf.DUMMYFUNCTION("""COMPUTED_VALUE"""),"現存")</f>
        <v>現存</v>
      </c>
      <c r="D28" s="1" t="str">
        <f>IFERROR(__xludf.DUMMYFUNCTION("""COMPUTED_VALUE"""),"不收錄")</f>
        <v>不收錄</v>
      </c>
      <c r="E28" s="1" t="str">
        <f>IFERROR(__xludf.DUMMYFUNCTION("""COMPUTED_VALUE"""),"不收錄")</f>
        <v>不收錄</v>
      </c>
      <c r="F28" s="1" t="str">
        <f>IFERROR(__xludf.DUMMYFUNCTION("""COMPUTED_VALUE"""),"10")</f>
        <v>10</v>
      </c>
      <c r="G28" s="1"/>
      <c r="H28" s="1" t="str">
        <f>IFERROR(__xludf.DUMMYFUNCTION("""COMPUTED_VALUE"""),"10")</f>
        <v>10</v>
      </c>
    </row>
    <row r="29">
      <c r="A29" s="1" t="str">
        <f>IFERROR(__xludf.DUMMYFUNCTION("""COMPUTED_VALUE"""),"地-44")</f>
        <v>地-44</v>
      </c>
      <c r="B29" s="1" t="str">
        <f>IFERROR(__xludf.DUMMYFUNCTION("""COMPUTED_VALUE"""),"苗栗白花龍")</f>
        <v>苗栗白花龍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IFERROR(__xludf.DUMMYFUNCTION("""COMPUTED_VALUE"""),"11")</f>
        <v>11</v>
      </c>
      <c r="G29" s="1"/>
      <c r="H29" s="1" t="str">
        <f>IFERROR(__xludf.DUMMYFUNCTION("""COMPUTED_VALUE"""),"11")</f>
        <v>11</v>
      </c>
    </row>
    <row r="30">
      <c r="A30" s="1" t="str">
        <f>IFERROR(__xludf.DUMMYFUNCTION("""COMPUTED_VALUE"""),"天-01")</f>
        <v>天-01</v>
      </c>
      <c r="B30" s="1" t="str">
        <f>IFERROR(__xludf.DUMMYFUNCTION("""COMPUTED_VALUE"""),"火鶴花")</f>
        <v>火鶴花</v>
      </c>
      <c r="C30" s="1" t="str">
        <f>IFERROR(__xludf.DUMMYFUNCTION("""COMPUTED_VALUE"""),"現存")</f>
        <v>現存</v>
      </c>
      <c r="D30" s="1"/>
      <c r="E30" s="1" t="str">
        <f>IFERROR(__xludf.DUMMYFUNCTION("""COMPUTED_VALUE"""),"現存")</f>
        <v>現存</v>
      </c>
      <c r="F30" s="1" t="str">
        <f>IFERROR(__xludf.DUMMYFUNCTION("""COMPUTED_VALUE"""),"1,6,8,11")</f>
        <v>1,6,8,11</v>
      </c>
      <c r="G30" s="1" t="str">
        <f>IFERROR(__xludf.DUMMYFUNCTION("""COMPUTED_VALUE"""),"1,6,7,8,9,10,11")</f>
        <v>1,6,7,8,9,10,11</v>
      </c>
      <c r="H30" s="1" t="str">
        <f>IFERROR(__xludf.DUMMYFUNCTION("""COMPUTED_VALUE"""),"1,6,7,8,9,10,11")</f>
        <v>1,6,7,8,9,10,11</v>
      </c>
    </row>
    <row r="31">
      <c r="A31" s="1" t="str">
        <f>IFERROR(__xludf.DUMMYFUNCTION("""COMPUTED_VALUE"""),"天-02")</f>
        <v>天-02</v>
      </c>
      <c r="B31" s="1" t="str">
        <f>IFERROR(__xludf.DUMMYFUNCTION("""COMPUTED_VALUE"""),"亞馬遜百合")</f>
        <v>亞馬遜百合</v>
      </c>
      <c r="C31" s="1" t="str">
        <f>IFERROR(__xludf.DUMMYFUNCTION("""COMPUTED_VALUE"""),"現存")</f>
        <v>現存</v>
      </c>
      <c r="D31" s="1"/>
      <c r="E31" s="1" t="str">
        <f>IFERROR(__xludf.DUMMYFUNCTION("""COMPUTED_VALUE"""),"現存")</f>
        <v>現存</v>
      </c>
      <c r="F31" s="1" t="str">
        <f>IFERROR(__xludf.DUMMYFUNCTION("""COMPUTED_VALUE"""),"2,9,12")</f>
        <v>2,9,12</v>
      </c>
      <c r="G31" s="1" t="str">
        <f>IFERROR(__xludf.DUMMYFUNCTION("""COMPUTED_VALUE"""),"2.9.10,12")</f>
        <v>2.9.10,12</v>
      </c>
      <c r="H31" s="1" t="str">
        <f>IFERROR(__xludf.DUMMYFUNCTION("""COMPUTED_VALUE"""),"2.9.10,12")</f>
        <v>2.9.10,12</v>
      </c>
    </row>
    <row r="32">
      <c r="A32" s="1" t="str">
        <f>IFERROR(__xludf.DUMMYFUNCTION("""COMPUTED_VALUE"""),"天-06")</f>
        <v>天-06</v>
      </c>
      <c r="B32" s="1" t="str">
        <f>IFERROR(__xludf.DUMMYFUNCTION("""COMPUTED_VALUE"""),"雉尾花燭")</f>
        <v>雉尾花燭</v>
      </c>
      <c r="C32" s="1" t="str">
        <f>IFERROR(__xludf.DUMMYFUNCTION("""COMPUTED_VALUE"""),"現存")</f>
        <v>現存</v>
      </c>
      <c r="D32" s="1" t="str">
        <f>IFERROR(__xludf.DUMMYFUNCTION("""COMPUTED_VALUE"""),"不收錄")</f>
        <v>不收錄</v>
      </c>
      <c r="E32" s="1" t="str">
        <f>IFERROR(__xludf.DUMMYFUNCTION("""COMPUTED_VALUE"""),"不收錄")</f>
        <v>不收錄</v>
      </c>
      <c r="F32" s="1" t="str">
        <f>IFERROR(__xludf.DUMMYFUNCTION("""COMPUTED_VALUE"""),"3,5,6,8")</f>
        <v>3,5,6,8</v>
      </c>
      <c r="G32" s="1"/>
      <c r="H32" s="1" t="str">
        <f>IFERROR(__xludf.DUMMYFUNCTION("""COMPUTED_VALUE"""),"3,5,6,8")</f>
        <v>3,5,6,8</v>
      </c>
    </row>
    <row r="33">
      <c r="A33" s="1" t="str">
        <f>IFERROR(__xludf.DUMMYFUNCTION("""COMPUTED_VALUE"""),"天-07")</f>
        <v>天-07</v>
      </c>
      <c r="B33" s="1" t="str">
        <f>IFERROR(__xludf.DUMMYFUNCTION("""COMPUTED_VALUE"""),"青楓")</f>
        <v>青楓</v>
      </c>
      <c r="C33" s="1" t="str">
        <f>IFERROR(__xludf.DUMMYFUNCTION("""COMPUTED_VALUE"""),"現存")</f>
        <v>現存</v>
      </c>
      <c r="D33" s="1" t="str">
        <f>IFERROR(__xludf.DUMMYFUNCTION("""COMPUTED_VALUE"""),"近年未見")</f>
        <v>近年未見</v>
      </c>
      <c r="E33" s="1" t="str">
        <f>IFERROR(__xludf.DUMMYFUNCTION("""COMPUTED_VALUE"""),"近年未見")</f>
        <v>近年未見</v>
      </c>
      <c r="F33" s="1" t="str">
        <f>IFERROR(__xludf.DUMMYFUNCTION("""COMPUTED_VALUE"""),"3")</f>
        <v>3</v>
      </c>
      <c r="G33" s="1"/>
      <c r="H33" s="1" t="str">
        <f>IFERROR(__xludf.DUMMYFUNCTION("""COMPUTED_VALUE"""),"3")</f>
        <v>3</v>
      </c>
    </row>
    <row r="34">
      <c r="A34" s="1" t="str">
        <f>IFERROR(__xludf.DUMMYFUNCTION("""COMPUTED_VALUE"""),"天-08")</f>
        <v>天-08</v>
      </c>
      <c r="B34" s="1" t="str">
        <f>IFERROR(__xludf.DUMMYFUNCTION("""COMPUTED_VALUE"""),"蝙蝠花")</f>
        <v>蝙蝠花</v>
      </c>
      <c r="C34" s="1" t="str">
        <f>IFERROR(__xludf.DUMMYFUNCTION("""COMPUTED_VALUE"""),"現存")</f>
        <v>現存</v>
      </c>
      <c r="D34" s="1"/>
      <c r="E34" s="1" t="str">
        <f>IFERROR(__xludf.DUMMYFUNCTION("""COMPUTED_VALUE"""),"現存")</f>
        <v>現存</v>
      </c>
      <c r="F34" s="1" t="str">
        <f>IFERROR(__xludf.DUMMYFUNCTION("""COMPUTED_VALUE"""),"4,6,7,9,11")</f>
        <v>4,6,7,9,11</v>
      </c>
      <c r="G34" s="1" t="str">
        <f>IFERROR(__xludf.DUMMYFUNCTION("""COMPUTED_VALUE"""),"4,6,7,8,9,10,11")</f>
        <v>4,6,7,8,9,10,11</v>
      </c>
      <c r="H34" s="1" t="str">
        <f>IFERROR(__xludf.DUMMYFUNCTION("""COMPUTED_VALUE"""),"4,6,7,8,9,10,11")</f>
        <v>4,6,7,8,9,10,11</v>
      </c>
    </row>
    <row r="35">
      <c r="A35" s="1" t="str">
        <f>IFERROR(__xludf.DUMMYFUNCTION("""COMPUTED_VALUE"""),"天-19")</f>
        <v>天-19</v>
      </c>
      <c r="B35" s="1" t="str">
        <f>IFERROR(__xludf.DUMMYFUNCTION("""COMPUTED_VALUE"""),"洋洛葵")</f>
        <v>洋洛葵</v>
      </c>
      <c r="C35" s="1" t="str">
        <f>IFERROR(__xludf.DUMMYFUNCTION("""COMPUTED_VALUE"""),"現存")</f>
        <v>現存</v>
      </c>
      <c r="D35" s="1" t="str">
        <f>IFERROR(__xludf.DUMMYFUNCTION("""COMPUTED_VALUE"""),"近年未見")</f>
        <v>近年未見</v>
      </c>
      <c r="E35" s="1" t="str">
        <f>IFERROR(__xludf.DUMMYFUNCTION("""COMPUTED_VALUE"""),"近年未見")</f>
        <v>近年未見</v>
      </c>
      <c r="F35" s="1" t="str">
        <f>IFERROR(__xludf.DUMMYFUNCTION("""COMPUTED_VALUE"""),"8")</f>
        <v>8</v>
      </c>
      <c r="G35" s="1"/>
      <c r="H35" s="1" t="str">
        <f>IFERROR(__xludf.DUMMYFUNCTION("""COMPUTED_VALUE"""),"8")</f>
        <v>8</v>
      </c>
    </row>
    <row r="36">
      <c r="A36" s="1" t="str">
        <f>IFERROR(__xludf.DUMMYFUNCTION("""COMPUTED_VALUE"""),"棕-04")</f>
        <v>棕-04</v>
      </c>
      <c r="B36" s="1" t="str">
        <f>IFERROR(__xludf.DUMMYFUNCTION("""COMPUTED_VALUE"""),"大香葉樹")</f>
        <v>大香葉樹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IFERROR(__xludf.DUMMYFUNCTION("""COMPUTED_VALUE"""),"3")</f>
        <v>3</v>
      </c>
      <c r="G36" s="1"/>
      <c r="H36" s="1" t="str">
        <f>IFERROR(__xludf.DUMMYFUNCTION("""COMPUTED_VALUE"""),"3")</f>
        <v>3</v>
      </c>
    </row>
    <row r="37">
      <c r="A37" s="1" t="str">
        <f>IFERROR(__xludf.DUMMYFUNCTION("""COMPUTED_VALUE"""),"棕-15")</f>
        <v>棕-15</v>
      </c>
      <c r="B37" s="1" t="str">
        <f>IFERROR(__xludf.DUMMYFUNCTION("""COMPUTED_VALUE"""),"盤頭絨泡黏菌")</f>
        <v>盤頭絨泡黏菌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IFERROR(__xludf.DUMMYFUNCTION("""COMPUTED_VALUE"""),"6")</f>
        <v>6</v>
      </c>
      <c r="G37" s="1"/>
      <c r="H37" s="1" t="str">
        <f>IFERROR(__xludf.DUMMYFUNCTION("""COMPUTED_VALUE"""),"6")</f>
        <v>6</v>
      </c>
    </row>
    <row r="38">
      <c r="A38" s="1" t="str">
        <f>IFERROR(__xludf.DUMMYFUNCTION("""COMPUTED_VALUE"""),"棕-16")</f>
        <v>棕-16</v>
      </c>
      <c r="B38" s="1" t="str">
        <f>IFERROR(__xludf.DUMMYFUNCTION("""COMPUTED_VALUE"""),"短莖薩巴爾櫚")</f>
        <v>短莖薩巴爾櫚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IFERROR(__xludf.DUMMYFUNCTION("""COMPUTED_VALUE"""),"6")</f>
        <v>6</v>
      </c>
      <c r="G38" s="1"/>
      <c r="H38" s="1" t="str">
        <f>IFERROR(__xludf.DUMMYFUNCTION("""COMPUTED_VALUE"""),"6")</f>
        <v>6</v>
      </c>
    </row>
    <row r="39">
      <c r="A39" s="1" t="str">
        <f>IFERROR(__xludf.DUMMYFUNCTION("""COMPUTED_VALUE"""),"棕-17")</f>
        <v>棕-17</v>
      </c>
      <c r="B39" s="1" t="str">
        <f>IFERROR(__xludf.DUMMYFUNCTION("""COMPUTED_VALUE"""),"粉瘤黏菌")</f>
        <v>粉瘤黏菌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IFERROR(__xludf.DUMMYFUNCTION("""COMPUTED_VALUE"""),"6")</f>
        <v>6</v>
      </c>
      <c r="G39" s="1"/>
      <c r="H39" s="1" t="str">
        <f>IFERROR(__xludf.DUMMYFUNCTION("""COMPUTED_VALUE"""),"6")</f>
        <v>6</v>
      </c>
    </row>
    <row r="40">
      <c r="A40" s="1" t="str">
        <f>IFERROR(__xludf.DUMMYFUNCTION("""COMPUTED_VALUE"""),"棕-18")</f>
        <v>棕-18</v>
      </c>
      <c r="B40" s="1" t="str">
        <f>IFERROR(__xludf.DUMMYFUNCTION("""COMPUTED_VALUE"""),"菇")</f>
        <v>菇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IFERROR(__xludf.DUMMYFUNCTION("""COMPUTED_VALUE"""),"6,7,8,9,10")</f>
        <v>6,7,8,9,10</v>
      </c>
      <c r="G40" s="1"/>
      <c r="H40" s="1" t="str">
        <f>IFERROR(__xludf.DUMMYFUNCTION("""COMPUTED_VALUE"""),"6,7,8,9,10")</f>
        <v>6,7,8,9,10</v>
      </c>
    </row>
    <row r="41">
      <c r="A41" s="1" t="str">
        <f>IFERROR(__xludf.DUMMYFUNCTION("""COMPUTED_VALUE"""),"棕-21")</f>
        <v>棕-21</v>
      </c>
      <c r="B41" s="1" t="str">
        <f>IFERROR(__xludf.DUMMYFUNCTION("""COMPUTED_VALUE"""),"膠質刺銀耳")</f>
        <v>膠質刺銀耳</v>
      </c>
      <c r="C41" s="1" t="str">
        <f>IFERROR(__xludf.DUMMYFUNCTION("""COMPUTED_VALUE"""),"現存")</f>
        <v>現存</v>
      </c>
      <c r="D41" s="1" t="str">
        <f>IFERROR(__xludf.DUMMYFUNCTION("""COMPUTED_VALUE"""),"不收錄")</f>
        <v>不收錄</v>
      </c>
      <c r="E41" s="1" t="str">
        <f>IFERROR(__xludf.DUMMYFUNCTION("""COMPUTED_VALUE"""),"不收錄")</f>
        <v>不收錄</v>
      </c>
      <c r="F41" s="1" t="str">
        <f>IFERROR(__xludf.DUMMYFUNCTION("""COMPUTED_VALUE"""),"8")</f>
        <v>8</v>
      </c>
      <c r="G41" s="1"/>
      <c r="H41" s="1" t="str">
        <f>IFERROR(__xludf.DUMMYFUNCTION("""COMPUTED_VALUE"""),"8")</f>
        <v>8</v>
      </c>
    </row>
    <row r="42">
      <c r="A42" s="1" t="str">
        <f>IFERROR(__xludf.DUMMYFUNCTION("""COMPUTED_VALUE"""),"棕-22")</f>
        <v>棕-22</v>
      </c>
      <c r="B42" s="1" t="str">
        <f>IFERROR(__xludf.DUMMYFUNCTION("""COMPUTED_VALUE"""),"菇菌")</f>
        <v>菇菌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IFERROR(__xludf.DUMMYFUNCTION("""COMPUTED_VALUE"""),"8")</f>
        <v>8</v>
      </c>
      <c r="G42" s="1"/>
      <c r="H42" s="1" t="str">
        <f>IFERROR(__xludf.DUMMYFUNCTION("""COMPUTED_VALUE"""),"8")</f>
        <v>8</v>
      </c>
    </row>
    <row r="43">
      <c r="A43" s="1" t="str">
        <f>IFERROR(__xludf.DUMMYFUNCTION("""COMPUTED_VALUE"""),"棕-26")</f>
        <v>棕-26</v>
      </c>
      <c r="B43" s="1" t="str">
        <f>IFERROR(__xludf.DUMMYFUNCTION("""COMPUTED_VALUE"""),"略薄菱孔菌複合群")</f>
        <v>略薄菱孔菌複合群</v>
      </c>
      <c r="C43" s="1" t="str">
        <f>IFERROR(__xludf.DUMMYFUNCTION("""COMPUTED_VALUE"""),"現存")</f>
        <v>現存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IFERROR(__xludf.DUMMYFUNCTION("""COMPUTED_VALUE"""),"10")</f>
        <v>10</v>
      </c>
      <c r="G43" s="1"/>
      <c r="H43" s="1" t="str">
        <f>IFERROR(__xludf.DUMMYFUNCTION("""COMPUTED_VALUE"""),"10")</f>
        <v>10</v>
      </c>
    </row>
    <row r="44">
      <c r="A44" s="1" t="str">
        <f>IFERROR(__xludf.DUMMYFUNCTION("""COMPUTED_VALUE"""),"民-08")</f>
        <v>民-08</v>
      </c>
      <c r="B44" s="1" t="str">
        <f>IFERROR(__xludf.DUMMYFUNCTION("""COMPUTED_VALUE"""),"紅果薹")</f>
        <v>紅果薹</v>
      </c>
      <c r="C44" s="1" t="str">
        <f>IFERROR(__xludf.DUMMYFUNCTION("""COMPUTED_VALUE"""),"現存")</f>
        <v>現存</v>
      </c>
      <c r="D44" s="1" t="str">
        <f>IFERROR(__xludf.DUMMYFUNCTION("""COMPUTED_VALUE"""),"近年未見")</f>
        <v>近年未見</v>
      </c>
      <c r="E44" s="1" t="str">
        <f>IFERROR(__xludf.DUMMYFUNCTION("""COMPUTED_VALUE"""),"近年未見")</f>
        <v>近年未見</v>
      </c>
      <c r="F44" s="1" t="str">
        <f>IFERROR(__xludf.DUMMYFUNCTION("""COMPUTED_VALUE"""),"1,12")</f>
        <v>1,12</v>
      </c>
      <c r="G44" s="1"/>
      <c r="H44" s="1" t="str">
        <f>IFERROR(__xludf.DUMMYFUNCTION("""COMPUTED_VALUE"""),"1,12")</f>
        <v>1,12</v>
      </c>
    </row>
    <row r="45">
      <c r="A45" s="1" t="str">
        <f>IFERROR(__xludf.DUMMYFUNCTION("""COMPUTED_VALUE"""),"民-20")</f>
        <v>民-20</v>
      </c>
      <c r="B45" s="1" t="str">
        <f>IFERROR(__xludf.DUMMYFUNCTION("""COMPUTED_VALUE"""),"櫸")</f>
        <v>櫸</v>
      </c>
      <c r="C45" s="1" t="str">
        <f>IFERROR(__xludf.DUMMYFUNCTION("""COMPUTED_VALUE"""),"現存")</f>
        <v>現存</v>
      </c>
      <c r="D45" s="1" t="str">
        <f>IFERROR(__xludf.DUMMYFUNCTION("""COMPUTED_VALUE"""),"不收錄")</f>
        <v>不收錄</v>
      </c>
      <c r="E45" s="1" t="str">
        <f>IFERROR(__xludf.DUMMYFUNCTION("""COMPUTED_VALUE"""),"不收錄")</f>
        <v>不收錄</v>
      </c>
      <c r="F45" s="1" t="str">
        <f>IFERROR(__xludf.DUMMYFUNCTION("""COMPUTED_VALUE"""),"3,11")</f>
        <v>3,11</v>
      </c>
      <c r="G45" s="1"/>
      <c r="H45" s="1" t="str">
        <f>IFERROR(__xludf.DUMMYFUNCTION("""COMPUTED_VALUE"""),"3,11")</f>
        <v>3,11</v>
      </c>
    </row>
    <row r="46">
      <c r="A46" s="1" t="str">
        <f>IFERROR(__xludf.DUMMYFUNCTION("""COMPUTED_VALUE"""),"民-25")</f>
        <v>民-25</v>
      </c>
      <c r="B46" s="1" t="str">
        <f>IFERROR(__xludf.DUMMYFUNCTION("""COMPUTED_VALUE"""),"鐵刀木")</f>
        <v>鐵刀木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IFERROR(__xludf.DUMMYFUNCTION("""COMPUTED_VALUE"""),"4")</f>
        <v>4</v>
      </c>
      <c r="G46" s="1"/>
      <c r="H46" s="1" t="str">
        <f>IFERROR(__xludf.DUMMYFUNCTION("""COMPUTED_VALUE"""),"4")</f>
        <v>4</v>
      </c>
    </row>
    <row r="47">
      <c r="A47" s="1" t="str">
        <f>IFERROR(__xludf.DUMMYFUNCTION("""COMPUTED_VALUE"""),"民-26")</f>
        <v>民-26</v>
      </c>
      <c r="B47" s="1" t="str">
        <f>IFERROR(__xludf.DUMMYFUNCTION("""COMPUTED_VALUE"""),"山苦瓜")</f>
        <v>山苦瓜</v>
      </c>
      <c r="C47" s="1" t="str">
        <f>IFERROR(__xludf.DUMMYFUNCTION("""COMPUTED_VALUE"""),"近年未見")</f>
        <v>近年未見</v>
      </c>
      <c r="D47" s="1" t="str">
        <f>IFERROR(__xludf.DUMMYFUNCTION("""COMPUTED_VALUE"""),"不收錄")</f>
        <v>不收錄</v>
      </c>
      <c r="E47" s="1" t="str">
        <f>IFERROR(__xludf.DUMMYFUNCTION("""COMPUTED_VALUE"""),"不收錄")</f>
        <v>不收錄</v>
      </c>
      <c r="F47" s="1" t="str">
        <f>IFERROR(__xludf.DUMMYFUNCTION("""COMPUTED_VALUE"""),"5,12")</f>
        <v>5,12</v>
      </c>
      <c r="G47" s="1"/>
      <c r="H47" s="1" t="str">
        <f>IFERROR(__xludf.DUMMYFUNCTION("""COMPUTED_VALUE"""),"5,12")</f>
        <v>5,12</v>
      </c>
    </row>
    <row r="48">
      <c r="A48" s="1" t="str">
        <f>IFERROR(__xludf.DUMMYFUNCTION("""COMPUTED_VALUE"""),"民-42")</f>
        <v>民-42</v>
      </c>
      <c r="B48" s="1" t="str">
        <f>IFERROR(__xludf.DUMMYFUNCTION("""COMPUTED_VALUE"""),"赤小豆")</f>
        <v>赤小豆</v>
      </c>
      <c r="C48" s="1" t="str">
        <f>IFERROR(__xludf.DUMMYFUNCTION("""COMPUTED_VALUE"""),"現存")</f>
        <v>現存</v>
      </c>
      <c r="D48" s="1" t="str">
        <f>IFERROR(__xludf.DUMMYFUNCTION("""COMPUTED_VALUE"""),"近年未見")</f>
        <v>近年未見</v>
      </c>
      <c r="E48" s="1" t="str">
        <f>IFERROR(__xludf.DUMMYFUNCTION("""COMPUTED_VALUE"""),"近年未見")</f>
        <v>近年未見</v>
      </c>
      <c r="F48" s="1" t="str">
        <f>IFERROR(__xludf.DUMMYFUNCTION("""COMPUTED_VALUE"""),"10")</f>
        <v>10</v>
      </c>
      <c r="G48" s="1"/>
      <c r="H48" s="1" t="str">
        <f>IFERROR(__xludf.DUMMYFUNCTION("""COMPUTED_VALUE"""),"10")</f>
        <v>10</v>
      </c>
    </row>
    <row r="49">
      <c r="A49" s="1" t="str">
        <f>IFERROR(__xludf.DUMMYFUNCTION("""COMPUTED_VALUE"""),"民-43")</f>
        <v>民-43</v>
      </c>
      <c r="B49" s="1" t="str">
        <f>IFERROR(__xludf.DUMMYFUNCTION("""COMPUTED_VALUE"""),"隆紋黑蛋巢菌")</f>
        <v>隆紋黑蛋巢菌</v>
      </c>
      <c r="C49" s="1" t="str">
        <f>IFERROR(__xludf.DUMMYFUNCTION("""COMPUTED_VALUE"""),"現存")</f>
        <v>現存</v>
      </c>
      <c r="D49" s="1" t="str">
        <f>IFERROR(__xludf.DUMMYFUNCTION("""COMPUTED_VALUE"""),"不收錄")</f>
        <v>不收錄</v>
      </c>
      <c r="E49" s="1" t="str">
        <f>IFERROR(__xludf.DUMMYFUNCTION("""COMPUTED_VALUE"""),"不收錄")</f>
        <v>不收錄</v>
      </c>
      <c r="F49" s="1" t="str">
        <f>IFERROR(__xludf.DUMMYFUNCTION("""COMPUTED_VALUE"""),"10")</f>
        <v>10</v>
      </c>
      <c r="G49" s="1"/>
      <c r="H49" s="1" t="str">
        <f>IFERROR(__xludf.DUMMYFUNCTION("""COMPUTED_VALUE"""),"10")</f>
        <v>10</v>
      </c>
    </row>
    <row r="50">
      <c r="A50" s="1" t="str">
        <f>IFERROR(__xludf.DUMMYFUNCTION("""COMPUTED_VALUE"""),"民-44")</f>
        <v>民-44</v>
      </c>
      <c r="B50" s="1" t="str">
        <f>IFERROR(__xludf.DUMMYFUNCTION("""COMPUTED_VALUE"""),"小苞盤菌")</f>
        <v>小苞盤菌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IFERROR(__xludf.DUMMYFUNCTION("""COMPUTED_VALUE"""),"11")</f>
        <v>11</v>
      </c>
      <c r="G50" s="1"/>
      <c r="H50" s="1" t="str">
        <f>IFERROR(__xludf.DUMMYFUNCTION("""COMPUTED_VALUE"""),"11")</f>
        <v>11</v>
      </c>
    </row>
    <row r="51">
      <c r="A51" s="1" t="str">
        <f>IFERROR(__xludf.DUMMYFUNCTION("""COMPUTED_VALUE"""),"民-46")</f>
        <v>民-46</v>
      </c>
      <c r="B51" s="1" t="str">
        <f>IFERROR(__xludf.DUMMYFUNCTION("""COMPUTED_VALUE"""),"車桑子")</f>
        <v>車桑子</v>
      </c>
      <c r="C51" s="1" t="str">
        <f>IFERROR(__xludf.DUMMYFUNCTION("""COMPUTED_VALUE"""),"現存")</f>
        <v>現存</v>
      </c>
      <c r="D51" s="1" t="str">
        <f>IFERROR(__xludf.DUMMYFUNCTION("""COMPUTED_VALUE"""),"已不在")</f>
        <v>已不在</v>
      </c>
      <c r="E51" s="1" t="str">
        <f>IFERROR(__xludf.DUMMYFUNCTION("""COMPUTED_VALUE"""),"已不在")</f>
        <v>已不在</v>
      </c>
      <c r="F51" s="1" t="str">
        <f>IFERROR(__xludf.DUMMYFUNCTION("""COMPUTED_VALUE"""),"11")</f>
        <v>11</v>
      </c>
      <c r="G51" s="1"/>
      <c r="H51" s="1" t="str">
        <f>IFERROR(__xludf.DUMMYFUNCTION("""COMPUTED_VALUE"""),"11")</f>
        <v>11</v>
      </c>
    </row>
    <row r="52">
      <c r="A52" s="1" t="str">
        <f>IFERROR(__xludf.DUMMYFUNCTION("""COMPUTED_VALUE"""),"水-23")</f>
        <v>水-23</v>
      </c>
      <c r="B52" s="1" t="str">
        <f>IFERROR(__xludf.DUMMYFUNCTION("""COMPUTED_VALUE"""),"桃園石龍尾")</f>
        <v>桃園石龍尾</v>
      </c>
      <c r="C52" s="1" t="str">
        <f>IFERROR(__xludf.DUMMYFUNCTION("""COMPUTED_VALUE"""),"現存")</f>
        <v>現存</v>
      </c>
      <c r="D52" s="1" t="str">
        <f>IFERROR(__xludf.DUMMYFUNCTION("""COMPUTED_VALUE"""),"已不在")</f>
        <v>已不在</v>
      </c>
      <c r="E52" s="1" t="str">
        <f>IFERROR(__xludf.DUMMYFUNCTION("""COMPUTED_VALUE"""),"已不在")</f>
        <v>已不在</v>
      </c>
      <c r="F52" s="1" t="str">
        <f>IFERROR(__xludf.DUMMYFUNCTION("""COMPUTED_VALUE"""),"7")</f>
        <v>7</v>
      </c>
      <c r="G52" s="1"/>
      <c r="H52" s="1" t="str">
        <f>IFERROR(__xludf.DUMMYFUNCTION("""COMPUTED_VALUE"""),"7")</f>
        <v>7</v>
      </c>
    </row>
    <row r="53">
      <c r="A53" s="1" t="str">
        <f>IFERROR(__xludf.DUMMYFUNCTION("""COMPUTED_VALUE"""),"水-25")</f>
        <v>水-25</v>
      </c>
      <c r="B53" s="1" t="str">
        <f>IFERROR(__xludf.DUMMYFUNCTION("""COMPUTED_VALUE"""),"長苞香蒲")</f>
        <v>長苞香蒲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IFERROR(__xludf.DUMMYFUNCTION("""COMPUTED_VALUE"""),"7")</f>
        <v>7</v>
      </c>
      <c r="G53" s="1"/>
      <c r="H53" s="1" t="str">
        <f>IFERROR(__xludf.DUMMYFUNCTION("""COMPUTED_VALUE"""),"7")</f>
        <v>7</v>
      </c>
    </row>
    <row r="54">
      <c r="A54" s="1" t="str">
        <f>IFERROR(__xludf.DUMMYFUNCTION("""COMPUTED_VALUE"""),"水-27")</f>
        <v>水-27</v>
      </c>
      <c r="B54" s="1" t="str">
        <f>IFERROR(__xludf.DUMMYFUNCTION("""COMPUTED_VALUE"""),"匙蓋假花耳")</f>
        <v>匙蓋假花耳</v>
      </c>
      <c r="C54" s="1" t="str">
        <f>IFERROR(__xludf.DUMMYFUNCTION("""COMPUTED_VALUE"""),"現存")</f>
        <v>現存</v>
      </c>
      <c r="D54" s="1" t="str">
        <f>IFERROR(__xludf.DUMMYFUNCTION("""COMPUTED_VALUE"""),"不收錄")</f>
        <v>不收錄</v>
      </c>
      <c r="E54" s="1" t="str">
        <f>IFERROR(__xludf.DUMMYFUNCTION("""COMPUTED_VALUE"""),"不收錄")</f>
        <v>不收錄</v>
      </c>
      <c r="F54" s="1" t="str">
        <f>IFERROR(__xludf.DUMMYFUNCTION("""COMPUTED_VALUE"""),"11")</f>
        <v>11</v>
      </c>
      <c r="G54" s="1"/>
      <c r="H54" s="1" t="str">
        <f>IFERROR(__xludf.DUMMYFUNCTION("""COMPUTED_VALUE"""),"11")</f>
        <v>11</v>
      </c>
    </row>
    <row r="55">
      <c r="A55" s="1" t="str">
        <f>IFERROR(__xludf.DUMMYFUNCTION("""COMPUTED_VALUE"""),"澳-25")</f>
        <v>澳-25</v>
      </c>
      <c r="B55" s="1" t="str">
        <f>IFERROR(__xludf.DUMMYFUNCTION("""COMPUTED_VALUE"""),"台灣梭羅樹")</f>
        <v>台灣梭羅樹</v>
      </c>
      <c r="C55" s="1" t="str">
        <f>IFERROR(__xludf.DUMMYFUNCTION("""COMPUTED_VALUE"""),"近年未見")</f>
        <v>近年未見</v>
      </c>
      <c r="D55" s="1" t="str">
        <f>IFERROR(__xludf.DUMMYFUNCTION("""COMPUTED_VALUE"""),"現存")</f>
        <v>現存</v>
      </c>
      <c r="E55" s="1" t="str">
        <f>IFERROR(__xludf.DUMMYFUNCTION("""COMPUTED_VALUE"""),"現存")</f>
        <v>現存</v>
      </c>
      <c r="F55" s="1" t="str">
        <f>IFERROR(__xludf.DUMMYFUNCTION("""COMPUTED_VALUE"""),"4")</f>
        <v>4</v>
      </c>
      <c r="G55" s="1"/>
      <c r="H55" s="1" t="str">
        <f>IFERROR(__xludf.DUMMYFUNCTION("""COMPUTED_VALUE"""),"4")</f>
        <v>4</v>
      </c>
    </row>
    <row r="56">
      <c r="A56" s="1" t="str">
        <f>IFERROR(__xludf.DUMMYFUNCTION("""COMPUTED_VALUE"""),"澳-31")</f>
        <v>澳-31</v>
      </c>
      <c r="B56" s="1" t="str">
        <f>IFERROR(__xludf.DUMMYFUNCTION("""COMPUTED_VALUE"""),"臺灣梭羅樹")</f>
        <v>臺灣梭羅樹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IFERROR(__xludf.DUMMYFUNCTION("""COMPUTED_VALUE"""),"4")</f>
        <v>4</v>
      </c>
      <c r="G56" s="1"/>
      <c r="H56" s="1" t="str">
        <f>IFERROR(__xludf.DUMMYFUNCTION("""COMPUTED_VALUE"""),"4")</f>
        <v>4</v>
      </c>
    </row>
    <row r="57">
      <c r="A57" s="1" t="str">
        <f>IFERROR(__xludf.DUMMYFUNCTION("""COMPUTED_VALUE"""),"澳-50")</f>
        <v>澳-50</v>
      </c>
      <c r="B57" s="1" t="str">
        <f>IFERROR(__xludf.DUMMYFUNCTION("""COMPUTED_VALUE"""),"巒大雀梅藤")</f>
        <v>巒大雀梅藤</v>
      </c>
      <c r="C57" s="1" t="str">
        <f>IFERROR(__xludf.DUMMYFUNCTION("""COMPUTED_VALUE"""),"近年未見")</f>
        <v>近年未見</v>
      </c>
      <c r="D57" s="1" t="str">
        <f>IFERROR(__xludf.DUMMYFUNCTION("""COMPUTED_VALUE"""),"現存")</f>
        <v>現存</v>
      </c>
      <c r="E57" s="1" t="str">
        <f>IFERROR(__xludf.DUMMYFUNCTION("""COMPUTED_VALUE"""),"現存")</f>
        <v>現存</v>
      </c>
      <c r="F57" s="1" t="str">
        <f>IFERROR(__xludf.DUMMYFUNCTION("""COMPUTED_VALUE"""),"8")</f>
        <v>8</v>
      </c>
      <c r="G57" s="1"/>
      <c r="H57" s="1" t="str">
        <f>IFERROR(__xludf.DUMMYFUNCTION("""COMPUTED_VALUE"""),"8")</f>
        <v>8</v>
      </c>
    </row>
    <row r="58">
      <c r="A58" s="1" t="str">
        <f>IFERROR(__xludf.DUMMYFUNCTION("""COMPUTED_VALUE"""),"澳-55")</f>
        <v>澳-55</v>
      </c>
      <c r="B58" s="1" t="str">
        <f>IFERROR(__xludf.DUMMYFUNCTION("""COMPUTED_VALUE"""),"台灣梭羅樹")</f>
        <v>台灣梭羅樹</v>
      </c>
      <c r="C58" s="1" t="str">
        <f>IFERROR(__xludf.DUMMYFUNCTION("""COMPUTED_VALUE"""),"現存")</f>
        <v>現存</v>
      </c>
      <c r="D58" s="1" t="str">
        <f>IFERROR(__xludf.DUMMYFUNCTION("""COMPUTED_VALUE"""),"不收錄")</f>
        <v>不收錄</v>
      </c>
      <c r="E58" s="1" t="str">
        <f>IFERROR(__xludf.DUMMYFUNCTION("""COMPUTED_VALUE"""),"不收錄")</f>
        <v>不收錄</v>
      </c>
      <c r="F58" s="1" t="str">
        <f>IFERROR(__xludf.DUMMYFUNCTION("""COMPUTED_VALUE"""),"11")</f>
        <v>11</v>
      </c>
      <c r="G58" s="1"/>
      <c r="H58" s="1" t="str">
        <f>IFERROR(__xludf.DUMMYFUNCTION("""COMPUTED_VALUE"""),"11")</f>
        <v>11</v>
      </c>
    </row>
    <row r="59">
      <c r="A59" s="1" t="str">
        <f>IFERROR(__xludf.DUMMYFUNCTION("""COMPUTED_VALUE"""),"澳-56")</f>
        <v>澳-56</v>
      </c>
      <c r="B59" s="1" t="str">
        <f>IFERROR(__xludf.DUMMYFUNCTION("""COMPUTED_VALUE"""),"台灣胡頹子")</f>
        <v>台灣胡頹子</v>
      </c>
      <c r="C59" s="1" t="str">
        <f>IFERROR(__xludf.DUMMYFUNCTION("""COMPUTED_VALUE"""),"現存")</f>
        <v>現存</v>
      </c>
      <c r="D59" s="1" t="str">
        <f>IFERROR(__xludf.DUMMYFUNCTION("""COMPUTED_VALUE"""),"不收錄")</f>
        <v>不收錄</v>
      </c>
      <c r="E59" s="1" t="str">
        <f>IFERROR(__xludf.DUMMYFUNCTION("""COMPUTED_VALUE"""),"不收錄")</f>
        <v>不收錄</v>
      </c>
      <c r="F59" s="1" t="str">
        <f>IFERROR(__xludf.DUMMYFUNCTION("""COMPUTED_VALUE"""),"11,12")</f>
        <v>11,12</v>
      </c>
      <c r="G59" s="1"/>
      <c r="H59" s="1" t="str">
        <f>IFERROR(__xludf.DUMMYFUNCTION("""COMPUTED_VALUE"""),"11,12")</f>
        <v>11,12</v>
      </c>
    </row>
    <row r="60">
      <c r="A60" s="1" t="str">
        <f>IFERROR(__xludf.DUMMYFUNCTION("""COMPUTED_VALUE"""),"竹-06")</f>
        <v>竹-06</v>
      </c>
      <c r="B60" s="1" t="str">
        <f>IFERROR(__xludf.DUMMYFUNCTION("""COMPUTED_VALUE"""),"酢漿草")</f>
        <v>酢漿草</v>
      </c>
      <c r="C60" s="1" t="str">
        <f>IFERROR(__xludf.DUMMYFUNCTION("""COMPUTED_VALUE"""),"現存")</f>
        <v>現存</v>
      </c>
      <c r="D60" s="1" t="str">
        <f>IFERROR(__xludf.DUMMYFUNCTION("""COMPUTED_VALUE"""),"不收錄")</f>
        <v>不收錄</v>
      </c>
      <c r="E60" s="1" t="str">
        <f>IFERROR(__xludf.DUMMYFUNCTION("""COMPUTED_VALUE"""),"不收錄")</f>
        <v>不收錄</v>
      </c>
      <c r="F60" s="1" t="str">
        <f>IFERROR(__xludf.DUMMYFUNCTION("""COMPUTED_VALUE"""),"1")</f>
        <v>1</v>
      </c>
      <c r="G60" s="1"/>
      <c r="H60" s="1" t="str">
        <f>IFERROR(__xludf.DUMMYFUNCTION("""COMPUTED_VALUE"""),"1")</f>
        <v>1</v>
      </c>
    </row>
    <row r="61">
      <c r="A61" s="1" t="str">
        <f>IFERROR(__xludf.DUMMYFUNCTION("""COMPUTED_VALUE"""),"竹-18")</f>
        <v>竹-18</v>
      </c>
      <c r="B61" s="1" t="str">
        <f>IFERROR(__xludf.DUMMYFUNCTION("""COMPUTED_VALUE"""),"堅硬女婁菜")</f>
        <v>堅硬女婁菜</v>
      </c>
      <c r="C61" s="1" t="str">
        <f>IFERROR(__xludf.DUMMYFUNCTION("""COMPUTED_VALUE"""),"現存")</f>
        <v>現存</v>
      </c>
      <c r="D61" s="1" t="str">
        <f>IFERROR(__xludf.DUMMYFUNCTION("""COMPUTED_VALUE"""),"近年未見")</f>
        <v>近年未見</v>
      </c>
      <c r="E61" s="1" t="str">
        <f>IFERROR(__xludf.DUMMYFUNCTION("""COMPUTED_VALUE"""),"近年未見")</f>
        <v>近年未見</v>
      </c>
      <c r="F61" s="1" t="str">
        <f>IFERROR(__xludf.DUMMYFUNCTION("""COMPUTED_VALUE"""),"3")</f>
        <v>3</v>
      </c>
      <c r="G61" s="1"/>
      <c r="H61" s="1" t="str">
        <f>IFERROR(__xludf.DUMMYFUNCTION("""COMPUTED_VALUE"""),"3")</f>
        <v>3</v>
      </c>
    </row>
    <row r="62">
      <c r="A62" s="1" t="str">
        <f>IFERROR(__xludf.DUMMYFUNCTION("""COMPUTED_VALUE"""),"竹-21")</f>
        <v>竹-21</v>
      </c>
      <c r="B62" s="1" t="str">
        <f>IFERROR(__xludf.DUMMYFUNCTION("""COMPUTED_VALUE"""),"牛皮消")</f>
        <v>牛皮消</v>
      </c>
      <c r="C62" s="1" t="str">
        <f>IFERROR(__xludf.DUMMYFUNCTION("""COMPUTED_VALUE"""),"現存")</f>
        <v>現存</v>
      </c>
      <c r="D62" s="1" t="str">
        <f>IFERROR(__xludf.DUMMYFUNCTION("""COMPUTED_VALUE"""),"近年未見")</f>
        <v>近年未見</v>
      </c>
      <c r="E62" s="1" t="str">
        <f>IFERROR(__xludf.DUMMYFUNCTION("""COMPUTED_VALUE"""),"近年未見")</f>
        <v>近年未見</v>
      </c>
      <c r="F62" s="1" t="str">
        <f>IFERROR(__xludf.DUMMYFUNCTION("""COMPUTED_VALUE"""),"3,4,6,7,9")</f>
        <v>3,4,6,7,9</v>
      </c>
      <c r="G62" s="1"/>
      <c r="H62" s="1" t="str">
        <f>IFERROR(__xludf.DUMMYFUNCTION("""COMPUTED_VALUE"""),"3,4,6,7,9")</f>
        <v>3,4,6,7,9</v>
      </c>
    </row>
    <row r="63">
      <c r="A63" s="1" t="str">
        <f>IFERROR(__xludf.DUMMYFUNCTION("""COMPUTED_VALUE"""),"竹-37")</f>
        <v>竹-37</v>
      </c>
      <c r="B63" s="1" t="str">
        <f>IFERROR(__xludf.DUMMYFUNCTION("""COMPUTED_VALUE"""),"狹葉艾納香")</f>
        <v>狹葉艾納香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IFERROR(__xludf.DUMMYFUNCTION("""COMPUTED_VALUE"""),"4,5")</f>
        <v>4,5</v>
      </c>
      <c r="G63" s="1"/>
      <c r="H63" s="1" t="str">
        <f>IFERROR(__xludf.DUMMYFUNCTION("""COMPUTED_VALUE"""),"4,5")</f>
        <v>4,5</v>
      </c>
    </row>
    <row r="64">
      <c r="A64" s="1" t="str">
        <f>IFERROR(__xludf.DUMMYFUNCTION("""COMPUTED_VALUE"""),"竹-43")</f>
        <v>竹-43</v>
      </c>
      <c r="B64" s="1" t="str">
        <f>IFERROR(__xludf.DUMMYFUNCTION("""COMPUTED_VALUE"""),"台灣破傘菊")</f>
        <v>台灣破傘菊</v>
      </c>
      <c r="C64" s="1" t="str">
        <f>IFERROR(__xludf.DUMMYFUNCTION("""COMPUTED_VALUE"""),"現存")</f>
        <v>現存</v>
      </c>
      <c r="D64" s="1" t="str">
        <f>IFERROR(__xludf.DUMMYFUNCTION("""COMPUTED_VALUE"""),"不收錄")</f>
        <v>不收錄</v>
      </c>
      <c r="E64" s="1" t="str">
        <f>IFERROR(__xludf.DUMMYFUNCTION("""COMPUTED_VALUE"""),"不收錄")</f>
        <v>不收錄</v>
      </c>
      <c r="F64" s="1" t="str">
        <f>IFERROR(__xludf.DUMMYFUNCTION("""COMPUTED_VALUE"""),"5")</f>
        <v>5</v>
      </c>
      <c r="G64" s="1"/>
      <c r="H64" s="1" t="str">
        <f>IFERROR(__xludf.DUMMYFUNCTION("""COMPUTED_VALUE"""),"5")</f>
        <v>5</v>
      </c>
    </row>
    <row r="65">
      <c r="A65" s="1" t="str">
        <f>IFERROR(__xludf.DUMMYFUNCTION("""COMPUTED_VALUE"""),"竹-54")</f>
        <v>竹-54</v>
      </c>
      <c r="B65" s="1" t="str">
        <f>IFERROR(__xludf.DUMMYFUNCTION("""COMPUTED_VALUE"""),"蟛蜞菊")</f>
        <v>蟛蜞菊</v>
      </c>
      <c r="C65" s="1" t="str">
        <f>IFERROR(__xludf.DUMMYFUNCTION("""COMPUTED_VALUE"""),"現存")</f>
        <v>現存</v>
      </c>
      <c r="D65" s="1" t="str">
        <f>IFERROR(__xludf.DUMMYFUNCTION("""COMPUTED_VALUE"""),"不收錄")</f>
        <v>不收錄</v>
      </c>
      <c r="E65" s="1" t="str">
        <f>IFERROR(__xludf.DUMMYFUNCTION("""COMPUTED_VALUE"""),"不收錄")</f>
        <v>不收錄</v>
      </c>
      <c r="F65" s="1" t="str">
        <f>IFERROR(__xludf.DUMMYFUNCTION("""COMPUTED_VALUE"""),"8")</f>
        <v>8</v>
      </c>
      <c r="G65" s="1"/>
      <c r="H65" s="1" t="str">
        <f>IFERROR(__xludf.DUMMYFUNCTION("""COMPUTED_VALUE"""),"8")</f>
        <v>8</v>
      </c>
    </row>
    <row r="66">
      <c r="A66" s="1" t="str">
        <f>IFERROR(__xludf.DUMMYFUNCTION("""COMPUTED_VALUE"""),"竹-55")</f>
        <v>竹-55</v>
      </c>
      <c r="B66" s="1" t="str">
        <f>IFERROR(__xludf.DUMMYFUNCTION("""COMPUTED_VALUE"""),"薄荷")</f>
        <v>薄荷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IFERROR(__xludf.DUMMYFUNCTION("""COMPUTED_VALUE"""),"8")</f>
        <v>8</v>
      </c>
      <c r="G66" s="1"/>
      <c r="H66" s="1" t="str">
        <f>IFERROR(__xludf.DUMMYFUNCTION("""COMPUTED_VALUE"""),"8")</f>
        <v>8</v>
      </c>
    </row>
    <row r="67">
      <c r="A67" s="1" t="str">
        <f>IFERROR(__xludf.DUMMYFUNCTION("""COMPUTED_VALUE"""),"竹-56")</f>
        <v>竹-56</v>
      </c>
      <c r="B67" s="1" t="str">
        <f>IFERROR(__xludf.DUMMYFUNCTION("""COMPUTED_VALUE"""),"高粱")</f>
        <v>高粱</v>
      </c>
      <c r="C67" s="1" t="str">
        <f>IFERROR(__xludf.DUMMYFUNCTION("""COMPUTED_VALUE"""),"現存")</f>
        <v>現存</v>
      </c>
      <c r="D67" s="1" t="str">
        <f>IFERROR(__xludf.DUMMYFUNCTION("""COMPUTED_VALUE"""),"近年未見")</f>
        <v>近年未見</v>
      </c>
      <c r="E67" s="1" t="str">
        <f>IFERROR(__xludf.DUMMYFUNCTION("""COMPUTED_VALUE"""),"近年未見")</f>
        <v>近年未見</v>
      </c>
      <c r="F67" s="1" t="str">
        <f>IFERROR(__xludf.DUMMYFUNCTION("""COMPUTED_VALUE"""),"8")</f>
        <v>8</v>
      </c>
      <c r="G67" s="1"/>
      <c r="H67" s="1" t="str">
        <f>IFERROR(__xludf.DUMMYFUNCTION("""COMPUTED_VALUE"""),"8")</f>
        <v>8</v>
      </c>
    </row>
    <row r="68">
      <c r="A68" s="1" t="str">
        <f>IFERROR(__xludf.DUMMYFUNCTION("""COMPUTED_VALUE"""),"竹-57")</f>
        <v>竹-57</v>
      </c>
      <c r="B68" s="1" t="str">
        <f>IFERROR(__xludf.DUMMYFUNCTION("""COMPUTED_VALUE"""),"台灣土黨參")</f>
        <v>台灣土黨參</v>
      </c>
      <c r="C68" s="1" t="str">
        <f>IFERROR(__xludf.DUMMYFUNCTION("""COMPUTED_VALUE"""),"現存")</f>
        <v>現存</v>
      </c>
      <c r="D68" s="1" t="str">
        <f>IFERROR(__xludf.DUMMYFUNCTION("""COMPUTED_VALUE"""),"已不在")</f>
        <v>已不在</v>
      </c>
      <c r="E68" s="1" t="str">
        <f>IFERROR(__xludf.DUMMYFUNCTION("""COMPUTED_VALUE"""),"已不在")</f>
        <v>已不在</v>
      </c>
      <c r="F68" s="1" t="str">
        <f>IFERROR(__xludf.DUMMYFUNCTION("""COMPUTED_VALUE"""),"9")</f>
        <v>9</v>
      </c>
      <c r="G68" s="1"/>
      <c r="H68" s="1" t="str">
        <f>IFERROR(__xludf.DUMMYFUNCTION("""COMPUTED_VALUE"""),"9")</f>
        <v>9</v>
      </c>
    </row>
    <row r="69">
      <c r="A69" s="1" t="str">
        <f>IFERROR(__xludf.DUMMYFUNCTION("""COMPUTED_VALUE"""),"竹-63")</f>
        <v>竹-63</v>
      </c>
      <c r="B69" s="1" t="str">
        <f>IFERROR(__xludf.DUMMYFUNCTION("""COMPUTED_VALUE"""),"薏苡")</f>
        <v>薏苡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IFERROR(__xludf.DUMMYFUNCTION("""COMPUTED_VALUE"""),"10")</f>
        <v>10</v>
      </c>
      <c r="G69" s="1"/>
      <c r="H69" s="1" t="str">
        <f>IFERROR(__xludf.DUMMYFUNCTION("""COMPUTED_VALUE"""),"10")</f>
        <v>10</v>
      </c>
    </row>
    <row r="70">
      <c r="A70" s="1" t="str">
        <f>IFERROR(__xludf.DUMMYFUNCTION("""COMPUTED_VALUE"""),"肉-103")</f>
        <v>肉-103</v>
      </c>
      <c r="B70" s="1" t="str">
        <f>IFERROR(__xludf.DUMMYFUNCTION("""COMPUTED_VALUE"""),"細葉雀翹")</f>
        <v>細葉雀翹</v>
      </c>
      <c r="C70" s="1" t="str">
        <f>IFERROR(__xludf.DUMMYFUNCTION("""COMPUTED_VALUE"""),"現存")</f>
        <v>現存</v>
      </c>
      <c r="D70" s="1" t="str">
        <f>IFERROR(__xludf.DUMMYFUNCTION("""COMPUTED_VALUE"""),"已不在")</f>
        <v>已不在</v>
      </c>
      <c r="E70" s="1" t="str">
        <f>IFERROR(__xludf.DUMMYFUNCTION("""COMPUTED_VALUE"""),"已不在")</f>
        <v>已不在</v>
      </c>
      <c r="F70" s="1" t="str">
        <f>IFERROR(__xludf.DUMMYFUNCTION("""COMPUTED_VALUE"""),"10")</f>
        <v>10</v>
      </c>
      <c r="G70" s="1"/>
      <c r="H70" s="1" t="str">
        <f>IFERROR(__xludf.DUMMYFUNCTION("""COMPUTED_VALUE"""),"10")</f>
        <v>10</v>
      </c>
    </row>
    <row r="71">
      <c r="A71" s="1" t="str">
        <f>IFERROR(__xludf.DUMMYFUNCTION("""COMPUTED_VALUE"""),"肉-110")</f>
        <v>肉-110</v>
      </c>
      <c r="B71" s="1" t="str">
        <f>IFERROR(__xludf.DUMMYFUNCTION("""COMPUTED_VALUE"""),"德雷")</f>
        <v>德雷</v>
      </c>
      <c r="C71" s="1" t="str">
        <f>IFERROR(__xludf.DUMMYFUNCTION("""COMPUTED_VALUE"""),"現存")</f>
        <v>現存</v>
      </c>
      <c r="D71" s="1" t="str">
        <f>IFERROR(__xludf.DUMMYFUNCTION("""COMPUTED_VALUE"""),"近年未見")</f>
        <v>近年未見</v>
      </c>
      <c r="E71" s="1" t="str">
        <f>IFERROR(__xludf.DUMMYFUNCTION("""COMPUTED_VALUE"""),"近年未見")</f>
        <v>近年未見</v>
      </c>
      <c r="F71" s="1" t="str">
        <f>IFERROR(__xludf.DUMMYFUNCTION("""COMPUTED_VALUE"""),"12")</f>
        <v>12</v>
      </c>
      <c r="G71" s="1"/>
      <c r="H71" s="1" t="str">
        <f>IFERROR(__xludf.DUMMYFUNCTION("""COMPUTED_VALUE"""),"12")</f>
        <v>12</v>
      </c>
    </row>
    <row r="72">
      <c r="A72" s="1" t="str">
        <f>IFERROR(__xludf.DUMMYFUNCTION("""COMPUTED_VALUE"""),"肉-25")</f>
        <v>肉-25</v>
      </c>
      <c r="B72" s="1" t="str">
        <f>IFERROR(__xludf.DUMMYFUNCTION("""COMPUTED_VALUE"""),"紫玉露")</f>
        <v>紫玉露</v>
      </c>
      <c r="C72" s="1" t="str">
        <f>IFERROR(__xludf.DUMMYFUNCTION("""COMPUTED_VALUE"""),"現存")</f>
        <v>現存</v>
      </c>
      <c r="D72" s="1" t="str">
        <f>IFERROR(__xludf.DUMMYFUNCTION("""COMPUTED_VALUE"""),"近年未見")</f>
        <v>近年未見</v>
      </c>
      <c r="E72" s="1" t="str">
        <f>IFERROR(__xludf.DUMMYFUNCTION("""COMPUTED_VALUE"""),"近年未見")</f>
        <v>近年未見</v>
      </c>
      <c r="F72" s="1" t="str">
        <f>IFERROR(__xludf.DUMMYFUNCTION("""COMPUTED_VALUE"""),"2")</f>
        <v>2</v>
      </c>
      <c r="G72" s="1"/>
      <c r="H72" s="1" t="str">
        <f>IFERROR(__xludf.DUMMYFUNCTION("""COMPUTED_VALUE"""),"2")</f>
        <v>2</v>
      </c>
    </row>
    <row r="73">
      <c r="A73" s="1" t="str">
        <f>IFERROR(__xludf.DUMMYFUNCTION("""COMPUTED_VALUE"""),"肉-39")</f>
        <v>肉-39</v>
      </c>
      <c r="B73" s="1" t="str">
        <f>IFERROR(__xludf.DUMMYFUNCTION("""COMPUTED_VALUE"""),"野慈姑")</f>
        <v>野慈姑</v>
      </c>
      <c r="C73" s="1" t="str">
        <f>IFERROR(__xludf.DUMMYFUNCTION("""COMPUTED_VALUE"""),"現存")</f>
        <v>現存</v>
      </c>
      <c r="D73" s="1" t="str">
        <f>IFERROR(__xludf.DUMMYFUNCTION("""COMPUTED_VALUE"""),"不收錄")</f>
        <v>不收錄</v>
      </c>
      <c r="E73" s="1" t="str">
        <f>IFERROR(__xludf.DUMMYFUNCTION("""COMPUTED_VALUE"""),"不收錄")</f>
        <v>不收錄</v>
      </c>
      <c r="F73" s="1" t="str">
        <f>IFERROR(__xludf.DUMMYFUNCTION("""COMPUTED_VALUE"""),"3,5,9")</f>
        <v>3,5,9</v>
      </c>
      <c r="G73" s="1"/>
      <c r="H73" s="1" t="str">
        <f>IFERROR(__xludf.DUMMYFUNCTION("""COMPUTED_VALUE"""),"3,5,9")</f>
        <v>3,5,9</v>
      </c>
    </row>
    <row r="74">
      <c r="A74" s="1" t="str">
        <f>IFERROR(__xludf.DUMMYFUNCTION("""COMPUTED_VALUE"""),"肉-45")</f>
        <v>肉-45</v>
      </c>
      <c r="B74" s="1" t="str">
        <f>IFERROR(__xludf.DUMMYFUNCTION("""COMPUTED_VALUE"""),"恰帕斯龍舌蘭")</f>
        <v>恰帕斯龍舌蘭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IFERROR(__xludf.DUMMYFUNCTION("""COMPUTED_VALUE"""),"4")</f>
        <v>4</v>
      </c>
      <c r="G74" s="1"/>
      <c r="H74" s="1" t="str">
        <f>IFERROR(__xludf.DUMMYFUNCTION("""COMPUTED_VALUE"""),"4")</f>
        <v>4</v>
      </c>
    </row>
    <row r="75">
      <c r="A75" s="1" t="str">
        <f>IFERROR(__xludf.DUMMYFUNCTION("""COMPUTED_VALUE"""),"肉-47")</f>
        <v>肉-47</v>
      </c>
      <c r="B75" s="1" t="str">
        <f>IFERROR(__xludf.DUMMYFUNCTION("""COMPUTED_VALUE"""),"毛球馬齒莧")</f>
        <v>毛球馬齒莧</v>
      </c>
      <c r="C75" s="1" t="str">
        <f>IFERROR(__xludf.DUMMYFUNCTION("""COMPUTED_VALUE"""),"現存")</f>
        <v>現存</v>
      </c>
      <c r="D75" s="1" t="str">
        <f>IFERROR(__xludf.DUMMYFUNCTION("""COMPUTED_VALUE"""),"不收錄")</f>
        <v>不收錄</v>
      </c>
      <c r="E75" s="1" t="str">
        <f>IFERROR(__xludf.DUMMYFUNCTION("""COMPUTED_VALUE"""),"不收錄")</f>
        <v>不收錄</v>
      </c>
      <c r="F75" s="1" t="str">
        <f>IFERROR(__xludf.DUMMYFUNCTION("""COMPUTED_VALUE"""),"4")</f>
        <v>4</v>
      </c>
      <c r="G75" s="1"/>
      <c r="H75" s="1" t="str">
        <f>IFERROR(__xludf.DUMMYFUNCTION("""COMPUTED_VALUE"""),"4")</f>
        <v>4</v>
      </c>
    </row>
    <row r="76">
      <c r="A76" s="1" t="str">
        <f>IFERROR(__xludf.DUMMYFUNCTION("""COMPUTED_VALUE"""),"肉-58")</f>
        <v>肉-58</v>
      </c>
      <c r="B76" s="1" t="str">
        <f>IFERROR(__xludf.DUMMYFUNCTION("""COMPUTED_VALUE"""),"雲南石梓")</f>
        <v>雲南石梓</v>
      </c>
      <c r="C76" s="1" t="str">
        <f>IFERROR(__xludf.DUMMYFUNCTION("""COMPUTED_VALUE"""),"現存")</f>
        <v>現存</v>
      </c>
      <c r="D76" s="1" t="str">
        <f>IFERROR(__xludf.DUMMYFUNCTION("""COMPUTED_VALUE"""),"近年未見")</f>
        <v>近年未見</v>
      </c>
      <c r="E76" s="1" t="str">
        <f>IFERROR(__xludf.DUMMYFUNCTION("""COMPUTED_VALUE"""),"近年未見")</f>
        <v>近年未見</v>
      </c>
      <c r="F76" s="1" t="str">
        <f>IFERROR(__xludf.DUMMYFUNCTION("""COMPUTED_VALUE"""),"4")</f>
        <v>4</v>
      </c>
      <c r="G76" s="1"/>
      <c r="H76" s="1" t="str">
        <f>IFERROR(__xludf.DUMMYFUNCTION("""COMPUTED_VALUE"""),"4")</f>
        <v>4</v>
      </c>
    </row>
    <row r="77">
      <c r="A77" s="1" t="str">
        <f>IFERROR(__xludf.DUMMYFUNCTION("""COMPUTED_VALUE"""),"肉-73")</f>
        <v>肉-73</v>
      </c>
      <c r="B77" s="1" t="str">
        <f>IFERROR(__xludf.DUMMYFUNCTION("""COMPUTED_VALUE"""),"大鄧伯花")</f>
        <v>大鄧伯花</v>
      </c>
      <c r="C77" s="1" t="str">
        <f>IFERROR(__xludf.DUMMYFUNCTION("""COMPUTED_VALUE"""),"現存")</f>
        <v>現存</v>
      </c>
      <c r="D77" s="1" t="str">
        <f>IFERROR(__xludf.DUMMYFUNCTION("""COMPUTED_VALUE"""),"不收錄")</f>
        <v>不收錄</v>
      </c>
      <c r="E77" s="1" t="str">
        <f>IFERROR(__xludf.DUMMYFUNCTION("""COMPUTED_VALUE"""),"不收錄")</f>
        <v>不收錄</v>
      </c>
      <c r="F77" s="1" t="str">
        <f>IFERROR(__xludf.DUMMYFUNCTION("""COMPUTED_VALUE"""),"6,8,9")</f>
        <v>6,8,9</v>
      </c>
      <c r="G77" s="1"/>
      <c r="H77" s="1" t="str">
        <f>IFERROR(__xludf.DUMMYFUNCTION("""COMPUTED_VALUE"""),"6,8,9")</f>
        <v>6,8,9</v>
      </c>
    </row>
    <row r="78">
      <c r="A78" s="1" t="str">
        <f>IFERROR(__xludf.DUMMYFUNCTION("""COMPUTED_VALUE"""),"肉-77")</f>
        <v>肉-77</v>
      </c>
      <c r="B78" s="1" t="str">
        <f>IFERROR(__xludf.DUMMYFUNCTION("""COMPUTED_VALUE"""),"白斑玉露")</f>
        <v>白斑玉露</v>
      </c>
      <c r="C78" s="1" t="str">
        <f>IFERROR(__xludf.DUMMYFUNCTION("""COMPUTED_VALUE"""),"現存")</f>
        <v>現存</v>
      </c>
      <c r="D78" s="1" t="str">
        <f>IFERROR(__xludf.DUMMYFUNCTION("""COMPUTED_VALUE"""),"近年未見")</f>
        <v>近年未見</v>
      </c>
      <c r="E78" s="1" t="str">
        <f>IFERROR(__xludf.DUMMYFUNCTION("""COMPUTED_VALUE"""),"近年未見")</f>
        <v>近年未見</v>
      </c>
      <c r="F78" s="1" t="str">
        <f>IFERROR(__xludf.DUMMYFUNCTION("""COMPUTED_VALUE"""),"6")</f>
        <v>6</v>
      </c>
      <c r="G78" s="1"/>
      <c r="H78" s="1" t="str">
        <f>IFERROR(__xludf.DUMMYFUNCTION("""COMPUTED_VALUE"""),"6")</f>
        <v>6</v>
      </c>
    </row>
    <row r="79">
      <c r="A79" s="1" t="str">
        <f>IFERROR(__xludf.DUMMYFUNCTION("""COMPUTED_VALUE"""),"肉-89")</f>
        <v>肉-89</v>
      </c>
      <c r="B79" s="1" t="str">
        <f>IFERROR(__xludf.DUMMYFUNCTION("""COMPUTED_VALUE"""),"拿鐵玫瑰")</f>
        <v>拿鐵玫瑰</v>
      </c>
      <c r="C79" s="1" t="str">
        <f>IFERROR(__xludf.DUMMYFUNCTION("""COMPUTED_VALUE"""),"近年未見")</f>
        <v>近年未見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IFERROR(__xludf.DUMMYFUNCTION("""COMPUTED_VALUE"""),"7")</f>
        <v>7</v>
      </c>
      <c r="G79" s="1"/>
      <c r="H79" s="1" t="str">
        <f>IFERROR(__xludf.DUMMYFUNCTION("""COMPUTED_VALUE"""),"7")</f>
        <v>7</v>
      </c>
    </row>
    <row r="80">
      <c r="A80" s="1" t="str">
        <f>IFERROR(__xludf.DUMMYFUNCTION("""COMPUTED_VALUE"""),"肉-92")</f>
        <v>肉-92</v>
      </c>
      <c r="B80" s="1" t="str">
        <f>IFERROR(__xludf.DUMMYFUNCTION("""COMPUTED_VALUE"""),"錦盃閣")</f>
        <v>錦盃閣</v>
      </c>
      <c r="C80" s="1" t="str">
        <f>IFERROR(__xludf.DUMMYFUNCTION("""COMPUTED_VALUE"""),"現存")</f>
        <v>現存</v>
      </c>
      <c r="D80" s="1" t="str">
        <f>IFERROR(__xludf.DUMMYFUNCTION("""COMPUTED_VALUE"""),"近年未見")</f>
        <v>近年未見</v>
      </c>
      <c r="E80" s="1" t="str">
        <f>IFERROR(__xludf.DUMMYFUNCTION("""COMPUTED_VALUE"""),"近年未見")</f>
        <v>近年未見</v>
      </c>
      <c r="F80" s="1" t="str">
        <f>IFERROR(__xludf.DUMMYFUNCTION("""COMPUTED_VALUE"""),"7")</f>
        <v>7</v>
      </c>
      <c r="G80" s="1"/>
      <c r="H80" s="1" t="str">
        <f>IFERROR(__xludf.DUMMYFUNCTION("""COMPUTED_VALUE"""),"7")</f>
        <v>7</v>
      </c>
    </row>
    <row r="81">
      <c r="A81" s="1" t="str">
        <f>IFERROR(__xludf.DUMMYFUNCTION("""COMPUTED_VALUE"""),"肖-33")</f>
        <v>肖-33</v>
      </c>
      <c r="B81" s="1" t="str">
        <f>IFERROR(__xludf.DUMMYFUNCTION("""COMPUTED_VALUE"""),"四葉蘿芙木")</f>
        <v>四葉蘿芙木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IFERROR(__xludf.DUMMYFUNCTION("""COMPUTED_VALUE"""),"5,6")</f>
        <v>5,6</v>
      </c>
      <c r="G81" s="1"/>
      <c r="H81" s="1" t="str">
        <f>IFERROR(__xludf.DUMMYFUNCTION("""COMPUTED_VALUE"""),"5,6")</f>
        <v>5,6</v>
      </c>
    </row>
    <row r="82">
      <c r="A82" s="1" t="str">
        <f>IFERROR(__xludf.DUMMYFUNCTION("""COMPUTED_VALUE"""),"肖-47")</f>
        <v>肖-47</v>
      </c>
      <c r="B82" s="1" t="str">
        <f>IFERROR(__xludf.DUMMYFUNCTION("""COMPUTED_VALUE"""),"半插花")</f>
        <v>半插花</v>
      </c>
      <c r="C82" s="1" t="str">
        <f>IFERROR(__xludf.DUMMYFUNCTION("""COMPUTED_VALUE"""),"近年未見")</f>
        <v>近年未見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IFERROR(__xludf.DUMMYFUNCTION("""COMPUTED_VALUE"""),"8")</f>
        <v>8</v>
      </c>
      <c r="G82" s="1"/>
      <c r="H82" s="1" t="str">
        <f>IFERROR(__xludf.DUMMYFUNCTION("""COMPUTED_VALUE"""),"8")</f>
        <v>8</v>
      </c>
    </row>
    <row r="83">
      <c r="A83" s="1" t="str">
        <f>IFERROR(__xludf.DUMMYFUNCTION("""COMPUTED_VALUE"""),"舟-113")</f>
        <v>舟-113</v>
      </c>
      <c r="B83" s="1" t="str">
        <f>IFERROR(__xludf.DUMMYFUNCTION("""COMPUTED_VALUE"""),"高山七葉一枝花")</f>
        <v>高山七葉一枝花</v>
      </c>
      <c r="C83" s="1" t="str">
        <f>IFERROR(__xludf.DUMMYFUNCTION("""COMPUTED_VALUE"""),"現存")</f>
        <v>現存</v>
      </c>
      <c r="D83" s="1" t="str">
        <f>IFERROR(__xludf.DUMMYFUNCTION("""COMPUTED_VALUE"""),"不收錄")</f>
        <v>不收錄</v>
      </c>
      <c r="E83" s="1" t="str">
        <f>IFERROR(__xludf.DUMMYFUNCTION("""COMPUTED_VALUE"""),"不收錄")</f>
        <v>不收錄</v>
      </c>
      <c r="F83" s="1" t="str">
        <f>IFERROR(__xludf.DUMMYFUNCTION("""COMPUTED_VALUE"""),"6")</f>
        <v>6</v>
      </c>
      <c r="G83" s="1"/>
      <c r="H83" s="1" t="str">
        <f>IFERROR(__xludf.DUMMYFUNCTION("""COMPUTED_VALUE"""),"6")</f>
        <v>6</v>
      </c>
    </row>
    <row r="84">
      <c r="A84" s="1" t="str">
        <f>IFERROR(__xludf.DUMMYFUNCTION("""COMPUTED_VALUE"""),"舟-12")</f>
        <v>舟-12</v>
      </c>
      <c r="B84" s="1" t="str">
        <f>IFERROR(__xludf.DUMMYFUNCTION("""COMPUTED_VALUE"""),"台灣一葉蘭")</f>
        <v>台灣一葉蘭</v>
      </c>
      <c r="C84" s="1" t="str">
        <f>IFERROR(__xludf.DUMMYFUNCTION("""COMPUTED_VALUE"""),"現存")</f>
        <v>現存</v>
      </c>
      <c r="D84" s="1" t="str">
        <f>IFERROR(__xludf.DUMMYFUNCTION("""COMPUTED_VALUE"""),"不收錄")</f>
        <v>不收錄</v>
      </c>
      <c r="E84" s="1" t="str">
        <f>IFERROR(__xludf.DUMMYFUNCTION("""COMPUTED_VALUE"""),"不收錄")</f>
        <v>不收錄</v>
      </c>
      <c r="F84" s="1" t="str">
        <f>IFERROR(__xludf.DUMMYFUNCTION("""COMPUTED_VALUE"""),"2")</f>
        <v>2</v>
      </c>
      <c r="G84" s="1"/>
      <c r="H84" s="1" t="str">
        <f>IFERROR(__xludf.DUMMYFUNCTION("""COMPUTED_VALUE"""),"2")</f>
        <v>2</v>
      </c>
    </row>
    <row r="85">
      <c r="A85" s="1" t="str">
        <f>IFERROR(__xludf.DUMMYFUNCTION("""COMPUTED_VALUE"""),"舟-120")</f>
        <v>舟-120</v>
      </c>
      <c r="B85" s="1" t="str">
        <f>IFERROR(__xludf.DUMMYFUNCTION("""COMPUTED_VALUE"""),"墨西哥鞋蘭")</f>
        <v>墨西哥鞋蘭</v>
      </c>
      <c r="C85" s="1" t="str">
        <f>IFERROR(__xludf.DUMMYFUNCTION("""COMPUTED_VALUE"""),"現存")</f>
        <v>現存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IFERROR(__xludf.DUMMYFUNCTION("""COMPUTED_VALUE"""),"7,9")</f>
        <v>7,9</v>
      </c>
      <c r="G85" s="1"/>
      <c r="H85" s="1" t="str">
        <f>IFERROR(__xludf.DUMMYFUNCTION("""COMPUTED_VALUE"""),"7,9")</f>
        <v>7,9</v>
      </c>
    </row>
    <row r="86">
      <c r="A86" s="1" t="str">
        <f>IFERROR(__xludf.DUMMYFUNCTION("""COMPUTED_VALUE"""),"舟-121")</f>
        <v>舟-121</v>
      </c>
      <c r="B86" s="1" t="str">
        <f>IFERROR(__xludf.DUMMYFUNCTION("""COMPUTED_VALUE"""),"孔斯鹿角蘭")</f>
        <v>孔斯鹿角蘭</v>
      </c>
      <c r="C86" s="1" t="str">
        <f>IFERROR(__xludf.DUMMYFUNCTION("""COMPUTED_VALUE"""),"現存")</f>
        <v>現存</v>
      </c>
      <c r="D86" s="1" t="str">
        <f>IFERROR(__xludf.DUMMYFUNCTION("""COMPUTED_VALUE"""),"近年未見")</f>
        <v>近年未見</v>
      </c>
      <c r="E86" s="1" t="str">
        <f>IFERROR(__xludf.DUMMYFUNCTION("""COMPUTED_VALUE"""),"近年未見")</f>
        <v>近年未見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IFERROR(__xludf.DUMMYFUNCTION("""COMPUTED_VALUE"""),"舟-124")</f>
        <v>舟-124</v>
      </c>
      <c r="B87" s="1" t="str">
        <f>IFERROR(__xludf.DUMMYFUNCTION("""COMPUTED_VALUE"""),"斑萼卡特蘭")</f>
        <v>斑萼卡特蘭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IFERROR(__xludf.DUMMYFUNCTION("""COMPUTED_VALUE"""),"7")</f>
        <v>7</v>
      </c>
      <c r="G87" s="1"/>
      <c r="H87" s="1" t="str">
        <f>IFERROR(__xludf.DUMMYFUNCTION("""COMPUTED_VALUE"""),"7")</f>
        <v>7</v>
      </c>
    </row>
    <row r="88">
      <c r="A88" s="1" t="str">
        <f>IFERROR(__xludf.DUMMYFUNCTION("""COMPUTED_VALUE"""),"舟-129")</f>
        <v>舟-129</v>
      </c>
      <c r="B88" s="1" t="str">
        <f>IFERROR(__xludf.DUMMYFUNCTION("""COMPUTED_VALUE"""),"水晶花燭")</f>
        <v>水晶花燭</v>
      </c>
      <c r="C88" s="1" t="str">
        <f>IFERROR(__xludf.DUMMYFUNCTION("""COMPUTED_VALUE"""),"現存")</f>
        <v>現存</v>
      </c>
      <c r="D88" s="1" t="str">
        <f>IFERROR(__xludf.DUMMYFUNCTION("""COMPUTED_VALUE"""),"不收錄")</f>
        <v>不收錄</v>
      </c>
      <c r="E88" s="1" t="str">
        <f>IFERROR(__xludf.DUMMYFUNCTION("""COMPUTED_VALUE"""),"不收錄")</f>
        <v>不收錄</v>
      </c>
      <c r="F88" s="1" t="str">
        <f>IFERROR(__xludf.DUMMYFUNCTION("""COMPUTED_VALUE"""),"7")</f>
        <v>7</v>
      </c>
      <c r="G88" s="1"/>
      <c r="H88" s="1" t="str">
        <f>IFERROR(__xludf.DUMMYFUNCTION("""COMPUTED_VALUE"""),"7")</f>
        <v>7</v>
      </c>
    </row>
    <row r="89">
      <c r="A89" s="1" t="str">
        <f>IFERROR(__xludf.DUMMYFUNCTION("""COMPUTED_VALUE"""),"舟-138")</f>
        <v>舟-138</v>
      </c>
      <c r="B89" s="1" t="str">
        <f>IFERROR(__xludf.DUMMYFUNCTION("""COMPUTED_VALUE"""),"銀葉摩芋")</f>
        <v>銀葉摩芋</v>
      </c>
      <c r="C89" s="1" t="str">
        <f>IFERROR(__xludf.DUMMYFUNCTION("""COMPUTED_VALUE"""),"近年未見")</f>
        <v>近年未見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IFERROR(__xludf.DUMMYFUNCTION("""COMPUTED_VALUE"""),"7")</f>
        <v>7</v>
      </c>
      <c r="G89" s="1"/>
      <c r="H89" s="1" t="str">
        <f>IFERROR(__xludf.DUMMYFUNCTION("""COMPUTED_VALUE"""),"7")</f>
        <v>7</v>
      </c>
    </row>
    <row r="90">
      <c r="A90" s="1" t="str">
        <f>IFERROR(__xludf.DUMMYFUNCTION("""COMPUTED_VALUE"""),"舟-147")</f>
        <v>舟-147</v>
      </c>
      <c r="B90" s="1" t="str">
        <f>IFERROR(__xludf.DUMMYFUNCTION("""COMPUTED_VALUE"""),"小葉寄樹蘭")</f>
        <v>小葉寄樹蘭</v>
      </c>
      <c r="C90" s="1" t="str">
        <f>IFERROR(__xludf.DUMMYFUNCTION("""COMPUTED_VALUE"""),"現存")</f>
        <v>現存</v>
      </c>
      <c r="D90" s="1" t="str">
        <f>IFERROR(__xludf.DUMMYFUNCTION("""COMPUTED_VALUE"""),"近年未見")</f>
        <v>近年未見</v>
      </c>
      <c r="E90" s="1" t="str">
        <f>IFERROR(__xludf.DUMMYFUNCTION("""COMPUTED_VALUE"""),"近年未見")</f>
        <v>近年未見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IFERROR(__xludf.DUMMYFUNCTION("""COMPUTED_VALUE"""),"舟-152")</f>
        <v>舟-152</v>
      </c>
      <c r="B91" s="1" t="str">
        <f>IFERROR(__xludf.DUMMYFUNCTION("""COMPUTED_VALUE"""),"烏來閉口蘭")</f>
        <v>烏來閉口蘭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IFERROR(__xludf.DUMMYFUNCTION("""COMPUTED_VALUE"""),"8")</f>
        <v>8</v>
      </c>
      <c r="G91" s="1"/>
      <c r="H91" s="1" t="str">
        <f>IFERROR(__xludf.DUMMYFUNCTION("""COMPUTED_VALUE"""),"8")</f>
        <v>8</v>
      </c>
    </row>
    <row r="92">
      <c r="A92" s="1" t="str">
        <f>IFERROR(__xludf.DUMMYFUNCTION("""COMPUTED_VALUE"""),"舟-157")</f>
        <v>舟-157</v>
      </c>
      <c r="B92" s="1" t="str">
        <f>IFERROR(__xludf.DUMMYFUNCTION("""COMPUTED_VALUE"""),"蕉蘭")</f>
        <v>蕉蘭</v>
      </c>
      <c r="C92" s="1" t="str">
        <f>IFERROR(__xludf.DUMMYFUNCTION("""COMPUTED_VALUE"""),"現存")</f>
        <v>現存</v>
      </c>
      <c r="D92" s="1" t="str">
        <f>IFERROR(__xludf.DUMMYFUNCTION("""COMPUTED_VALUE"""),"不收錄")</f>
        <v>不收錄</v>
      </c>
      <c r="E92" s="1" t="str">
        <f>IFERROR(__xludf.DUMMYFUNCTION("""COMPUTED_VALUE"""),"不收錄")</f>
        <v>不收錄</v>
      </c>
      <c r="F92" s="1" t="str">
        <f>IFERROR(__xludf.DUMMYFUNCTION("""COMPUTED_VALUE"""),"8,9")</f>
        <v>8,9</v>
      </c>
      <c r="G92" s="1"/>
      <c r="H92" s="1" t="str">
        <f>IFERROR(__xludf.DUMMYFUNCTION("""COMPUTED_VALUE"""),"8,9")</f>
        <v>8,9</v>
      </c>
    </row>
    <row r="93">
      <c r="A93" s="1" t="str">
        <f>IFERROR(__xludf.DUMMYFUNCTION("""COMPUTED_VALUE"""),"舟-160")</f>
        <v>舟-160</v>
      </c>
      <c r="B93" s="1" t="str">
        <f>IFERROR(__xludf.DUMMYFUNCTION("""COMPUTED_VALUE"""),"魔葵拖鞋蘭")</f>
        <v>魔葵拖鞋蘭</v>
      </c>
      <c r="C93" s="1" t="str">
        <f>IFERROR(__xludf.DUMMYFUNCTION("""COMPUTED_VALUE"""),"現存")</f>
        <v>現存</v>
      </c>
      <c r="D93" s="1" t="str">
        <f>IFERROR(__xludf.DUMMYFUNCTION("""COMPUTED_VALUE"""),"不收錄")</f>
        <v>不收錄</v>
      </c>
      <c r="E93" s="1" t="str">
        <f>IFERROR(__xludf.DUMMYFUNCTION("""COMPUTED_VALUE"""),"不收錄")</f>
        <v>不收錄</v>
      </c>
      <c r="F93" s="1" t="str">
        <f>IFERROR(__xludf.DUMMYFUNCTION("""COMPUTED_VALUE"""),"8")</f>
        <v>8</v>
      </c>
      <c r="G93" s="1"/>
      <c r="H93" s="1" t="str">
        <f>IFERROR(__xludf.DUMMYFUNCTION("""COMPUTED_VALUE"""),"8")</f>
        <v>8</v>
      </c>
    </row>
    <row r="94">
      <c r="A94" s="1" t="str">
        <f>IFERROR(__xludf.DUMMYFUNCTION("""COMPUTED_VALUE"""),"舟-166")</f>
        <v>舟-166</v>
      </c>
      <c r="B94" s="1" t="str">
        <f>IFERROR(__xludf.DUMMYFUNCTION("""COMPUTED_VALUE"""),"桃園草")</f>
        <v>桃園草</v>
      </c>
      <c r="C94" s="1" t="str">
        <f>IFERROR(__xludf.DUMMYFUNCTION("""COMPUTED_VALUE"""),"現存")</f>
        <v>現存</v>
      </c>
      <c r="D94" s="1" t="str">
        <f>IFERROR(__xludf.DUMMYFUNCTION("""COMPUTED_VALUE"""),"近年未見")</f>
        <v>近年未見</v>
      </c>
      <c r="E94" s="1" t="str">
        <f>IFERROR(__xludf.DUMMYFUNCTION("""COMPUTED_VALUE"""),"近年未見")</f>
        <v>近年未見</v>
      </c>
      <c r="F94" s="1" t="str">
        <f>IFERROR(__xludf.DUMMYFUNCTION("""COMPUTED_VALUE"""),"9,11,12")</f>
        <v>9,11,12</v>
      </c>
      <c r="G94" s="1"/>
      <c r="H94" s="1" t="str">
        <f>IFERROR(__xludf.DUMMYFUNCTION("""COMPUTED_VALUE"""),"9,11,12")</f>
        <v>9,11,12</v>
      </c>
    </row>
    <row r="95">
      <c r="A95" s="1" t="str">
        <f>IFERROR(__xludf.DUMMYFUNCTION("""COMPUTED_VALUE"""),"舟-17")</f>
        <v>舟-17</v>
      </c>
      <c r="B95" s="1" t="str">
        <f>IFERROR(__xludf.DUMMYFUNCTION("""COMPUTED_VALUE"""),"小蠟燭蘭")</f>
        <v>小蠟燭蘭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IFERROR(__xludf.DUMMYFUNCTION("""COMPUTED_VALUE"""),"2")</f>
        <v>2</v>
      </c>
      <c r="G95" s="1"/>
      <c r="H95" s="1" t="str">
        <f>IFERROR(__xludf.DUMMYFUNCTION("""COMPUTED_VALUE"""),"2")</f>
        <v>2</v>
      </c>
    </row>
    <row r="96">
      <c r="A96" s="1" t="str">
        <f>IFERROR(__xludf.DUMMYFUNCTION("""COMPUTED_VALUE"""),"舟-172")</f>
        <v>舟-172</v>
      </c>
      <c r="B96" s="1" t="str">
        <f>IFERROR(__xludf.DUMMYFUNCTION("""COMPUTED_VALUE"""),"蓬萊油菊")</f>
        <v>蓬萊油菊</v>
      </c>
      <c r="C96" s="1" t="str">
        <f>IFERROR(__xludf.DUMMYFUNCTION("""COMPUTED_VALUE"""),"現存")</f>
        <v>現存</v>
      </c>
      <c r="D96" s="1" t="str">
        <f>IFERROR(__xludf.DUMMYFUNCTION("""COMPUTED_VALUE"""),"近年未見")</f>
        <v>近年未見</v>
      </c>
      <c r="E96" s="1" t="str">
        <f>IFERROR(__xludf.DUMMYFUNCTION("""COMPUTED_VALUE"""),"近年未見")</f>
        <v>近年未見</v>
      </c>
      <c r="F96" s="1" t="str">
        <f>IFERROR(__xludf.DUMMYFUNCTION("""COMPUTED_VALUE"""),"10")</f>
        <v>10</v>
      </c>
      <c r="G96" s="1"/>
      <c r="H96" s="1" t="str">
        <f>IFERROR(__xludf.DUMMYFUNCTION("""COMPUTED_VALUE"""),"10")</f>
        <v>10</v>
      </c>
    </row>
    <row r="97">
      <c r="A97" s="1" t="str">
        <f>IFERROR(__xludf.DUMMYFUNCTION("""COMPUTED_VALUE"""),"舟-178")</f>
        <v>舟-178</v>
      </c>
      <c r="B97" s="1" t="str">
        <f>IFERROR(__xludf.DUMMYFUNCTION("""COMPUTED_VALUE"""),"大腳筒蘭")</f>
        <v>大腳筒蘭</v>
      </c>
      <c r="C97" s="1" t="str">
        <f>IFERROR(__xludf.DUMMYFUNCTION("""COMPUTED_VALUE"""),"現存")</f>
        <v>現存</v>
      </c>
      <c r="D97" s="1" t="str">
        <f>IFERROR(__xludf.DUMMYFUNCTION("""COMPUTED_VALUE"""),"不收錄")</f>
        <v>不收錄</v>
      </c>
      <c r="E97" s="1" t="str">
        <f>IFERROR(__xludf.DUMMYFUNCTION("""COMPUTED_VALUE"""),"不收錄")</f>
        <v>不收錄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IFERROR(__xludf.DUMMYFUNCTION("""COMPUTED_VALUE"""),"舟-182")</f>
        <v>舟-182</v>
      </c>
      <c r="B98" s="1" t="str">
        <f>IFERROR(__xludf.DUMMYFUNCTION("""COMPUTED_VALUE"""),"斑點草莓寄樹蘭")</f>
        <v>斑點草莓寄樹蘭</v>
      </c>
      <c r="C98" s="1" t="str">
        <f>IFERROR(__xludf.DUMMYFUNCTION("""COMPUTED_VALUE"""),"現存")</f>
        <v>現存</v>
      </c>
      <c r="D98" s="1" t="str">
        <f>IFERROR(__xludf.DUMMYFUNCTION("""COMPUTED_VALUE"""),"近年未見")</f>
        <v>近年未見</v>
      </c>
      <c r="E98" s="1" t="str">
        <f>IFERROR(__xludf.DUMMYFUNCTION("""COMPUTED_VALUE"""),"近年未見")</f>
        <v>近年未見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IFERROR(__xludf.DUMMYFUNCTION("""COMPUTED_VALUE"""),"舟-186")</f>
        <v>舟-186</v>
      </c>
      <c r="B99" s="1" t="str">
        <f>IFERROR(__xludf.DUMMYFUNCTION("""COMPUTED_VALUE"""),"羊耳蒜")</f>
        <v>羊耳蒜</v>
      </c>
      <c r="C99" s="1" t="str">
        <f>IFERROR(__xludf.DUMMYFUNCTION("""COMPUTED_VALUE"""),"現存")</f>
        <v>現存</v>
      </c>
      <c r="D99" s="1" t="str">
        <f>IFERROR(__xludf.DUMMYFUNCTION("""COMPUTED_VALUE"""),"不收錄")</f>
        <v>不收錄</v>
      </c>
      <c r="E99" s="1" t="str">
        <f>IFERROR(__xludf.DUMMYFUNCTION("""COMPUTED_VALUE"""),"不收錄")</f>
        <v>不收錄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IFERROR(__xludf.DUMMYFUNCTION("""COMPUTED_VALUE"""),"舟-187")</f>
        <v>舟-187</v>
      </c>
      <c r="B100" s="1" t="str">
        <f>IFERROR(__xludf.DUMMYFUNCTION("""COMPUTED_VALUE"""),"翡翠閣")</f>
        <v>翡翠閣</v>
      </c>
      <c r="C100" s="1" t="str">
        <f>IFERROR(__xludf.DUMMYFUNCTION("""COMPUTED_VALUE"""),"現存")</f>
        <v>現存</v>
      </c>
      <c r="D100" s="1" t="str">
        <f>IFERROR(__xludf.DUMMYFUNCTION("""COMPUTED_VALUE"""),"近年未見")</f>
        <v>近年未見</v>
      </c>
      <c r="E100" s="1" t="str">
        <f>IFERROR(__xludf.DUMMYFUNCTION("""COMPUTED_VALUE"""),"近年未見")</f>
        <v>近年未見</v>
      </c>
      <c r="F100" s="1" t="str">
        <f>IFERROR(__xludf.DUMMYFUNCTION("""COMPUTED_VALUE"""),"11")</f>
        <v>11</v>
      </c>
      <c r="G100" s="1"/>
      <c r="H100" s="1" t="str">
        <f>IFERROR(__xludf.DUMMYFUNCTION("""COMPUTED_VALUE"""),"11")</f>
        <v>11</v>
      </c>
    </row>
    <row r="101">
      <c r="A101" s="1" t="str">
        <f>IFERROR(__xludf.DUMMYFUNCTION("""COMPUTED_VALUE"""),"舟-188")</f>
        <v>舟-188</v>
      </c>
      <c r="B101" s="1" t="str">
        <f>IFERROR(__xludf.DUMMYFUNCTION("""COMPUTED_VALUE"""),"纖細舞花薑")</f>
        <v>纖細舞花薑</v>
      </c>
      <c r="C101" s="1" t="str">
        <f>IFERROR(__xludf.DUMMYFUNCTION("""COMPUTED_VALUE"""),"近年未見")</f>
        <v>近年未見</v>
      </c>
      <c r="D101" s="1" t="str">
        <f>IFERROR(__xludf.DUMMYFUNCTION("""COMPUTED_VALUE"""),"不收錄")</f>
        <v>不收錄</v>
      </c>
      <c r="E101" s="1" t="str">
        <f>IFERROR(__xludf.DUMMYFUNCTION("""COMPUTED_VALUE"""),"不收錄")</f>
        <v>不收錄</v>
      </c>
      <c r="F101" s="1" t="str">
        <f>IFERROR(__xludf.DUMMYFUNCTION("""COMPUTED_VALUE"""),"11")</f>
        <v>11</v>
      </c>
      <c r="G101" s="1"/>
      <c r="H101" s="1" t="str">
        <f>IFERROR(__xludf.DUMMYFUNCTION("""COMPUTED_VALUE"""),"11")</f>
        <v>11</v>
      </c>
    </row>
    <row r="102">
      <c r="A102" s="1" t="str">
        <f>IFERROR(__xludf.DUMMYFUNCTION("""COMPUTED_VALUE"""),"舟-191")</f>
        <v>舟-191</v>
      </c>
      <c r="B102" s="1" t="str">
        <f>IFERROR(__xludf.DUMMYFUNCTION("""COMPUTED_VALUE"""),"黑葉魔芋")</f>
        <v>黑葉魔芋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IFERROR(__xludf.DUMMYFUNCTION("""COMPUTED_VALUE"""),"11")</f>
        <v>11</v>
      </c>
      <c r="G102" s="1"/>
      <c r="H102" s="1" t="str">
        <f>IFERROR(__xludf.DUMMYFUNCTION("""COMPUTED_VALUE"""),"11")</f>
        <v>11</v>
      </c>
    </row>
    <row r="103">
      <c r="A103" s="1" t="str">
        <f>IFERROR(__xludf.DUMMYFUNCTION("""COMPUTED_VALUE"""),"舟-193")</f>
        <v>舟-193</v>
      </c>
      <c r="B103" s="1" t="str">
        <f>IFERROR(__xludf.DUMMYFUNCTION("""COMPUTED_VALUE"""),"秋海棠")</f>
        <v>秋海棠</v>
      </c>
      <c r="C103" s="1" t="str">
        <f>IFERROR(__xludf.DUMMYFUNCTION("""COMPUTED_VALUE"""),"近年未見")</f>
        <v>近年未見</v>
      </c>
      <c r="D103" s="1" t="str">
        <f>IFERROR(__xludf.DUMMYFUNCTION("""COMPUTED_VALUE"""),"不收錄")</f>
        <v>不收錄</v>
      </c>
      <c r="E103" s="1" t="str">
        <f>IFERROR(__xludf.DUMMYFUNCTION("""COMPUTED_VALUE"""),"不收錄")</f>
        <v>不收錄</v>
      </c>
      <c r="F103" s="1" t="str">
        <f>IFERROR(__xludf.DUMMYFUNCTION("""COMPUTED_VALUE"""),"12")</f>
        <v>12</v>
      </c>
      <c r="G103" s="1"/>
      <c r="H103" s="1" t="str">
        <f>IFERROR(__xludf.DUMMYFUNCTION("""COMPUTED_VALUE"""),"12")</f>
        <v>12</v>
      </c>
    </row>
    <row r="104">
      <c r="A104" s="1" t="str">
        <f>IFERROR(__xludf.DUMMYFUNCTION("""COMPUTED_VALUE"""),"舟-194")</f>
        <v>舟-194</v>
      </c>
      <c r="B104" s="1" t="str">
        <f>IFERROR(__xludf.DUMMYFUNCTION("""COMPUTED_VALUE"""),"紅石斛")</f>
        <v>紅石斛</v>
      </c>
      <c r="C104" s="1" t="str">
        <f>IFERROR(__xludf.DUMMYFUNCTION("""COMPUTED_VALUE"""),"現存")</f>
        <v>現存</v>
      </c>
      <c r="D104" s="1" t="str">
        <f>IFERROR(__xludf.DUMMYFUNCTION("""COMPUTED_VALUE"""),"不收錄")</f>
        <v>不收錄</v>
      </c>
      <c r="E104" s="1" t="str">
        <f>IFERROR(__xludf.DUMMYFUNCTION("""COMPUTED_VALUE"""),"不收錄")</f>
        <v>不收錄</v>
      </c>
      <c r="F104" s="1" t="str">
        <f>IFERROR(__xludf.DUMMYFUNCTION("""COMPUTED_VALUE"""),"12")</f>
        <v>12</v>
      </c>
      <c r="G104" s="1"/>
      <c r="H104" s="1" t="str">
        <f>IFERROR(__xludf.DUMMYFUNCTION("""COMPUTED_VALUE"""),"12")</f>
        <v>12</v>
      </c>
    </row>
    <row r="105">
      <c r="A105" s="1" t="str">
        <f>IFERROR(__xludf.DUMMYFUNCTION("""COMPUTED_VALUE"""),"舟-21")</f>
        <v>舟-21</v>
      </c>
      <c r="B105" s="1" t="str">
        <f>IFERROR(__xludf.DUMMYFUNCTION("""COMPUTED_VALUE"""),"毛緣薹草")</f>
        <v>毛緣薹草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IFERROR(__xludf.DUMMYFUNCTION("""COMPUTED_VALUE"""),"2")</f>
        <v>2</v>
      </c>
      <c r="G105" s="1"/>
      <c r="H105" s="1" t="str">
        <f>IFERROR(__xludf.DUMMYFUNCTION("""COMPUTED_VALUE"""),"2")</f>
        <v>2</v>
      </c>
    </row>
    <row r="106">
      <c r="A106" s="1" t="str">
        <f>IFERROR(__xludf.DUMMYFUNCTION("""COMPUTED_VALUE"""),"舟-32")</f>
        <v>舟-32</v>
      </c>
      <c r="B106" s="1" t="str">
        <f>IFERROR(__xludf.DUMMYFUNCTION("""COMPUTED_VALUE"""),"喜花草")</f>
        <v>喜花草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IFERROR(__xludf.DUMMYFUNCTION("""COMPUTED_VALUE"""),"3")</f>
        <v>3</v>
      </c>
      <c r="G106" s="1"/>
      <c r="H106" s="1" t="str">
        <f>IFERROR(__xludf.DUMMYFUNCTION("""COMPUTED_VALUE"""),"3")</f>
        <v>3</v>
      </c>
    </row>
    <row r="107">
      <c r="A107" s="1" t="str">
        <f>IFERROR(__xludf.DUMMYFUNCTION("""COMPUTED_VALUE"""),"舟-45")</f>
        <v>舟-45</v>
      </c>
      <c r="B107" s="1" t="str">
        <f>IFERROR(__xludf.DUMMYFUNCTION("""COMPUTED_VALUE"""),"齒唇羊耳蒜")</f>
        <v>齒唇羊耳蒜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IFERROR(__xludf.DUMMYFUNCTION("""COMPUTED_VALUE"""),"3,5")</f>
        <v>3,5</v>
      </c>
      <c r="G107" s="1"/>
      <c r="H107" s="1" t="str">
        <f>IFERROR(__xludf.DUMMYFUNCTION("""COMPUTED_VALUE"""),"3,5")</f>
        <v>3,5</v>
      </c>
    </row>
    <row r="108">
      <c r="A108" s="1" t="str">
        <f>IFERROR(__xludf.DUMMYFUNCTION("""COMPUTED_VALUE"""),"舟-47")</f>
        <v>舟-47</v>
      </c>
      <c r="B108" s="1" t="str">
        <f>IFERROR(__xludf.DUMMYFUNCTION("""COMPUTED_VALUE"""),"大花羊耳蒜")</f>
        <v>大花羊耳蒜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IFERROR(__xludf.DUMMYFUNCTION("""COMPUTED_VALUE"""),"舟-48")</f>
        <v>舟-48</v>
      </c>
      <c r="B109" s="1" t="str">
        <f>IFERROR(__xludf.DUMMYFUNCTION("""COMPUTED_VALUE"""),"大苞秋海棠")</f>
        <v>大苞秋海棠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IFERROR(__xludf.DUMMYFUNCTION("""COMPUTED_VALUE"""),"舟-55")</f>
        <v>舟-55</v>
      </c>
      <c r="B110" s="1" t="str">
        <f>IFERROR(__xludf.DUMMYFUNCTION("""COMPUTED_VALUE"""),"玉山櫻草")</f>
        <v>玉山櫻草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IFERROR(__xludf.DUMMYFUNCTION("""COMPUTED_VALUE"""),"舟-57")</f>
        <v>舟-57</v>
      </c>
      <c r="B111" s="1" t="str">
        <f>IFERROR(__xludf.DUMMYFUNCTION("""COMPUTED_VALUE"""),"琴葉毬蘭")</f>
        <v>琴葉毬蘭</v>
      </c>
      <c r="C111" s="1" t="str">
        <f>IFERROR(__xludf.DUMMYFUNCTION("""COMPUTED_VALUE"""),"現存")</f>
        <v>現存</v>
      </c>
      <c r="D111" s="1" t="str">
        <f>IFERROR(__xludf.DUMMYFUNCTION("""COMPUTED_VALUE"""),"近年未見")</f>
        <v>近年未見</v>
      </c>
      <c r="E111" s="1" t="str">
        <f>IFERROR(__xludf.DUMMYFUNCTION("""COMPUTED_VALUE"""),"近年未見")</f>
        <v>近年未見</v>
      </c>
      <c r="F111" s="1" t="str">
        <f>IFERROR(__xludf.DUMMYFUNCTION("""COMPUTED_VALUE"""),"4")</f>
        <v>4</v>
      </c>
      <c r="G111" s="1"/>
      <c r="H111" s="1" t="str">
        <f>IFERROR(__xludf.DUMMYFUNCTION("""COMPUTED_VALUE"""),"4")</f>
        <v>4</v>
      </c>
    </row>
    <row r="112">
      <c r="A112" s="1" t="str">
        <f>IFERROR(__xludf.DUMMYFUNCTION("""COMPUTED_VALUE"""),"舟-58")</f>
        <v>舟-58</v>
      </c>
      <c r="B112" s="1" t="str">
        <f>IFERROR(__xludf.DUMMYFUNCTION("""COMPUTED_VALUE"""),"白石斛蘭")</f>
        <v>白石斛蘭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IFERROR(__xludf.DUMMYFUNCTION("""COMPUTED_VALUE"""),"4")</f>
        <v>4</v>
      </c>
      <c r="G112" s="1"/>
      <c r="H112" s="1" t="str">
        <f>IFERROR(__xludf.DUMMYFUNCTION("""COMPUTED_VALUE"""),"4")</f>
        <v>4</v>
      </c>
    </row>
    <row r="113">
      <c r="A113" s="1" t="str">
        <f>IFERROR(__xludf.DUMMYFUNCTION("""COMPUTED_VALUE"""),"舟-61")</f>
        <v>舟-61</v>
      </c>
      <c r="B113" s="1" t="str">
        <f>IFERROR(__xludf.DUMMYFUNCTION("""COMPUTED_VALUE"""),"短穗毛舌蘭")</f>
        <v>短穗毛舌蘭</v>
      </c>
      <c r="C113" s="1" t="str">
        <f>IFERROR(__xludf.DUMMYFUNCTION("""COMPUTED_VALUE"""),"現存")</f>
        <v>現存</v>
      </c>
      <c r="D113" s="1" t="str">
        <f>IFERROR(__xludf.DUMMYFUNCTION("""COMPUTED_VALUE"""),"近年未見")</f>
        <v>近年未見</v>
      </c>
      <c r="E113" s="1" t="str">
        <f>IFERROR(__xludf.DUMMYFUNCTION("""COMPUTED_VALUE"""),"近年未見")</f>
        <v>近年未見</v>
      </c>
      <c r="F113" s="1" t="str">
        <f>IFERROR(__xludf.DUMMYFUNCTION("""COMPUTED_VALUE"""),"4")</f>
        <v>4</v>
      </c>
      <c r="G113" s="1"/>
      <c r="H113" s="1" t="str">
        <f>IFERROR(__xludf.DUMMYFUNCTION("""COMPUTED_VALUE"""),"4")</f>
        <v>4</v>
      </c>
    </row>
    <row r="114">
      <c r="A114" s="1" t="str">
        <f>IFERROR(__xludf.DUMMYFUNCTION("""COMPUTED_VALUE"""),"舟-62")</f>
        <v>舟-62</v>
      </c>
      <c r="B114" s="1" t="str">
        <f>IFERROR(__xludf.DUMMYFUNCTION("""COMPUTED_VALUE"""),"秋海棠科")</f>
        <v>秋海棠科</v>
      </c>
      <c r="C114" s="1" t="str">
        <f>IFERROR(__xludf.DUMMYFUNCTION("""COMPUTED_VALUE"""),"現存")</f>
        <v>現存</v>
      </c>
      <c r="D114" s="1" t="str">
        <f>IFERROR(__xludf.DUMMYFUNCTION("""COMPUTED_VALUE"""),"不收錄")</f>
        <v>不收錄</v>
      </c>
      <c r="E114" s="1" t="str">
        <f>IFERROR(__xludf.DUMMYFUNCTION("""COMPUTED_VALUE"""),"不收錄")</f>
        <v>不收錄</v>
      </c>
      <c r="F114" s="1" t="str">
        <f>IFERROR(__xludf.DUMMYFUNCTION("""COMPUTED_VALUE"""),"4,5")</f>
        <v>4,5</v>
      </c>
      <c r="G114" s="1"/>
      <c r="H114" s="1" t="str">
        <f>IFERROR(__xludf.DUMMYFUNCTION("""COMPUTED_VALUE"""),"4,5")</f>
        <v>4,5</v>
      </c>
    </row>
    <row r="115">
      <c r="A115" s="1" t="str">
        <f>IFERROR(__xludf.DUMMYFUNCTION("""COMPUTED_VALUE"""),"舟-70")</f>
        <v>舟-70</v>
      </c>
      <c r="B115" s="1" t="str">
        <f>IFERROR(__xludf.DUMMYFUNCTION("""COMPUTED_VALUE"""),"卷萼兜蘭")</f>
        <v>卷萼兜蘭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IFERROR(__xludf.DUMMYFUNCTION("""COMPUTED_VALUE"""),"5")</f>
        <v>5</v>
      </c>
      <c r="G115" s="1"/>
      <c r="H115" s="1" t="str">
        <f>IFERROR(__xludf.DUMMYFUNCTION("""COMPUTED_VALUE"""),"5")</f>
        <v>5</v>
      </c>
    </row>
    <row r="116">
      <c r="A116" s="1" t="str">
        <f>IFERROR(__xludf.DUMMYFUNCTION("""COMPUTED_VALUE"""),"舟-86")</f>
        <v>舟-86</v>
      </c>
      <c r="B116" s="1" t="str">
        <f>IFERROR(__xludf.DUMMYFUNCTION("""COMPUTED_VALUE"""),"豆蘭")</f>
        <v>豆蘭</v>
      </c>
      <c r="C116" s="1" t="str">
        <f>IFERROR(__xludf.DUMMYFUNCTION("""COMPUTED_VALUE"""),"現存")</f>
        <v>現存</v>
      </c>
      <c r="D116" s="1" t="str">
        <f>IFERROR(__xludf.DUMMYFUNCTION("""COMPUTED_VALUE"""),"不收錄")</f>
        <v>不收錄</v>
      </c>
      <c r="E116" s="1" t="str">
        <f>IFERROR(__xludf.DUMMYFUNCTION("""COMPUTED_VALUE"""),"不收錄")</f>
        <v>不收錄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IFERROR(__xludf.DUMMYFUNCTION("""COMPUTED_VALUE"""),"舟-89")</f>
        <v>舟-89</v>
      </c>
      <c r="B117" s="1" t="str">
        <f>IFERROR(__xludf.DUMMYFUNCTION("""COMPUTED_VALUE"""),"銀葉裂瓣毬蘭")</f>
        <v>銀葉裂瓣毬蘭</v>
      </c>
      <c r="C117" s="1" t="str">
        <f>IFERROR(__xludf.DUMMYFUNCTION("""COMPUTED_VALUE"""),"現存")</f>
        <v>現存</v>
      </c>
      <c r="D117" s="1" t="str">
        <f>IFERROR(__xludf.DUMMYFUNCTION("""COMPUTED_VALUE"""),"近年未見")</f>
        <v>近年未見</v>
      </c>
      <c r="E117" s="1" t="str">
        <f>IFERROR(__xludf.DUMMYFUNCTION("""COMPUTED_VALUE"""),"近年未見")</f>
        <v>近年未見</v>
      </c>
      <c r="F117" s="1" t="str">
        <f>IFERROR(__xludf.DUMMYFUNCTION("""COMPUTED_VALUE"""),"5")</f>
        <v>5</v>
      </c>
      <c r="G117" s="1"/>
      <c r="H117" s="1" t="str">
        <f>IFERROR(__xludf.DUMMYFUNCTION("""COMPUTED_VALUE"""),"5")</f>
        <v>5</v>
      </c>
    </row>
    <row r="118">
      <c r="A118" s="1" t="str">
        <f>IFERROR(__xludf.DUMMYFUNCTION("""COMPUTED_VALUE"""),"舟-97")</f>
        <v>舟-97</v>
      </c>
      <c r="B118" s="1" t="str">
        <f>IFERROR(__xludf.DUMMYFUNCTION("""COMPUTED_VALUE"""),"小葉深山野牡丹")</f>
        <v>小葉深山野牡丹</v>
      </c>
      <c r="C118" s="1" t="str">
        <f>IFERROR(__xludf.DUMMYFUNCTION("""COMPUTED_VALUE"""),"現存")</f>
        <v>現存</v>
      </c>
      <c r="D118" s="1" t="str">
        <f>IFERROR(__xludf.DUMMYFUNCTION("""COMPUTED_VALUE"""),"近年未見")</f>
        <v>近年未見</v>
      </c>
      <c r="E118" s="1" t="str">
        <f>IFERROR(__xludf.DUMMYFUNCTION("""COMPUTED_VALUE"""),"近年未見")</f>
        <v>近年未見</v>
      </c>
      <c r="F118" s="1" t="str">
        <f>IFERROR(__xludf.DUMMYFUNCTION("""COMPUTED_VALUE"""),"6")</f>
        <v>6</v>
      </c>
      <c r="G118" s="1"/>
      <c r="H118" s="1" t="str">
        <f>IFERROR(__xludf.DUMMYFUNCTION("""COMPUTED_VALUE"""),"6")</f>
        <v>6</v>
      </c>
    </row>
    <row r="119">
      <c r="A119" s="1" t="str">
        <f>IFERROR(__xludf.DUMMYFUNCTION("""COMPUTED_VALUE"""),"舟右-49")</f>
        <v>舟右-49</v>
      </c>
      <c r="B119" s="1" t="str">
        <f>IFERROR(__xludf.DUMMYFUNCTION("""COMPUTED_VALUE"""),"瓦氏秋海棠")</f>
        <v>瓦氏秋海棠</v>
      </c>
      <c r="C119" s="1" t="str">
        <f>IFERROR(__xludf.DUMMYFUNCTION("""COMPUTED_VALUE"""),"現存")</f>
        <v>現存</v>
      </c>
      <c r="D119" s="1" t="str">
        <f>IFERROR(__xludf.DUMMYFUNCTION("""COMPUTED_VALUE"""),"近年未見")</f>
        <v>近年未見</v>
      </c>
      <c r="E119" s="1" t="str">
        <f>IFERROR(__xludf.DUMMYFUNCTION("""COMPUTED_VALUE"""),"近年未見")</f>
        <v>近年未見</v>
      </c>
      <c r="F119" s="1" t="str">
        <f>IFERROR(__xludf.DUMMYFUNCTION("""COMPUTED_VALUE"""),"5")</f>
        <v>5</v>
      </c>
      <c r="G119" s="1"/>
      <c r="H119" s="1" t="str">
        <f>IFERROR(__xludf.DUMMYFUNCTION("""COMPUTED_VALUE"""),"5")</f>
        <v>5</v>
      </c>
    </row>
    <row r="120">
      <c r="A120" s="1" t="str">
        <f>IFERROR(__xludf.DUMMYFUNCTION("""COMPUTED_VALUE"""),"舟右-64")</f>
        <v>舟右-64</v>
      </c>
      <c r="B120" s="1" t="str">
        <f>IFERROR(__xludf.DUMMYFUNCTION("""COMPUTED_VALUE"""),"燈豎杇")</f>
        <v>燈豎杇</v>
      </c>
      <c r="C120" s="1" t="str">
        <f>IFERROR(__xludf.DUMMYFUNCTION("""COMPUTED_VALUE"""),"現存")</f>
        <v>現存</v>
      </c>
      <c r="D120" s="1" t="str">
        <f>IFERROR(__xludf.DUMMYFUNCTION("""COMPUTED_VALUE"""),"不收錄")</f>
        <v>不收錄</v>
      </c>
      <c r="E120" s="1" t="str">
        <f>IFERROR(__xludf.DUMMYFUNCTION("""COMPUTED_VALUE"""),"不收錄")</f>
        <v>不收錄</v>
      </c>
      <c r="F120" s="1" t="str">
        <f>IFERROR(__xludf.DUMMYFUNCTION("""COMPUTED_VALUE"""),"10")</f>
        <v>10</v>
      </c>
      <c r="G120" s="1"/>
      <c r="H120" s="1" t="str">
        <f>IFERROR(__xludf.DUMMYFUNCTION("""COMPUTED_VALUE"""),"10")</f>
        <v>10</v>
      </c>
    </row>
    <row r="121">
      <c r="A121" s="1" t="str">
        <f>IFERROR(__xludf.DUMMYFUNCTION("""COMPUTED_VALUE"""),"舟左-03")</f>
        <v>舟左-03</v>
      </c>
      <c r="B121" s="1" t="str">
        <f>IFERROR(__xludf.DUMMYFUNCTION("""COMPUTED_VALUE"""),"宮粉仙丹")</f>
        <v>宮粉仙丹</v>
      </c>
      <c r="C121" s="1" t="str">
        <f>IFERROR(__xludf.DUMMYFUNCTION("""COMPUTED_VALUE"""),"現存")</f>
        <v>現存</v>
      </c>
      <c r="D121" s="1"/>
      <c r="E121" s="1" t="str">
        <f>IFERROR(__xludf.DUMMYFUNCTION("""COMPUTED_VALUE"""),"現存")</f>
        <v>現存</v>
      </c>
      <c r="F121" s="1" t="str">
        <f>IFERROR(__xludf.DUMMYFUNCTION("""COMPUTED_VALUE"""),"1,5,7,8")</f>
        <v>1,5,7,8</v>
      </c>
      <c r="G121" s="1" t="str">
        <f>IFERROR(__xludf.DUMMYFUNCTION("""COMPUTED_VALUE"""),"1,5,7,8,9,10")</f>
        <v>1,5,7,8,9,10</v>
      </c>
      <c r="H121" s="1" t="str">
        <f>IFERROR(__xludf.DUMMYFUNCTION("""COMPUTED_VALUE"""),"1,5,7,8,9,10")</f>
        <v>1,5,7,8,9,10</v>
      </c>
    </row>
    <row r="122">
      <c r="A122" s="1" t="str">
        <f>IFERROR(__xludf.DUMMYFUNCTION("""COMPUTED_VALUE"""),"舟左-06")</f>
        <v>舟左-06</v>
      </c>
      <c r="B122" s="1" t="str">
        <f>IFERROR(__xludf.DUMMYFUNCTION("""COMPUTED_VALUE"""),"明萼草")</f>
        <v>明萼草</v>
      </c>
      <c r="C122" s="1" t="str">
        <f>IFERROR(__xludf.DUMMYFUNCTION("""COMPUTED_VALUE"""),"現存")</f>
        <v>現存</v>
      </c>
      <c r="D122" s="1" t="str">
        <f>IFERROR(__xludf.DUMMYFUNCTION("""COMPUTED_VALUE"""),"不收錄")</f>
        <v>不收錄</v>
      </c>
      <c r="E122" s="1" t="str">
        <f>IFERROR(__xludf.DUMMYFUNCTION("""COMPUTED_VALUE"""),"不收錄")</f>
        <v>不收錄</v>
      </c>
      <c r="F122" s="1" t="str">
        <f>IFERROR(__xludf.DUMMYFUNCTION("""COMPUTED_VALUE"""),"1")</f>
        <v>1</v>
      </c>
      <c r="G122" s="1"/>
      <c r="H122" s="1" t="str">
        <f>IFERROR(__xludf.DUMMYFUNCTION("""COMPUTED_VALUE"""),"1")</f>
        <v>1</v>
      </c>
    </row>
    <row r="123">
      <c r="A123" s="1" t="str">
        <f>IFERROR(__xludf.DUMMYFUNCTION("""COMPUTED_VALUE"""),"舟左-08")</f>
        <v>舟左-08</v>
      </c>
      <c r="B123" s="1" t="str">
        <f>IFERROR(__xludf.DUMMYFUNCTION("""COMPUTED_VALUE"""),"炮竹紅")</f>
        <v>炮竹紅</v>
      </c>
      <c r="C123" s="1" t="str">
        <f>IFERROR(__xludf.DUMMYFUNCTION("""COMPUTED_VALUE"""),"現存")</f>
        <v>現存</v>
      </c>
      <c r="D123" s="1"/>
      <c r="E123" s="1" t="str">
        <f>IFERROR(__xludf.DUMMYFUNCTION("""COMPUTED_VALUE"""),"現存")</f>
        <v>現存</v>
      </c>
      <c r="F123" s="1" t="str">
        <f>IFERROR(__xludf.DUMMYFUNCTION("""COMPUTED_VALUE"""),"1,5,6,9")</f>
        <v>1,5,6,9</v>
      </c>
      <c r="G123" s="1" t="str">
        <f>IFERROR(__xludf.DUMMYFUNCTION("""COMPUTED_VALUE"""),"1,5,6,7,8,9,10")</f>
        <v>1,5,6,7,8,9,10</v>
      </c>
      <c r="H123" s="1" t="str">
        <f>IFERROR(__xludf.DUMMYFUNCTION("""COMPUTED_VALUE"""),"1,5,6,7,8,9,10")</f>
        <v>1,5,6,7,8,9,10</v>
      </c>
    </row>
    <row r="124">
      <c r="A124" s="1" t="str">
        <f>IFERROR(__xludf.DUMMYFUNCTION("""COMPUTED_VALUE"""),"舟左-12")</f>
        <v>舟左-12</v>
      </c>
      <c r="B124" s="1" t="str">
        <f>IFERROR(__xludf.DUMMYFUNCTION("""COMPUTED_VALUE"""),"葦草蘭")</f>
        <v>葦草蘭</v>
      </c>
      <c r="C124" s="1" t="str">
        <f>IFERROR(__xludf.DUMMYFUNCTION("""COMPUTED_VALUE"""),"現存")</f>
        <v>現存</v>
      </c>
      <c r="D124" s="1"/>
      <c r="E124" s="1" t="str">
        <f>IFERROR(__xludf.DUMMYFUNCTION("""COMPUTED_VALUE"""),"現存")</f>
        <v>現存</v>
      </c>
      <c r="F124" s="1" t="str">
        <f>IFERROR(__xludf.DUMMYFUNCTION("""COMPUTED_VALUE"""),"1,6,7,9,11,12")</f>
        <v>1,6,7,9,11,12</v>
      </c>
      <c r="G124" s="1" t="str">
        <f>IFERROR(__xludf.DUMMYFUNCTION("""COMPUTED_VALUE"""),"1,6,7,8,9,10,11,12")</f>
        <v>1,6,7,8,9,10,11,12</v>
      </c>
      <c r="H124" s="1" t="str">
        <f>IFERROR(__xludf.DUMMYFUNCTION("""COMPUTED_VALUE"""),"1,6,7,8,9,10,11,12")</f>
        <v>1,6,7,8,9,10,11,12</v>
      </c>
    </row>
    <row r="125">
      <c r="A125" s="1" t="str">
        <f>IFERROR(__xludf.DUMMYFUNCTION("""COMPUTED_VALUE"""),"舟左-15")</f>
        <v>舟左-15</v>
      </c>
      <c r="B125" s="1" t="str">
        <f>IFERROR(__xludf.DUMMYFUNCTION("""COMPUTED_VALUE"""),"九重葛")</f>
        <v>九重葛</v>
      </c>
      <c r="C125" s="1" t="str">
        <f>IFERROR(__xludf.DUMMYFUNCTION("""COMPUTED_VALUE"""),"近年未見")</f>
        <v>近年未見</v>
      </c>
      <c r="D125" s="1" t="str">
        <f>IFERROR(__xludf.DUMMYFUNCTION("""COMPUTED_VALUE"""),"現存")</f>
        <v>現存</v>
      </c>
      <c r="E125" s="1" t="str">
        <f>IFERROR(__xludf.DUMMYFUNCTION("""COMPUTED_VALUE"""),"現存")</f>
        <v>現存</v>
      </c>
      <c r="F125" s="1" t="str">
        <f>IFERROR(__xludf.DUMMYFUNCTION("""COMPUTED_VALUE"""),"2")</f>
        <v>2</v>
      </c>
      <c r="G125" s="1"/>
      <c r="H125" s="1" t="str">
        <f>IFERROR(__xludf.DUMMYFUNCTION("""COMPUTED_VALUE"""),"2")</f>
        <v>2</v>
      </c>
    </row>
    <row r="126">
      <c r="A126" s="1" t="str">
        <f>IFERROR(__xludf.DUMMYFUNCTION("""COMPUTED_VALUE"""),"舟左-16")</f>
        <v>舟左-16</v>
      </c>
      <c r="B126" s="1" t="str">
        <f>IFERROR(__xludf.DUMMYFUNCTION("""COMPUTED_VALUE"""),"南嶺蕘花")</f>
        <v>南嶺蕘花</v>
      </c>
      <c r="C126" s="1" t="str">
        <f>IFERROR(__xludf.DUMMYFUNCTION("""COMPUTED_VALUE"""),"現存")</f>
        <v>現存</v>
      </c>
      <c r="D126" s="1"/>
      <c r="E126" s="1" t="str">
        <f>IFERROR(__xludf.DUMMYFUNCTION("""COMPUTED_VALUE"""),"現存")</f>
        <v>現存</v>
      </c>
      <c r="F126" s="1" t="str">
        <f>IFERROR(__xludf.DUMMYFUNCTION("""COMPUTED_VALUE"""),"2,7,8")</f>
        <v>2,7,8</v>
      </c>
      <c r="G126" s="1" t="str">
        <f>IFERROR(__xludf.DUMMYFUNCTION("""COMPUTED_VALUE"""),"2,7,8,9,10")</f>
        <v>2,7,8,9,10</v>
      </c>
      <c r="H126" s="1" t="str">
        <f>IFERROR(__xludf.DUMMYFUNCTION("""COMPUTED_VALUE"""),"2,7,8,9,10")</f>
        <v>2,7,8,9,10</v>
      </c>
    </row>
    <row r="127">
      <c r="A127" s="1" t="str">
        <f>IFERROR(__xludf.DUMMYFUNCTION("""COMPUTED_VALUE"""),"舟左-27")</f>
        <v>舟左-27</v>
      </c>
      <c r="B127" s="1" t="str">
        <f>IFERROR(__xludf.DUMMYFUNCTION("""COMPUTED_VALUE"""),"委陵菜")</f>
        <v>委陵菜</v>
      </c>
      <c r="C127" s="1" t="str">
        <f>IFERROR(__xludf.DUMMYFUNCTION("""COMPUTED_VALUE"""),"近年未見")</f>
        <v>近年未見</v>
      </c>
      <c r="D127" s="1" t="str">
        <f>IFERROR(__xludf.DUMMYFUNCTION("""COMPUTED_VALUE"""),"現存")</f>
        <v>現存</v>
      </c>
      <c r="E127" s="1" t="str">
        <f>IFERROR(__xludf.DUMMYFUNCTION("""COMPUTED_VALUE"""),"現存")</f>
        <v>現存</v>
      </c>
      <c r="F127" s="1" t="str">
        <f>IFERROR(__xludf.DUMMYFUNCTION("""COMPUTED_VALUE"""),"3")</f>
        <v>3</v>
      </c>
      <c r="G127" s="1"/>
      <c r="H127" s="1" t="str">
        <f>IFERROR(__xludf.DUMMYFUNCTION("""COMPUTED_VALUE"""),"3")</f>
        <v>3</v>
      </c>
    </row>
    <row r="128">
      <c r="A128" s="1" t="str">
        <f>IFERROR(__xludf.DUMMYFUNCTION("""COMPUTED_VALUE"""),"舟左-42")</f>
        <v>舟左-42</v>
      </c>
      <c r="B128" s="1" t="str">
        <f>IFERROR(__xludf.DUMMYFUNCTION("""COMPUTED_VALUE"""),"溲疏")</f>
        <v>溲疏</v>
      </c>
      <c r="C128" s="1" t="str">
        <f>IFERROR(__xludf.DUMMYFUNCTION("""COMPUTED_VALUE"""),"現存")</f>
        <v>現存</v>
      </c>
      <c r="D128" s="1" t="str">
        <f>IFERROR(__xludf.DUMMYFUNCTION("""COMPUTED_VALUE"""),"不收錄")</f>
        <v>不收錄</v>
      </c>
      <c r="E128" s="1" t="str">
        <f>IFERROR(__xludf.DUMMYFUNCTION("""COMPUTED_VALUE"""),"不收錄")</f>
        <v>不收錄</v>
      </c>
      <c r="F128" s="1" t="str">
        <f>IFERROR(__xludf.DUMMYFUNCTION("""COMPUTED_VALUE"""),"4")</f>
        <v>4</v>
      </c>
      <c r="G128" s="1"/>
      <c r="H128" s="1" t="str">
        <f>IFERROR(__xludf.DUMMYFUNCTION("""COMPUTED_VALUE"""),"4")</f>
        <v>4</v>
      </c>
    </row>
    <row r="129">
      <c r="A129" s="1" t="str">
        <f>IFERROR(__xludf.DUMMYFUNCTION("""COMPUTED_VALUE"""),"舟左-52")</f>
        <v>舟左-52</v>
      </c>
      <c r="B129" s="1" t="str">
        <f>IFERROR(__xludf.DUMMYFUNCTION("""COMPUTED_VALUE"""),"小葉黃鱔藤")</f>
        <v>小葉黃鱔藤</v>
      </c>
      <c r="C129" s="1" t="str">
        <f>IFERROR(__xludf.DUMMYFUNCTION("""COMPUTED_VALUE"""),"現存")</f>
        <v>現存</v>
      </c>
      <c r="D129" s="1" t="str">
        <f>IFERROR(__xludf.DUMMYFUNCTION("""COMPUTED_VALUE"""),"不收錄")</f>
        <v>不收錄</v>
      </c>
      <c r="E129" s="1" t="str">
        <f>IFERROR(__xludf.DUMMYFUNCTION("""COMPUTED_VALUE"""),"不收錄")</f>
        <v>不收錄</v>
      </c>
      <c r="F129" s="1" t="str">
        <f>IFERROR(__xludf.DUMMYFUNCTION("""COMPUTED_VALUE"""),"5")</f>
        <v>5</v>
      </c>
      <c r="G129" s="1"/>
      <c r="H129" s="1" t="str">
        <f>IFERROR(__xludf.DUMMYFUNCTION("""COMPUTED_VALUE"""),"5")</f>
        <v>5</v>
      </c>
    </row>
    <row r="130">
      <c r="A130" s="1" t="str">
        <f>IFERROR(__xludf.DUMMYFUNCTION("""COMPUTED_VALUE"""),"舟左-65")</f>
        <v>舟左-65</v>
      </c>
      <c r="B130" s="1" t="str">
        <f>IFERROR(__xludf.DUMMYFUNCTION("""COMPUTED_VALUE"""),"高氏柴胡")</f>
        <v>高氏柴胡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IFERROR(__xludf.DUMMYFUNCTION("""COMPUTED_VALUE"""),"5")</f>
        <v>5</v>
      </c>
      <c r="G130" s="1"/>
      <c r="H130" s="1" t="str">
        <f>IFERROR(__xludf.DUMMYFUNCTION("""COMPUTED_VALUE"""),"5")</f>
        <v>5</v>
      </c>
    </row>
    <row r="131">
      <c r="A131" s="1" t="str">
        <f>IFERROR(__xludf.DUMMYFUNCTION("""COMPUTED_VALUE"""),"舟左-68")</f>
        <v>舟左-68</v>
      </c>
      <c r="B131" s="1" t="str">
        <f>IFERROR(__xludf.DUMMYFUNCTION("""COMPUTED_VALUE"""),"陰行草")</f>
        <v>陰行草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IFERROR(__xludf.DUMMYFUNCTION("""COMPUTED_VALUE"""),"6,7")</f>
        <v>6,7</v>
      </c>
      <c r="G131" s="1"/>
      <c r="H131" s="1" t="str">
        <f>IFERROR(__xludf.DUMMYFUNCTION("""COMPUTED_VALUE"""),"6,7")</f>
        <v>6,7</v>
      </c>
    </row>
    <row r="132">
      <c r="A132" s="1" t="str">
        <f>IFERROR(__xludf.DUMMYFUNCTION("""COMPUTED_VALUE"""),"舟左-76")</f>
        <v>舟左-76</v>
      </c>
      <c r="B132" s="1" t="str">
        <f>IFERROR(__xludf.DUMMYFUNCTION("""COMPUTED_VALUE"""),"田代氏鐵線蓮")</f>
        <v>田代氏鐵線蓮</v>
      </c>
      <c r="C132" s="1" t="str">
        <f>IFERROR(__xludf.DUMMYFUNCTION("""COMPUTED_VALUE"""),"近年未見")</f>
        <v>近年未見</v>
      </c>
      <c r="D132" s="1" t="str">
        <f>IFERROR(__xludf.DUMMYFUNCTION("""COMPUTED_VALUE"""),"現存")</f>
        <v>現存</v>
      </c>
      <c r="E132" s="1" t="str">
        <f>IFERROR(__xludf.DUMMYFUNCTION("""COMPUTED_VALUE"""),"現存")</f>
        <v>現存</v>
      </c>
      <c r="F132" s="1" t="str">
        <f>IFERROR(__xludf.DUMMYFUNCTION("""COMPUTED_VALUE"""),"9")</f>
        <v>9</v>
      </c>
      <c r="G132" s="1"/>
      <c r="H132" s="1" t="str">
        <f>IFERROR(__xludf.DUMMYFUNCTION("""COMPUTED_VALUE"""),"9")</f>
        <v>9</v>
      </c>
    </row>
    <row r="133">
      <c r="A133" s="1" t="str">
        <f>IFERROR(__xludf.DUMMYFUNCTION("""COMPUTED_VALUE"""),"舟後-04")</f>
        <v>舟後-04</v>
      </c>
      <c r="B133" s="1" t="str">
        <f>IFERROR(__xludf.DUMMYFUNCTION("""COMPUTED_VALUE"""),"可可")</f>
        <v>可可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IFERROR(__xludf.DUMMYFUNCTION("""COMPUTED_VALUE"""),"1,5,6,7,8,9,10,11,12")</f>
        <v>1,5,6,7,8,9,10,11,12</v>
      </c>
      <c r="G133" s="1"/>
      <c r="H133" s="1" t="str">
        <f>IFERROR(__xludf.DUMMYFUNCTION("""COMPUTED_VALUE"""),"1,5,6,7,8,9,10,11,12")</f>
        <v>1,5,6,7,8,9,10,11,12</v>
      </c>
    </row>
    <row r="134">
      <c r="A134" s="1" t="str">
        <f>IFERROR(__xludf.DUMMYFUNCTION("""COMPUTED_VALUE"""),"舟後-31")</f>
        <v>舟後-31</v>
      </c>
      <c r="B134" s="1" t="str">
        <f>IFERROR(__xludf.DUMMYFUNCTION("""COMPUTED_VALUE"""),"日本莢蒾")</f>
        <v>日本莢蒾</v>
      </c>
      <c r="C134" s="1" t="str">
        <f>IFERROR(__xludf.DUMMYFUNCTION("""COMPUTED_VALUE"""),"現存")</f>
        <v>現存</v>
      </c>
      <c r="D134" s="1" t="str">
        <f>IFERROR(__xludf.DUMMYFUNCTION("""COMPUTED_VALUE"""),"不收錄")</f>
        <v>不收錄</v>
      </c>
      <c r="E134" s="1" t="str">
        <f>IFERROR(__xludf.DUMMYFUNCTION("""COMPUTED_VALUE"""),"不收錄")</f>
        <v>不收錄</v>
      </c>
      <c r="F134" s="1" t="str">
        <f>IFERROR(__xludf.DUMMYFUNCTION("""COMPUTED_VALUE"""),"3,4,5")</f>
        <v>3,4,5</v>
      </c>
      <c r="G134" s="1"/>
      <c r="H134" s="1" t="str">
        <f>IFERROR(__xludf.DUMMYFUNCTION("""COMPUTED_VALUE"""),"3,4,5")</f>
        <v>3,4,5</v>
      </c>
    </row>
    <row r="135">
      <c r="A135" s="1" t="str">
        <f>IFERROR(__xludf.DUMMYFUNCTION("""COMPUTED_VALUE"""),"舟後-33")</f>
        <v>舟後-33</v>
      </c>
      <c r="B135" s="1" t="str">
        <f>IFERROR(__xludf.DUMMYFUNCTION("""COMPUTED_VALUE"""),"柳葉馬鞭草")</f>
        <v>柳葉馬鞭草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IFERROR(__xludf.DUMMYFUNCTION("""COMPUTED_VALUE"""),"3")</f>
        <v>3</v>
      </c>
      <c r="G135" s="1"/>
      <c r="H135" s="1" t="str">
        <f>IFERROR(__xludf.DUMMYFUNCTION("""COMPUTED_VALUE"""),"3")</f>
        <v>3</v>
      </c>
    </row>
    <row r="136">
      <c r="A136" s="1" t="str">
        <f>IFERROR(__xludf.DUMMYFUNCTION("""COMPUTED_VALUE"""),"舟後-38")</f>
        <v>舟後-38</v>
      </c>
      <c r="B136" s="1" t="str">
        <f>IFERROR(__xludf.DUMMYFUNCTION("""COMPUTED_VALUE"""),"矮齒葉冷水麻")</f>
        <v>矮齒葉冷水麻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IFERROR(__xludf.DUMMYFUNCTION("""COMPUTED_VALUE"""),"3")</f>
        <v>3</v>
      </c>
      <c r="G136" s="1"/>
      <c r="H136" s="1" t="str">
        <f>IFERROR(__xludf.DUMMYFUNCTION("""COMPUTED_VALUE"""),"3")</f>
        <v>3</v>
      </c>
    </row>
    <row r="137">
      <c r="A137" s="1" t="str">
        <f>IFERROR(__xludf.DUMMYFUNCTION("""COMPUTED_VALUE"""),"舟後-46")</f>
        <v>舟後-46</v>
      </c>
      <c r="B137" s="1" t="str">
        <f>IFERROR(__xludf.DUMMYFUNCTION("""COMPUTED_VALUE"""),"克氏半邊蓮")</f>
        <v>克氏半邊蓮</v>
      </c>
      <c r="C137" s="1" t="str">
        <f>IFERROR(__xludf.DUMMYFUNCTION("""COMPUTED_VALUE"""),"現存")</f>
        <v>現存</v>
      </c>
      <c r="D137" s="1" t="str">
        <f>IFERROR(__xludf.DUMMYFUNCTION("""COMPUTED_VALUE"""),"近年未見")</f>
        <v>近年未見</v>
      </c>
      <c r="E137" s="1" t="str">
        <f>IFERROR(__xludf.DUMMYFUNCTION("""COMPUTED_VALUE"""),"近年未見")</f>
        <v>近年未見</v>
      </c>
      <c r="F137" s="1" t="str">
        <f>IFERROR(__xludf.DUMMYFUNCTION("""COMPUTED_VALUE"""),"4")</f>
        <v>4</v>
      </c>
      <c r="G137" s="1"/>
      <c r="H137" s="1" t="str">
        <f>IFERROR(__xludf.DUMMYFUNCTION("""COMPUTED_VALUE"""),"4")</f>
        <v>4</v>
      </c>
    </row>
    <row r="138">
      <c r="A138" s="1" t="str">
        <f>IFERROR(__xludf.DUMMYFUNCTION("""COMPUTED_VALUE"""),"舟後-47")</f>
        <v>舟後-47</v>
      </c>
      <c r="B138" s="1" t="str">
        <f>IFERROR(__xludf.DUMMYFUNCTION("""COMPUTED_VALUE"""),"台灣佛甲草")</f>
        <v>台灣佛甲草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IFERROR(__xludf.DUMMYFUNCTION("""COMPUTED_VALUE"""),"4")</f>
        <v>4</v>
      </c>
      <c r="G138" s="1"/>
      <c r="H138" s="1" t="str">
        <f>IFERROR(__xludf.DUMMYFUNCTION("""COMPUTED_VALUE"""),"4")</f>
        <v>4</v>
      </c>
    </row>
    <row r="139">
      <c r="A139" s="1" t="str">
        <f>IFERROR(__xludf.DUMMYFUNCTION("""COMPUTED_VALUE"""),"舟後-48")</f>
        <v>舟後-48</v>
      </c>
      <c r="B139" s="1" t="str">
        <f>IFERROR(__xludf.DUMMYFUNCTION("""COMPUTED_VALUE"""),"哈瓦那辣椒")</f>
        <v>哈瓦那辣椒</v>
      </c>
      <c r="C139" s="1" t="str">
        <f>IFERROR(__xludf.DUMMYFUNCTION("""COMPUTED_VALUE"""),"現存")</f>
        <v>現存</v>
      </c>
      <c r="D139" s="1" t="str">
        <f>IFERROR(__xludf.DUMMYFUNCTION("""COMPUTED_VALUE"""),"近年未見")</f>
        <v>近年未見</v>
      </c>
      <c r="E139" s="1" t="str">
        <f>IFERROR(__xludf.DUMMYFUNCTION("""COMPUTED_VALUE"""),"近年未見")</f>
        <v>近年未見</v>
      </c>
      <c r="F139" s="1" t="str">
        <f>IFERROR(__xludf.DUMMYFUNCTION("""COMPUTED_VALUE"""),"4,11")</f>
        <v>4,11</v>
      </c>
      <c r="G139" s="1"/>
      <c r="H139" s="1" t="str">
        <f>IFERROR(__xludf.DUMMYFUNCTION("""COMPUTED_VALUE"""),"4,11")</f>
        <v>4,11</v>
      </c>
    </row>
    <row r="140">
      <c r="A140" s="1" t="str">
        <f>IFERROR(__xludf.DUMMYFUNCTION("""COMPUTED_VALUE"""),"舟後-50")</f>
        <v>舟後-50</v>
      </c>
      <c r="B140" s="1" t="str">
        <f>IFERROR(__xludf.DUMMYFUNCTION("""COMPUTED_VALUE"""),"帝皇烏蘭")</f>
        <v>帝皇烏蘭</v>
      </c>
      <c r="C140" s="1" t="str">
        <f>IFERROR(__xludf.DUMMYFUNCTION("""COMPUTED_VALUE"""),"現存")</f>
        <v>現存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IFERROR(__xludf.DUMMYFUNCTION("""COMPUTED_VALUE"""),"4")</f>
        <v>4</v>
      </c>
      <c r="G140" s="1"/>
      <c r="H140" s="1" t="str">
        <f>IFERROR(__xludf.DUMMYFUNCTION("""COMPUTED_VALUE"""),"4")</f>
        <v>4</v>
      </c>
    </row>
    <row r="141">
      <c r="A141" s="1" t="str">
        <f>IFERROR(__xludf.DUMMYFUNCTION("""COMPUTED_VALUE"""),"舟後-55")</f>
        <v>舟後-55</v>
      </c>
      <c r="B141" s="1" t="str">
        <f>IFERROR(__xludf.DUMMYFUNCTION("""COMPUTED_VALUE"""),"玫瑰麒麟")</f>
        <v>玫瑰麒麟</v>
      </c>
      <c r="C141" s="1" t="str">
        <f>IFERROR(__xludf.DUMMYFUNCTION("""COMPUTED_VALUE"""),"現存")</f>
        <v>現存</v>
      </c>
      <c r="D141" s="1" t="str">
        <f>IFERROR(__xludf.DUMMYFUNCTION("""COMPUTED_VALUE"""),"不收錄")</f>
        <v>不收錄</v>
      </c>
      <c r="E141" s="1" t="str">
        <f>IFERROR(__xludf.DUMMYFUNCTION("""COMPUTED_VALUE"""),"不收錄")</f>
        <v>不收錄</v>
      </c>
      <c r="F141" s="1" t="str">
        <f>IFERROR(__xludf.DUMMYFUNCTION("""COMPUTED_VALUE"""),"4")</f>
        <v>4</v>
      </c>
      <c r="G141" s="1"/>
      <c r="H141" s="1" t="str">
        <f>IFERROR(__xludf.DUMMYFUNCTION("""COMPUTED_VALUE"""),"4")</f>
        <v>4</v>
      </c>
    </row>
    <row r="142">
      <c r="A142" s="1" t="str">
        <f>IFERROR(__xludf.DUMMYFUNCTION("""COMPUTED_VALUE"""),"舟後-61")</f>
        <v>舟後-61</v>
      </c>
      <c r="B142" s="1" t="str">
        <f>IFERROR(__xludf.DUMMYFUNCTION("""COMPUTED_VALUE"""),"鵝鑾鼻野百合")</f>
        <v>鵝鑾鼻野百合</v>
      </c>
      <c r="C142" s="1" t="str">
        <f>IFERROR(__xludf.DUMMYFUNCTION("""COMPUTED_VALUE"""),"現存")</f>
        <v>現存</v>
      </c>
      <c r="D142" s="1" t="str">
        <f>IFERROR(__xludf.DUMMYFUNCTION("""COMPUTED_VALUE"""),"近年未見")</f>
        <v>近年未見</v>
      </c>
      <c r="E142" s="1" t="str">
        <f>IFERROR(__xludf.DUMMYFUNCTION("""COMPUTED_VALUE"""),"近年未見")</f>
        <v>近年未見</v>
      </c>
      <c r="F142" s="1" t="str">
        <f>IFERROR(__xludf.DUMMYFUNCTION("""COMPUTED_VALUE"""),"4,10,11")</f>
        <v>4,10,11</v>
      </c>
      <c r="G142" s="1"/>
      <c r="H142" s="1" t="str">
        <f>IFERROR(__xludf.DUMMYFUNCTION("""COMPUTED_VALUE"""),"4,10,11")</f>
        <v>4,10,11</v>
      </c>
    </row>
    <row r="143">
      <c r="A143" s="1" t="str">
        <f>IFERROR(__xludf.DUMMYFUNCTION("""COMPUTED_VALUE"""),"舟後-63")</f>
        <v>舟後-63</v>
      </c>
      <c r="B143" s="1" t="str">
        <f>IFERROR(__xludf.DUMMYFUNCTION("""COMPUTED_VALUE"""),"圓錐花遠志")</f>
        <v>圓錐花遠志</v>
      </c>
      <c r="C143" s="1" t="str">
        <f>IFERROR(__xludf.DUMMYFUNCTION("""COMPUTED_VALUE"""),"現存")</f>
        <v>現存</v>
      </c>
      <c r="D143" s="1" t="str">
        <f>IFERROR(__xludf.DUMMYFUNCTION("""COMPUTED_VALUE"""),"近年未見")</f>
        <v>近年未見</v>
      </c>
      <c r="E143" s="1" t="str">
        <f>IFERROR(__xludf.DUMMYFUNCTION("""COMPUTED_VALUE"""),"近年未見")</f>
        <v>近年未見</v>
      </c>
      <c r="F143" s="1" t="str">
        <f>IFERROR(__xludf.DUMMYFUNCTION("""COMPUTED_VALUE"""),"5")</f>
        <v>5</v>
      </c>
      <c r="G143" s="1"/>
      <c r="H143" s="1" t="str">
        <f>IFERROR(__xludf.DUMMYFUNCTION("""COMPUTED_VALUE"""),"5")</f>
        <v>5</v>
      </c>
    </row>
    <row r="144">
      <c r="A144" s="1" t="str">
        <f>IFERROR(__xludf.DUMMYFUNCTION("""COMPUTED_VALUE"""),"舟後-71")</f>
        <v>舟後-71</v>
      </c>
      <c r="B144" s="1" t="str">
        <f>IFERROR(__xludf.DUMMYFUNCTION("""COMPUTED_VALUE"""),"長腳羊耳蒜")</f>
        <v>長腳羊耳蒜</v>
      </c>
      <c r="C144" s="1" t="str">
        <f>IFERROR(__xludf.DUMMYFUNCTION("""COMPUTED_VALUE"""),"現存")</f>
        <v>現存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IFERROR(__xludf.DUMMYFUNCTION("""COMPUTED_VALUE"""),"5")</f>
        <v>5</v>
      </c>
      <c r="G144" s="1"/>
      <c r="H144" s="1" t="str">
        <f>IFERROR(__xludf.DUMMYFUNCTION("""COMPUTED_VALUE"""),"5")</f>
        <v>5</v>
      </c>
    </row>
    <row r="145">
      <c r="A145" s="1" t="str">
        <f>IFERROR(__xludf.DUMMYFUNCTION("""COMPUTED_VALUE"""),"舟後-79")</f>
        <v>舟後-79</v>
      </c>
      <c r="B145" s="1" t="str">
        <f>IFERROR(__xludf.DUMMYFUNCTION("""COMPUTED_VALUE"""),"變葉藜")</f>
        <v>變葉藜</v>
      </c>
      <c r="C145" s="1" t="str">
        <f>IFERROR(__xludf.DUMMYFUNCTION("""COMPUTED_VALUE"""),"現存")</f>
        <v>現存</v>
      </c>
      <c r="D145" s="1" t="str">
        <f>IFERROR(__xludf.DUMMYFUNCTION("""COMPUTED_VALUE"""),"近年未見")</f>
        <v>近年未見</v>
      </c>
      <c r="E145" s="1" t="str">
        <f>IFERROR(__xludf.DUMMYFUNCTION("""COMPUTED_VALUE"""),"近年未見")</f>
        <v>近年未見</v>
      </c>
      <c r="F145" s="1" t="str">
        <f>IFERROR(__xludf.DUMMYFUNCTION("""COMPUTED_VALUE"""),"6")</f>
        <v>6</v>
      </c>
      <c r="G145" s="1"/>
      <c r="H145" s="1" t="str">
        <f>IFERROR(__xludf.DUMMYFUNCTION("""COMPUTED_VALUE"""),"6")</f>
        <v>6</v>
      </c>
    </row>
    <row r="146">
      <c r="A146" s="1" t="str">
        <f>IFERROR(__xludf.DUMMYFUNCTION("""COMPUTED_VALUE"""),"舟後-82")</f>
        <v>舟後-82</v>
      </c>
      <c r="B146" s="1" t="str">
        <f>IFERROR(__xludf.DUMMYFUNCTION("""COMPUTED_VALUE"""),"黃金百香果")</f>
        <v>黃金百香果</v>
      </c>
      <c r="C146" s="1" t="str">
        <f>IFERROR(__xludf.DUMMYFUNCTION("""COMPUTED_VALUE"""),"現存")</f>
        <v>現存</v>
      </c>
      <c r="D146" s="1" t="str">
        <f>IFERROR(__xludf.DUMMYFUNCTION("""COMPUTED_VALUE"""),"近年未見")</f>
        <v>近年未見</v>
      </c>
      <c r="E146" s="1" t="str">
        <f>IFERROR(__xludf.DUMMYFUNCTION("""COMPUTED_VALUE"""),"近年未見")</f>
        <v>近年未見</v>
      </c>
      <c r="F146" s="1" t="str">
        <f>IFERROR(__xludf.DUMMYFUNCTION("""COMPUTED_VALUE"""),"6")</f>
        <v>6</v>
      </c>
      <c r="G146" s="1"/>
      <c r="H146" s="1" t="str">
        <f>IFERROR(__xludf.DUMMYFUNCTION("""COMPUTED_VALUE"""),"6")</f>
        <v>6</v>
      </c>
    </row>
    <row r="147">
      <c r="A147" s="1" t="str">
        <f>IFERROR(__xludf.DUMMYFUNCTION("""COMPUTED_VALUE"""),"舟後-83")</f>
        <v>舟後-83</v>
      </c>
      <c r="B147" s="1" t="str">
        <f>IFERROR(__xludf.DUMMYFUNCTION("""COMPUTED_VALUE"""),"松田氏南五味子")</f>
        <v>松田氏南五味子</v>
      </c>
      <c r="C147" s="1" t="str">
        <f>IFERROR(__xludf.DUMMYFUNCTION("""COMPUTED_VALUE"""),"近年未見")</f>
        <v>近年未見</v>
      </c>
      <c r="D147" s="1" t="str">
        <f>IFERROR(__xludf.DUMMYFUNCTION("""COMPUTED_VALUE"""),"不收錄")</f>
        <v>不收錄</v>
      </c>
      <c r="E147" s="1" t="str">
        <f>IFERROR(__xludf.DUMMYFUNCTION("""COMPUTED_VALUE"""),"不收錄")</f>
        <v>不收錄</v>
      </c>
      <c r="F147" s="1" t="str">
        <f>IFERROR(__xludf.DUMMYFUNCTION("""COMPUTED_VALUE"""),"7")</f>
        <v>7</v>
      </c>
      <c r="G147" s="1"/>
      <c r="H147" s="1" t="str">
        <f>IFERROR(__xludf.DUMMYFUNCTION("""COMPUTED_VALUE"""),"7")</f>
        <v>7</v>
      </c>
    </row>
    <row r="148">
      <c r="A148" s="1" t="str">
        <f>IFERROR(__xludf.DUMMYFUNCTION("""COMPUTED_VALUE"""),"舟後-93")</f>
        <v>舟後-93</v>
      </c>
      <c r="B148" s="1" t="str">
        <f>IFERROR(__xludf.DUMMYFUNCTION("""COMPUTED_VALUE"""),"台灣糯米條")</f>
        <v>台灣糯米條</v>
      </c>
      <c r="C148" s="1" t="str">
        <f>IFERROR(__xludf.DUMMYFUNCTION("""COMPUTED_VALUE"""),"近年未見")</f>
        <v>近年未見</v>
      </c>
      <c r="D148" s="1" t="str">
        <f>IFERROR(__xludf.DUMMYFUNCTION("""COMPUTED_VALUE"""),"現存")</f>
        <v>現存</v>
      </c>
      <c r="E148" s="1" t="str">
        <f>IFERROR(__xludf.DUMMYFUNCTION("""COMPUTED_VALUE"""),"現存")</f>
        <v>現存</v>
      </c>
      <c r="F148" s="1" t="str">
        <f>IFERROR(__xludf.DUMMYFUNCTION("""COMPUTED_VALUE"""),"9")</f>
        <v>9</v>
      </c>
      <c r="G148" s="1" t="str">
        <f>IFERROR(__xludf.DUMMYFUNCTION("""COMPUTED_VALUE"""),"8,9,10")</f>
        <v>8,9,10</v>
      </c>
      <c r="H148" s="1" t="str">
        <f>IFERROR(__xludf.DUMMYFUNCTION("""COMPUTED_VALUE"""),"8,9,10")</f>
        <v>8,9,10</v>
      </c>
    </row>
    <row r="149">
      <c r="A149" s="1" t="str">
        <f>IFERROR(__xludf.DUMMYFUNCTION("""COMPUTED_VALUE"""),"舟後-98")</f>
        <v>舟後-98</v>
      </c>
      <c r="B149" s="1" t="str">
        <f>IFERROR(__xludf.DUMMYFUNCTION("""COMPUTED_VALUE"""),"圓葉煉莢豆")</f>
        <v>圓葉煉莢豆</v>
      </c>
      <c r="C149" s="1" t="str">
        <f>IFERROR(__xludf.DUMMYFUNCTION("""COMPUTED_VALUE"""),"現存")</f>
        <v>現存</v>
      </c>
      <c r="D149" s="1" t="str">
        <f>IFERROR(__xludf.DUMMYFUNCTION("""COMPUTED_VALUE"""),"近年未見")</f>
        <v>近年未見</v>
      </c>
      <c r="E149" s="1" t="str">
        <f>IFERROR(__xludf.DUMMYFUNCTION("""COMPUTED_VALUE"""),"近年未見")</f>
        <v>近年未見</v>
      </c>
      <c r="F149" s="1" t="str">
        <f>IFERROR(__xludf.DUMMYFUNCTION("""COMPUTED_VALUE"""),"11")</f>
        <v>11</v>
      </c>
      <c r="G149" s="1"/>
      <c r="H149" s="1" t="str">
        <f>IFERROR(__xludf.DUMMYFUNCTION("""COMPUTED_VALUE"""),"11")</f>
        <v>11</v>
      </c>
    </row>
    <row r="150">
      <c r="A150" s="1" t="str">
        <f>IFERROR(__xludf.DUMMYFUNCTION("""COMPUTED_VALUE"""),"茜-39")</f>
        <v>茜-39</v>
      </c>
      <c r="B150" s="1" t="str">
        <f>IFERROR(__xludf.DUMMYFUNCTION("""COMPUTED_VALUE"""),"血萼花")</f>
        <v>血萼花</v>
      </c>
      <c r="C150" s="1" t="str">
        <f>IFERROR(__xludf.DUMMYFUNCTION("""COMPUTED_VALUE"""),"現存")</f>
        <v>現存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IFERROR(__xludf.DUMMYFUNCTION("""COMPUTED_VALUE"""),"7,10")</f>
        <v>7,10</v>
      </c>
      <c r="G150" s="1"/>
      <c r="H150" s="1" t="str">
        <f>IFERROR(__xludf.DUMMYFUNCTION("""COMPUTED_VALUE"""),"7,10")</f>
        <v>7,10</v>
      </c>
    </row>
    <row r="151">
      <c r="A151" s="1" t="str">
        <f>IFERROR(__xludf.DUMMYFUNCTION("""COMPUTED_VALUE"""),"茜-40")</f>
        <v>茜-40</v>
      </c>
      <c r="B151" s="1" t="str">
        <f>IFERROR(__xludf.DUMMYFUNCTION("""COMPUTED_VALUE"""),"重瓣梔子花")</f>
        <v>重瓣梔子花</v>
      </c>
      <c r="C151" s="1" t="str">
        <f>IFERROR(__xludf.DUMMYFUNCTION("""COMPUTED_VALUE"""),"現存")</f>
        <v>現存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IFERROR(__xludf.DUMMYFUNCTION("""COMPUTED_VALUE"""),"7")</f>
        <v>7</v>
      </c>
      <c r="G151" s="1"/>
      <c r="H151" s="1" t="str">
        <f>IFERROR(__xludf.DUMMYFUNCTION("""COMPUTED_VALUE"""),"7")</f>
        <v>7</v>
      </c>
    </row>
    <row r="152">
      <c r="A152" s="1" t="str">
        <f>IFERROR(__xludf.DUMMYFUNCTION("""COMPUTED_VALUE"""),"茜-42")</f>
        <v>茜-42</v>
      </c>
      <c r="B152" s="1" t="str">
        <f>IFERROR(__xludf.DUMMYFUNCTION("""COMPUTED_VALUE"""),"鵝鑾鼻蔓榕")</f>
        <v>鵝鑾鼻蔓榕</v>
      </c>
      <c r="C152" s="1" t="str">
        <f>IFERROR(__xludf.DUMMYFUNCTION("""COMPUTED_VALUE"""),"現存")</f>
        <v>現存</v>
      </c>
      <c r="D152" s="1" t="str">
        <f>IFERROR(__xludf.DUMMYFUNCTION("""COMPUTED_VALUE"""),"不收錄")</f>
        <v>不收錄</v>
      </c>
      <c r="E152" s="1" t="str">
        <f>IFERROR(__xludf.DUMMYFUNCTION("""COMPUTED_VALUE"""),"不收錄")</f>
        <v>不收錄</v>
      </c>
      <c r="F152" s="1" t="str">
        <f>IFERROR(__xludf.DUMMYFUNCTION("""COMPUTED_VALUE"""),"7")</f>
        <v>7</v>
      </c>
      <c r="G152" s="1"/>
      <c r="H152" s="1" t="str">
        <f>IFERROR(__xludf.DUMMYFUNCTION("""COMPUTED_VALUE"""),"7")</f>
        <v>7</v>
      </c>
    </row>
    <row r="153">
      <c r="A153" s="1" t="str">
        <f>IFERROR(__xludf.DUMMYFUNCTION("""COMPUTED_VALUE"""),"荷-07")</f>
        <v>荷-07</v>
      </c>
      <c r="B153" s="1" t="str">
        <f>IFERROR(__xludf.DUMMYFUNCTION("""COMPUTED_VALUE"""),"朱槿")</f>
        <v>朱槿</v>
      </c>
      <c r="C153" s="1" t="str">
        <f>IFERROR(__xludf.DUMMYFUNCTION("""COMPUTED_VALUE"""),"現存")</f>
        <v>現存</v>
      </c>
      <c r="D153" s="1"/>
      <c r="E153" s="1" t="str">
        <f>IFERROR(__xludf.DUMMYFUNCTION("""COMPUTED_VALUE"""),"現存")</f>
        <v>現存</v>
      </c>
      <c r="F153" s="1" t="str">
        <f>IFERROR(__xludf.DUMMYFUNCTION("""COMPUTED_VALUE"""),"1,3,4,5,6,8,10,11")</f>
        <v>1,3,4,5,6,8,10,11</v>
      </c>
      <c r="G153" s="1" t="str">
        <f>IFERROR(__xludf.DUMMYFUNCTION("""COMPUTED_VALUE"""),"1,2,3,4,5,6,7,8,9,10,11,12")</f>
        <v>1,2,3,4,5,6,7,8,9,10,11,12</v>
      </c>
      <c r="H153" s="1" t="str">
        <f>IFERROR(__xludf.DUMMYFUNCTION("""COMPUTED_VALUE"""),"1,2,3,4,5,6,7,8,9,10,11,12")</f>
        <v>1,2,3,4,5,6,7,8,9,10,11,12</v>
      </c>
    </row>
    <row r="154">
      <c r="A154" s="1" t="str">
        <f>IFERROR(__xludf.DUMMYFUNCTION("""COMPUTED_VALUE"""),"荷-104")</f>
        <v>荷-104</v>
      </c>
      <c r="B154" s="1" t="str">
        <f>IFERROR(__xludf.DUMMYFUNCTION("""COMPUTED_VALUE"""),"披針葉饅頭果")</f>
        <v>披針葉饅頭果</v>
      </c>
      <c r="C154" s="1" t="str">
        <f>IFERROR(__xludf.DUMMYFUNCTION("""COMPUTED_VALUE"""),"現存")</f>
        <v>現存</v>
      </c>
      <c r="D154" s="1" t="str">
        <f>IFERROR(__xludf.DUMMYFUNCTION("""COMPUTED_VALUE"""),"不收錄")</f>
        <v>不收錄</v>
      </c>
      <c r="E154" s="1" t="str">
        <f>IFERROR(__xludf.DUMMYFUNCTION("""COMPUTED_VALUE"""),"不收錄")</f>
        <v>不收錄</v>
      </c>
      <c r="F154" s="1" t="str">
        <f>IFERROR(__xludf.DUMMYFUNCTION("""COMPUTED_VALUE"""),"7")</f>
        <v>7</v>
      </c>
      <c r="G154" s="1"/>
      <c r="H154" s="1" t="str">
        <f>IFERROR(__xludf.DUMMYFUNCTION("""COMPUTED_VALUE"""),"7")</f>
        <v>7</v>
      </c>
    </row>
    <row r="155">
      <c r="A155" s="1" t="str">
        <f>IFERROR(__xludf.DUMMYFUNCTION("""COMPUTED_VALUE"""),"荷-11")</f>
        <v>荷-11</v>
      </c>
      <c r="B155" s="1" t="str">
        <f>IFERROR(__xludf.DUMMYFUNCTION("""COMPUTED_VALUE"""),"泥花草")</f>
        <v>泥花草</v>
      </c>
      <c r="C155" s="1" t="str">
        <f>IFERROR(__xludf.DUMMYFUNCTION("""COMPUTED_VALUE"""),"近年未見")</f>
        <v>近年未見</v>
      </c>
      <c r="D155" s="1" t="str">
        <f>IFERROR(__xludf.DUMMYFUNCTION("""COMPUTED_VALUE"""),"現存")</f>
        <v>現存</v>
      </c>
      <c r="E155" s="1" t="str">
        <f>IFERROR(__xludf.DUMMYFUNCTION("""COMPUTED_VALUE"""),"現存")</f>
        <v>現存</v>
      </c>
      <c r="F155" s="1" t="str">
        <f>IFERROR(__xludf.DUMMYFUNCTION("""COMPUTED_VALUE"""),"1")</f>
        <v>1</v>
      </c>
      <c r="G155" s="1"/>
      <c r="H155" s="1" t="str">
        <f>IFERROR(__xludf.DUMMYFUNCTION("""COMPUTED_VALUE"""),"1")</f>
        <v>1</v>
      </c>
    </row>
    <row r="156">
      <c r="A156" s="1" t="str">
        <f>IFERROR(__xludf.DUMMYFUNCTION("""COMPUTED_VALUE"""),"荷-110")</f>
        <v>荷-110</v>
      </c>
      <c r="B156" s="1" t="str">
        <f>IFERROR(__xludf.DUMMYFUNCTION("""COMPUTED_VALUE"""),"白肋朱頂紅")</f>
        <v>白肋朱頂紅</v>
      </c>
      <c r="C156" s="1" t="str">
        <f>IFERROR(__xludf.DUMMYFUNCTION("""COMPUTED_VALUE"""),"近年未見")</f>
        <v>近年未見</v>
      </c>
      <c r="D156" s="1" t="str">
        <f>IFERROR(__xludf.DUMMYFUNCTION("""COMPUTED_VALUE"""),"現存")</f>
        <v>現存</v>
      </c>
      <c r="E156" s="1" t="str">
        <f>IFERROR(__xludf.DUMMYFUNCTION("""COMPUTED_VALUE"""),"現存")</f>
        <v>現存</v>
      </c>
      <c r="F156" s="1" t="str">
        <f>IFERROR(__xludf.DUMMYFUNCTION("""COMPUTED_VALUE"""),"8")</f>
        <v>8</v>
      </c>
      <c r="G156" s="1"/>
      <c r="H156" s="1" t="str">
        <f>IFERROR(__xludf.DUMMYFUNCTION("""COMPUTED_VALUE"""),"8")</f>
        <v>8</v>
      </c>
    </row>
    <row r="157">
      <c r="A157" s="1" t="str">
        <f>IFERROR(__xludf.DUMMYFUNCTION("""COMPUTED_VALUE"""),"荷-112")</f>
        <v>荷-112</v>
      </c>
      <c r="B157" s="1" t="str">
        <f>IFERROR(__xludf.DUMMYFUNCTION("""COMPUTED_VALUE"""),"蠅子草")</f>
        <v>蠅子草</v>
      </c>
      <c r="C157" s="1" t="str">
        <f>IFERROR(__xludf.DUMMYFUNCTION("""COMPUTED_VALUE"""),"現存")</f>
        <v>現存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IFERROR(__xludf.DUMMYFUNCTION("""COMPUTED_VALUE"""),"8")</f>
        <v>8</v>
      </c>
      <c r="G157" s="1"/>
      <c r="H157" s="1" t="str">
        <f>IFERROR(__xludf.DUMMYFUNCTION("""COMPUTED_VALUE"""),"8")</f>
        <v>8</v>
      </c>
    </row>
    <row r="158">
      <c r="A158" s="1" t="str">
        <f>IFERROR(__xludf.DUMMYFUNCTION("""COMPUTED_VALUE"""),"荷-116")</f>
        <v>荷-116</v>
      </c>
      <c r="B158" s="1" t="str">
        <f>IFERROR(__xludf.DUMMYFUNCTION("""COMPUTED_VALUE"""),"孿生風輪菜")</f>
        <v>孿生風輪菜</v>
      </c>
      <c r="C158" s="1" t="str">
        <f>IFERROR(__xludf.DUMMYFUNCTION("""COMPUTED_VALUE"""),"近年未見")</f>
        <v>近年未見</v>
      </c>
      <c r="D158" s="1" t="str">
        <f>IFERROR(__xludf.DUMMYFUNCTION("""COMPUTED_VALUE"""),"不收錄")</f>
        <v>不收錄</v>
      </c>
      <c r="E158" s="1" t="str">
        <f>IFERROR(__xludf.DUMMYFUNCTION("""COMPUTED_VALUE"""),"不收錄")</f>
        <v>不收錄</v>
      </c>
      <c r="F158" s="1" t="str">
        <f>IFERROR(__xludf.DUMMYFUNCTION("""COMPUTED_VALUE"""),"9")</f>
        <v>9</v>
      </c>
      <c r="G158" s="1"/>
      <c r="H158" s="1" t="str">
        <f>IFERROR(__xludf.DUMMYFUNCTION("""COMPUTED_VALUE"""),"9")</f>
        <v>9</v>
      </c>
    </row>
    <row r="159">
      <c r="A159" s="1" t="str">
        <f>IFERROR(__xludf.DUMMYFUNCTION("""COMPUTED_VALUE"""),"荷-119")</f>
        <v>荷-119</v>
      </c>
      <c r="B159" s="1" t="str">
        <f>IFERROR(__xludf.DUMMYFUNCTION("""COMPUTED_VALUE"""),"賽赤楠")</f>
        <v>賽赤楠</v>
      </c>
      <c r="C159" s="1" t="str">
        <f>IFERROR(__xludf.DUMMYFUNCTION("""COMPUTED_VALUE"""),"近年未見")</f>
        <v>近年未見</v>
      </c>
      <c r="D159" s="1" t="str">
        <f>IFERROR(__xludf.DUMMYFUNCTION("""COMPUTED_VALUE"""),"不收錄")</f>
        <v>不收錄</v>
      </c>
      <c r="E159" s="1" t="str">
        <f>IFERROR(__xludf.DUMMYFUNCTION("""COMPUTED_VALUE"""),"不收錄")</f>
        <v>不收錄</v>
      </c>
      <c r="F159" s="1" t="str">
        <f>IFERROR(__xludf.DUMMYFUNCTION("""COMPUTED_VALUE"""),"10")</f>
        <v>10</v>
      </c>
      <c r="G159" s="1"/>
      <c r="H159" s="1" t="str">
        <f>IFERROR(__xludf.DUMMYFUNCTION("""COMPUTED_VALUE"""),"10")</f>
        <v>10</v>
      </c>
    </row>
    <row r="160">
      <c r="A160" s="1" t="str">
        <f>IFERROR(__xludf.DUMMYFUNCTION("""COMPUTED_VALUE"""),"荷-120")</f>
        <v>荷-120</v>
      </c>
      <c r="B160" s="1" t="str">
        <f>IFERROR(__xludf.DUMMYFUNCTION("""COMPUTED_VALUE"""),"南美朱槿")</f>
        <v>南美朱槿</v>
      </c>
      <c r="C160" s="1" t="str">
        <f>IFERROR(__xludf.DUMMYFUNCTION("""COMPUTED_VALUE"""),"現存")</f>
        <v>現存</v>
      </c>
      <c r="D160" s="1"/>
      <c r="E160" s="1" t="str">
        <f>IFERROR(__xludf.DUMMYFUNCTION("""COMPUTED_VALUE"""),"現存")</f>
        <v>現存</v>
      </c>
      <c r="F160" s="1" t="str">
        <f>IFERROR(__xludf.DUMMYFUNCTION("""COMPUTED_VALUE"""),"11")</f>
        <v>11</v>
      </c>
      <c r="G160" s="1" t="str">
        <f>IFERROR(__xludf.DUMMYFUNCTION("""COMPUTED_VALUE"""),"1,2,3,4,5,6,7,8,9,10,11,12")</f>
        <v>1,2,3,4,5,6,7,8,9,10,11,12</v>
      </c>
      <c r="H160" s="1" t="str">
        <f>IFERROR(__xludf.DUMMYFUNCTION("""COMPUTED_VALUE"""),"1,2,3,4,5,6,7,8,9,10,11,12")</f>
        <v>1,2,3,4,5,6,7,8,9,10,11,12</v>
      </c>
    </row>
    <row r="161">
      <c r="A161" s="1" t="str">
        <f>IFERROR(__xludf.DUMMYFUNCTION("""COMPUTED_VALUE"""),"荷-22")</f>
        <v>荷-22</v>
      </c>
      <c r="B161" s="1" t="str">
        <f>IFERROR(__xludf.DUMMYFUNCTION("""COMPUTED_VALUE"""),"大花咸豐草")</f>
        <v>大花咸豐草</v>
      </c>
      <c r="C161" s="1" t="str">
        <f>IFERROR(__xludf.DUMMYFUNCTION("""COMPUTED_VALUE"""),"現存")</f>
        <v>現存</v>
      </c>
      <c r="D161" s="1" t="str">
        <f>IFERROR(__xludf.DUMMYFUNCTION("""COMPUTED_VALUE"""),"不收錄")</f>
        <v>不收錄</v>
      </c>
      <c r="E161" s="1" t="str">
        <f>IFERROR(__xludf.DUMMYFUNCTION("""COMPUTED_VALUE"""),"不收錄")</f>
        <v>不收錄</v>
      </c>
      <c r="F161" s="1" t="str">
        <f>IFERROR(__xludf.DUMMYFUNCTION("""COMPUTED_VALUE"""),"2,3,9")</f>
        <v>2,3,9</v>
      </c>
      <c r="G161" s="1"/>
      <c r="H161" s="1" t="str">
        <f>IFERROR(__xludf.DUMMYFUNCTION("""COMPUTED_VALUE"""),"2,3,9")</f>
        <v>2,3,9</v>
      </c>
    </row>
    <row r="162">
      <c r="A162" s="1" t="str">
        <f>IFERROR(__xludf.DUMMYFUNCTION("""COMPUTED_VALUE"""),"荷-28")</f>
        <v>荷-28</v>
      </c>
      <c r="B162" s="1" t="str">
        <f>IFERROR(__xludf.DUMMYFUNCTION("""COMPUTED_VALUE"""),"錫葉藤")</f>
        <v>錫葉藤</v>
      </c>
      <c r="C162" s="1" t="str">
        <f>IFERROR(__xludf.DUMMYFUNCTION("""COMPUTED_VALUE"""),"近年未見")</f>
        <v>近年未見</v>
      </c>
      <c r="D162" s="1" t="str">
        <f>IFERROR(__xludf.DUMMYFUNCTION("""COMPUTED_VALUE"""),"現存")</f>
        <v>現存</v>
      </c>
      <c r="E162" s="1" t="str">
        <f>IFERROR(__xludf.DUMMYFUNCTION("""COMPUTED_VALUE"""),"現存")</f>
        <v>現存</v>
      </c>
      <c r="F162" s="1" t="str">
        <f>IFERROR(__xludf.DUMMYFUNCTION("""COMPUTED_VALUE"""),"2,3")</f>
        <v>2,3</v>
      </c>
      <c r="G162" s="1"/>
      <c r="H162" s="1" t="str">
        <f>IFERROR(__xludf.DUMMYFUNCTION("""COMPUTED_VALUE"""),"2,3")</f>
        <v>2,3</v>
      </c>
    </row>
    <row r="163">
      <c r="A163" s="1" t="str">
        <f>IFERROR(__xludf.DUMMYFUNCTION("""COMPUTED_VALUE"""),"荷-37")</f>
        <v>荷-37</v>
      </c>
      <c r="B163" s="1" t="str">
        <f>IFERROR(__xludf.DUMMYFUNCTION("""COMPUTED_VALUE"""),"水竹葉")</f>
        <v>水竹葉</v>
      </c>
      <c r="C163" s="1" t="str">
        <f>IFERROR(__xludf.DUMMYFUNCTION("""COMPUTED_VALUE"""),"現存")</f>
        <v>現存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IFERROR(__xludf.DUMMYFUNCTION("""COMPUTED_VALUE"""),"3")</f>
        <v>3</v>
      </c>
      <c r="G163" s="1"/>
      <c r="H163" s="1" t="str">
        <f>IFERROR(__xludf.DUMMYFUNCTION("""COMPUTED_VALUE"""),"3")</f>
        <v>3</v>
      </c>
    </row>
    <row r="164">
      <c r="A164" s="1" t="str">
        <f>IFERROR(__xludf.DUMMYFUNCTION("""COMPUTED_VALUE"""),"荷-45")</f>
        <v>荷-45</v>
      </c>
      <c r="B164" s="1" t="str">
        <f>IFERROR(__xludf.DUMMYFUNCTION("""COMPUTED_VALUE"""),"船子草")</f>
        <v>船子草</v>
      </c>
      <c r="C164" s="1" t="str">
        <f>IFERROR(__xludf.DUMMYFUNCTION("""COMPUTED_VALUE"""),"現存")</f>
        <v>現存</v>
      </c>
      <c r="D164" s="1" t="str">
        <f>IFERROR(__xludf.DUMMYFUNCTION("""COMPUTED_VALUE"""),"現存")</f>
        <v>現存</v>
      </c>
      <c r="E164" s="1" t="str">
        <f>IFERROR(__xludf.DUMMYFUNCTION("""COMPUTED_VALUE"""),"現存")</f>
        <v>現存</v>
      </c>
      <c r="F164" s="1" t="str">
        <f>IFERROR(__xludf.DUMMYFUNCTION("""COMPUTED_VALUE"""),"3,6,9")</f>
        <v>3,6,9</v>
      </c>
      <c r="G164" s="1"/>
      <c r="H164" s="1" t="str">
        <f>IFERROR(__xludf.DUMMYFUNCTION("""COMPUTED_VALUE"""),"3,6,9")</f>
        <v>3,6,9</v>
      </c>
    </row>
    <row r="165">
      <c r="A165" s="1" t="str">
        <f>IFERROR(__xludf.DUMMYFUNCTION("""COMPUTED_VALUE"""),"荷-51")</f>
        <v>荷-51</v>
      </c>
      <c r="B165" s="1" t="str">
        <f>IFERROR(__xludf.DUMMYFUNCTION("""COMPUTED_VALUE"""),"裂瓣朱槿")</f>
        <v>裂瓣朱槿</v>
      </c>
      <c r="C165" s="1" t="str">
        <f>IFERROR(__xludf.DUMMYFUNCTION("""COMPUTED_VALUE"""),"現存")</f>
        <v>現存</v>
      </c>
      <c r="D165" s="1"/>
      <c r="E165" s="1" t="str">
        <f>IFERROR(__xludf.DUMMYFUNCTION("""COMPUTED_VALUE"""),"現存")</f>
        <v>現存</v>
      </c>
      <c r="F165" s="1" t="str">
        <f>IFERROR(__xludf.DUMMYFUNCTION("""COMPUTED_VALUE"""),"3,8,11,12")</f>
        <v>3,8,11,12</v>
      </c>
      <c r="G165" s="1" t="str">
        <f>IFERROR(__xludf.DUMMYFUNCTION("""COMPUTED_VALUE"""),"1,2,3,4,5,6,7,8,9,10,11,12")</f>
        <v>1,2,3,4,5,6,7,8,9,10,11,12</v>
      </c>
      <c r="H165" s="1" t="str">
        <f>IFERROR(__xludf.DUMMYFUNCTION("""COMPUTED_VALUE"""),"1,2,3,4,5,6,7,8,9,10,11,12")</f>
        <v>1,2,3,4,5,6,7,8,9,10,11,12</v>
      </c>
    </row>
    <row r="166">
      <c r="A166" s="1" t="str">
        <f>IFERROR(__xludf.DUMMYFUNCTION("""COMPUTED_VALUE"""),"荷-52")</f>
        <v>荷-52</v>
      </c>
      <c r="B166" s="1" t="str">
        <f>IFERROR(__xludf.DUMMYFUNCTION("""COMPUTED_VALUE"""),"阿里山燈心草")</f>
        <v>阿里山燈心草</v>
      </c>
      <c r="C166" s="1" t="str">
        <f>IFERROR(__xludf.DUMMYFUNCTION("""COMPUTED_VALUE"""),"現存")</f>
        <v>現存</v>
      </c>
      <c r="D166" s="1" t="str">
        <f>IFERROR(__xludf.DUMMYFUNCTION("""COMPUTED_VALUE"""),"近年未見")</f>
        <v>近年未見</v>
      </c>
      <c r="E166" s="1" t="str">
        <f>IFERROR(__xludf.DUMMYFUNCTION("""COMPUTED_VALUE"""),"近年未見")</f>
        <v>近年未見</v>
      </c>
      <c r="F166" s="1" t="str">
        <f>IFERROR(__xludf.DUMMYFUNCTION("""COMPUTED_VALUE"""),"3")</f>
        <v>3</v>
      </c>
      <c r="G166" s="1"/>
      <c r="H166" s="1" t="str">
        <f>IFERROR(__xludf.DUMMYFUNCTION("""COMPUTED_VALUE"""),"3")</f>
        <v>3</v>
      </c>
    </row>
    <row r="167">
      <c r="A167" s="1" t="str">
        <f>IFERROR(__xludf.DUMMYFUNCTION("""COMPUTED_VALUE"""),"荷-53")</f>
        <v>荷-53</v>
      </c>
      <c r="B167" s="1" t="str">
        <f>IFERROR(__xludf.DUMMYFUNCTION("""COMPUTED_VALUE"""),"韓國草")</f>
        <v>韓國草</v>
      </c>
      <c r="C167" s="1" t="str">
        <f>IFERROR(__xludf.DUMMYFUNCTION("""COMPUTED_VALUE"""),"現存")</f>
        <v>現存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IFERROR(__xludf.DUMMYFUNCTION("""COMPUTED_VALUE"""),"3,10")</f>
        <v>3,10</v>
      </c>
      <c r="G167" s="1"/>
      <c r="H167" s="1" t="str">
        <f>IFERROR(__xludf.DUMMYFUNCTION("""COMPUTED_VALUE"""),"3,10")</f>
        <v>3,10</v>
      </c>
    </row>
    <row r="168">
      <c r="A168" s="1" t="str">
        <f>IFERROR(__xludf.DUMMYFUNCTION("""COMPUTED_VALUE"""),"荷-56")</f>
        <v>荷-56</v>
      </c>
      <c r="B168" s="1" t="str">
        <f>IFERROR(__xludf.DUMMYFUNCTION("""COMPUTED_VALUE"""),"小葉藜")</f>
        <v>小葉藜</v>
      </c>
      <c r="C168" s="1" t="str">
        <f>IFERROR(__xludf.DUMMYFUNCTION("""COMPUTED_VALUE"""),"現存")</f>
        <v>現存</v>
      </c>
      <c r="D168" s="1" t="str">
        <f>IFERROR(__xludf.DUMMYFUNCTION("""COMPUTED_VALUE"""),"近年未見")</f>
        <v>近年未見</v>
      </c>
      <c r="E168" s="1" t="str">
        <f>IFERROR(__xludf.DUMMYFUNCTION("""COMPUTED_VALUE"""),"近年未見")</f>
        <v>近年未見</v>
      </c>
      <c r="F168" s="1" t="str">
        <f>IFERROR(__xludf.DUMMYFUNCTION("""COMPUTED_VALUE"""),"4")</f>
        <v>4</v>
      </c>
      <c r="G168" s="1"/>
      <c r="H168" s="1" t="str">
        <f>IFERROR(__xludf.DUMMYFUNCTION("""COMPUTED_VALUE"""),"4")</f>
        <v>4</v>
      </c>
    </row>
    <row r="169">
      <c r="A169" s="1" t="str">
        <f>IFERROR(__xludf.DUMMYFUNCTION("""COMPUTED_VALUE"""),"荷-57")</f>
        <v>荷-57</v>
      </c>
      <c r="B169" s="1" t="str">
        <f>IFERROR(__xludf.DUMMYFUNCTION("""COMPUTED_VALUE"""),"巴西鳶尾")</f>
        <v>巴西鳶尾</v>
      </c>
      <c r="C169" s="1" t="str">
        <f>IFERROR(__xludf.DUMMYFUNCTION("""COMPUTED_VALUE"""),"現存")</f>
        <v>現存</v>
      </c>
      <c r="D169" s="1" t="str">
        <f>IFERROR(__xludf.DUMMYFUNCTION("""COMPUTED_VALUE"""),"近年未見")</f>
        <v>近年未見</v>
      </c>
      <c r="E169" s="1" t="str">
        <f>IFERROR(__xludf.DUMMYFUNCTION("""COMPUTED_VALUE"""),"近年未見")</f>
        <v>近年未見</v>
      </c>
      <c r="F169" s="1" t="str">
        <f>IFERROR(__xludf.DUMMYFUNCTION("""COMPUTED_VALUE"""),"4")</f>
        <v>4</v>
      </c>
      <c r="G169" s="1"/>
      <c r="H169" s="1" t="str">
        <f>IFERROR(__xludf.DUMMYFUNCTION("""COMPUTED_VALUE"""),"4")</f>
        <v>4</v>
      </c>
    </row>
    <row r="170">
      <c r="A170" s="1" t="str">
        <f>IFERROR(__xludf.DUMMYFUNCTION("""COMPUTED_VALUE"""),"荷-67")</f>
        <v>荷-67</v>
      </c>
      <c r="B170" s="1" t="str">
        <f>IFERROR(__xludf.DUMMYFUNCTION("""COMPUTED_VALUE"""),"窄葉澤瀉")</f>
        <v>窄葉澤瀉</v>
      </c>
      <c r="C170" s="1" t="str">
        <f>IFERROR(__xludf.DUMMYFUNCTION("""COMPUTED_VALUE"""),"現存")</f>
        <v>現存</v>
      </c>
      <c r="D170" s="1" t="str">
        <f>IFERROR(__xludf.DUMMYFUNCTION("""COMPUTED_VALUE"""),"近年未見")</f>
        <v>近年未見</v>
      </c>
      <c r="E170" s="1" t="str">
        <f>IFERROR(__xludf.DUMMYFUNCTION("""COMPUTED_VALUE"""),"近年未見")</f>
        <v>近年未見</v>
      </c>
      <c r="F170" s="1" t="str">
        <f>IFERROR(__xludf.DUMMYFUNCTION("""COMPUTED_VALUE"""),"4,5,6,7")</f>
        <v>4,5,6,7</v>
      </c>
      <c r="G170" s="1"/>
      <c r="H170" s="1" t="str">
        <f>IFERROR(__xludf.DUMMYFUNCTION("""COMPUTED_VALUE"""),"4,5,6,7")</f>
        <v>4,5,6,7</v>
      </c>
    </row>
    <row r="171">
      <c r="A171" s="1" t="str">
        <f>IFERROR(__xludf.DUMMYFUNCTION("""COMPUTED_VALUE"""),"荷-71")</f>
        <v>荷-71</v>
      </c>
      <c r="B171" s="1" t="str">
        <f>IFERROR(__xludf.DUMMYFUNCTION("""COMPUTED_VALUE"""),"野薔薇")</f>
        <v>野薔薇</v>
      </c>
      <c r="C171" s="1" t="str">
        <f>IFERROR(__xludf.DUMMYFUNCTION("""COMPUTED_VALUE"""),"近年未見")</f>
        <v>近年未見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IFERROR(__xludf.DUMMYFUNCTION("""COMPUTED_VALUE"""),"4")</f>
        <v>4</v>
      </c>
      <c r="G171" s="1"/>
      <c r="H171" s="1" t="str">
        <f>IFERROR(__xludf.DUMMYFUNCTION("""COMPUTED_VALUE"""),"4")</f>
        <v>4</v>
      </c>
    </row>
    <row r="172">
      <c r="A172" s="1" t="str">
        <f>IFERROR(__xludf.DUMMYFUNCTION("""COMPUTED_VALUE"""),"蕨-07")</f>
        <v>蕨-07</v>
      </c>
      <c r="B172" s="1" t="str">
        <f>IFERROR(__xludf.DUMMYFUNCTION("""COMPUTED_VALUE"""),"白頭天胡荽")</f>
        <v>白頭天胡荽</v>
      </c>
      <c r="C172" s="1" t="str">
        <f>IFERROR(__xludf.DUMMYFUNCTION("""COMPUTED_VALUE"""),"現存")</f>
        <v>現存</v>
      </c>
      <c r="D172" s="1" t="str">
        <f>IFERROR(__xludf.DUMMYFUNCTION("""COMPUTED_VALUE"""),"近年未見")</f>
        <v>近年未見</v>
      </c>
      <c r="E172" s="1" t="str">
        <f>IFERROR(__xludf.DUMMYFUNCTION("""COMPUTED_VALUE"""),"近年未見")</f>
        <v>近年未見</v>
      </c>
      <c r="F172" s="1" t="str">
        <f>IFERROR(__xludf.DUMMYFUNCTION("""COMPUTED_VALUE"""),"2")</f>
        <v>2</v>
      </c>
      <c r="G172" s="1"/>
      <c r="H172" s="1" t="str">
        <f>IFERROR(__xludf.DUMMYFUNCTION("""COMPUTED_VALUE"""),"2")</f>
        <v>2</v>
      </c>
    </row>
    <row r="173">
      <c r="A173" s="1" t="str">
        <f>IFERROR(__xludf.DUMMYFUNCTION("""COMPUTED_VALUE"""),"蕨-16")</f>
        <v>蕨-16</v>
      </c>
      <c r="B173" s="1" t="str">
        <f>IFERROR(__xludf.DUMMYFUNCTION("""COMPUTED_VALUE"""),"穗花蕨")</f>
        <v>穗花蕨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IFERROR(__xludf.DUMMYFUNCTION("""COMPUTED_VALUE"""),"4")</f>
        <v>4</v>
      </c>
      <c r="G173" s="1"/>
      <c r="H173" s="1" t="str">
        <f>IFERROR(__xludf.DUMMYFUNCTION("""COMPUTED_VALUE"""),"4")</f>
        <v>4</v>
      </c>
    </row>
    <row r="174">
      <c r="A174" s="1" t="str">
        <f>IFERROR(__xludf.DUMMYFUNCTION("""COMPUTED_VALUE"""),"蕨-19")</f>
        <v>蕨-19</v>
      </c>
      <c r="B174" s="1" t="str">
        <f>IFERROR(__xludf.DUMMYFUNCTION("""COMPUTED_VALUE"""),"蟠龍石斛蘭")</f>
        <v>蟠龍石斛蘭</v>
      </c>
      <c r="C174" s="1" t="str">
        <f>IFERROR(__xludf.DUMMYFUNCTION("""COMPUTED_VALUE"""),"近年未見")</f>
        <v>近年未見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IFERROR(__xludf.DUMMYFUNCTION("""COMPUTED_VALUE"""),"4")</f>
        <v>4</v>
      </c>
      <c r="G174" s="1"/>
      <c r="H174" s="1" t="str">
        <f>IFERROR(__xludf.DUMMYFUNCTION("""COMPUTED_VALUE"""),"4")</f>
        <v>4</v>
      </c>
    </row>
    <row r="175">
      <c r="A175" s="1" t="str">
        <f>IFERROR(__xludf.DUMMYFUNCTION("""COMPUTED_VALUE"""),"蕨-24")</f>
        <v>蕨-24</v>
      </c>
      <c r="B175" s="1" t="str">
        <f>IFERROR(__xludf.DUMMYFUNCTION("""COMPUTED_VALUE"""),"黃花夾竹桃")</f>
        <v>黃花夾竹桃</v>
      </c>
      <c r="C175" s="1" t="str">
        <f>IFERROR(__xludf.DUMMYFUNCTION("""COMPUTED_VALUE"""),"現存")</f>
        <v>現存</v>
      </c>
      <c r="D175" s="1" t="str">
        <f>IFERROR(__xludf.DUMMYFUNCTION("""COMPUTED_VALUE"""),"近年未見")</f>
        <v>近年未見</v>
      </c>
      <c r="E175" s="1" t="str">
        <f>IFERROR(__xludf.DUMMYFUNCTION("""COMPUTED_VALUE"""),"近年未見")</f>
        <v>近年未見</v>
      </c>
      <c r="F175" s="1" t="str">
        <f>IFERROR(__xludf.DUMMYFUNCTION("""COMPUTED_VALUE"""),"4")</f>
        <v>4</v>
      </c>
      <c r="G175" s="1"/>
      <c r="H175" s="1" t="str">
        <f>IFERROR(__xludf.DUMMYFUNCTION("""COMPUTED_VALUE"""),"4")</f>
        <v>4</v>
      </c>
    </row>
    <row r="176">
      <c r="A176" s="1" t="str">
        <f>IFERROR(__xludf.DUMMYFUNCTION("""COMPUTED_VALUE"""),"蕨-26")</f>
        <v>蕨-26</v>
      </c>
      <c r="B176" s="1" t="str">
        <f>IFERROR(__xludf.DUMMYFUNCTION("""COMPUTED_VALUE"""),"密毛小毛蕨")</f>
        <v>密毛小毛蕨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IFERROR(__xludf.DUMMYFUNCTION("""COMPUTED_VALUE"""),"5,11")</f>
        <v>5,11</v>
      </c>
      <c r="G176" s="1"/>
      <c r="H176" s="1" t="str">
        <f>IFERROR(__xludf.DUMMYFUNCTION("""COMPUTED_VALUE"""),"5,11")</f>
        <v>5,11</v>
      </c>
    </row>
    <row r="177">
      <c r="A177" s="1" t="str">
        <f>IFERROR(__xludf.DUMMYFUNCTION("""COMPUTED_VALUE"""),"蕨-32")</f>
        <v>蕨-32</v>
      </c>
      <c r="B177" s="1" t="str">
        <f>IFERROR(__xludf.DUMMYFUNCTION("""COMPUTED_VALUE"""),"半邊羽裂鳳尾蕨")</f>
        <v>半邊羽裂鳳尾蕨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IFERROR(__xludf.DUMMYFUNCTION("""COMPUTED_VALUE"""),"6")</f>
        <v>6</v>
      </c>
      <c r="G177" s="1"/>
      <c r="H177" s="1" t="str">
        <f>IFERROR(__xludf.DUMMYFUNCTION("""COMPUTED_VALUE"""),"6")</f>
        <v>6</v>
      </c>
    </row>
    <row r="178">
      <c r="A178" s="1" t="str">
        <f>IFERROR(__xludf.DUMMYFUNCTION("""COMPUTED_VALUE"""),"蕨-35")</f>
        <v>蕨-35</v>
      </c>
      <c r="B178" s="1" t="str">
        <f>IFERROR(__xludf.DUMMYFUNCTION("""COMPUTED_VALUE"""),"崖薑蕨")</f>
        <v>崖薑蕨</v>
      </c>
      <c r="C178" s="1" t="str">
        <f>IFERROR(__xludf.DUMMYFUNCTION("""COMPUTED_VALUE"""),"近年未見")</f>
        <v>近年未見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IFERROR(__xludf.DUMMYFUNCTION("""COMPUTED_VALUE"""),"6")</f>
        <v>6</v>
      </c>
      <c r="G178" s="1"/>
      <c r="H178" s="1" t="str">
        <f>IFERROR(__xludf.DUMMYFUNCTION("""COMPUTED_VALUE"""),"6")</f>
        <v>6</v>
      </c>
    </row>
    <row r="179">
      <c r="A179" s="1" t="str">
        <f>IFERROR(__xludf.DUMMYFUNCTION("""COMPUTED_VALUE"""),"蕨-36")</f>
        <v>蕨-36</v>
      </c>
      <c r="B179" s="1" t="str">
        <f>IFERROR(__xludf.DUMMYFUNCTION("""COMPUTED_VALUE"""),"海南實蕨")</f>
        <v>海南實蕨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IFERROR(__xludf.DUMMYFUNCTION("""COMPUTED_VALUE"""),"6")</f>
        <v>6</v>
      </c>
      <c r="G179" s="1"/>
      <c r="H179" s="1" t="str">
        <f>IFERROR(__xludf.DUMMYFUNCTION("""COMPUTED_VALUE"""),"6")</f>
        <v>6</v>
      </c>
    </row>
    <row r="180">
      <c r="A180" s="1" t="str">
        <f>IFERROR(__xludf.DUMMYFUNCTION("""COMPUTED_VALUE"""),"蕨-37")</f>
        <v>蕨-37</v>
      </c>
      <c r="B180" s="1" t="str">
        <f>IFERROR(__xludf.DUMMYFUNCTION("""COMPUTED_VALUE"""),"海岸星蕨")</f>
        <v>海岸星蕨</v>
      </c>
      <c r="C180" s="1" t="str">
        <f>IFERROR(__xludf.DUMMYFUNCTION("""COMPUTED_VALUE"""),"近年未見")</f>
        <v>近年未見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IFERROR(__xludf.DUMMYFUNCTION("""COMPUTED_VALUE"""),"6")</f>
        <v>6</v>
      </c>
      <c r="G180" s="1"/>
      <c r="H180" s="1" t="str">
        <f>IFERROR(__xludf.DUMMYFUNCTION("""COMPUTED_VALUE"""),"6")</f>
        <v>6</v>
      </c>
    </row>
    <row r="181">
      <c r="A181" s="1" t="str">
        <f>IFERROR(__xludf.DUMMYFUNCTION("""COMPUTED_VALUE"""),"蕨-39")</f>
        <v>蕨-39</v>
      </c>
      <c r="B181" s="1" t="str">
        <f>IFERROR(__xludf.DUMMYFUNCTION("""COMPUTED_VALUE"""),"蘭嶼沙欏")</f>
        <v>蘭嶼沙欏</v>
      </c>
      <c r="C181" s="1" t="str">
        <f>IFERROR(__xludf.DUMMYFUNCTION("""COMPUTED_VALUE"""),"近年未見")</f>
        <v>近年未見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IFERROR(__xludf.DUMMYFUNCTION("""COMPUTED_VALUE"""),"6")</f>
        <v>6</v>
      </c>
      <c r="G181" s="1"/>
      <c r="H181" s="1" t="str">
        <f>IFERROR(__xludf.DUMMYFUNCTION("""COMPUTED_VALUE"""),"6")</f>
        <v>6</v>
      </c>
    </row>
    <row r="182">
      <c r="A182" s="1" t="str">
        <f>IFERROR(__xludf.DUMMYFUNCTION("""COMPUTED_VALUE"""),"蕨-40")</f>
        <v>蕨-40</v>
      </c>
      <c r="B182" s="1" t="str">
        <f>IFERROR(__xludf.DUMMYFUNCTION("""COMPUTED_VALUE"""),"觀音座蓮")</f>
        <v>觀音座蓮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IFERROR(__xludf.DUMMYFUNCTION("""COMPUTED_VALUE"""),"6")</f>
        <v>6</v>
      </c>
      <c r="G182" s="1"/>
      <c r="H182" s="1" t="str">
        <f>IFERROR(__xludf.DUMMYFUNCTION("""COMPUTED_VALUE"""),"6")</f>
        <v>6</v>
      </c>
    </row>
    <row r="183">
      <c r="A183" s="1" t="str">
        <f>IFERROR(__xludf.DUMMYFUNCTION("""COMPUTED_VALUE"""),"蕨-41")</f>
        <v>蕨-41</v>
      </c>
      <c r="B183" s="1" t="str">
        <f>IFERROR(__xludf.DUMMYFUNCTION("""COMPUTED_VALUE"""),"全緣貫眾蕨")</f>
        <v>全緣貫眾蕨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IFERROR(__xludf.DUMMYFUNCTION("""COMPUTED_VALUE"""),"7,11")</f>
        <v>7,11</v>
      </c>
      <c r="G183" s="1"/>
      <c r="H183" s="1" t="str">
        <f>IFERROR(__xludf.DUMMYFUNCTION("""COMPUTED_VALUE"""),"7,11")</f>
        <v>7,11</v>
      </c>
    </row>
    <row r="184">
      <c r="A184" s="1" t="str">
        <f>IFERROR(__xludf.DUMMYFUNCTION("""COMPUTED_VALUE"""),"蕨-42")</f>
        <v>蕨-42</v>
      </c>
      <c r="B184" s="1" t="str">
        <f>IFERROR(__xludf.DUMMYFUNCTION("""COMPUTED_VALUE"""),"戟葉黑心蕨")</f>
        <v>戟葉黑心蕨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IFERROR(__xludf.DUMMYFUNCTION("""COMPUTED_VALUE"""),"7")</f>
        <v>7</v>
      </c>
      <c r="G184" s="1"/>
      <c r="H184" s="1" t="str">
        <f>IFERROR(__xludf.DUMMYFUNCTION("""COMPUTED_VALUE"""),"7")</f>
        <v>7</v>
      </c>
    </row>
    <row r="185">
      <c r="A185" s="1" t="str">
        <f>IFERROR(__xludf.DUMMYFUNCTION("""COMPUTED_VALUE"""),"蕨-43")</f>
        <v>蕨-43</v>
      </c>
      <c r="B185" s="1" t="str">
        <f>IFERROR(__xludf.DUMMYFUNCTION("""COMPUTED_VALUE"""),"擬烏毛蕨")</f>
        <v>擬烏毛蕨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IFERROR(__xludf.DUMMYFUNCTION("""COMPUTED_VALUE"""),"7")</f>
        <v>7</v>
      </c>
      <c r="G185" s="1"/>
      <c r="H185" s="1" t="str">
        <f>IFERROR(__xludf.DUMMYFUNCTION("""COMPUTED_VALUE"""),"7")</f>
        <v>7</v>
      </c>
    </row>
    <row r="186">
      <c r="A186" s="1" t="str">
        <f>IFERROR(__xludf.DUMMYFUNCTION("""COMPUTED_VALUE"""),"蕨-45")</f>
        <v>蕨-45</v>
      </c>
      <c r="B186" s="1" t="str">
        <f>IFERROR(__xludf.DUMMYFUNCTION("""COMPUTED_VALUE"""),"腎蕨")</f>
        <v>腎蕨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IFERROR(__xludf.DUMMYFUNCTION("""COMPUTED_VALUE"""),"7")</f>
        <v>7</v>
      </c>
      <c r="G186" s="1"/>
      <c r="H186" s="1" t="str">
        <f>IFERROR(__xludf.DUMMYFUNCTION("""COMPUTED_VALUE"""),"7")</f>
        <v>7</v>
      </c>
    </row>
    <row r="187">
      <c r="A187" s="1" t="str">
        <f>IFERROR(__xludf.DUMMYFUNCTION("""COMPUTED_VALUE"""),"蕨-48")</f>
        <v>蕨-48</v>
      </c>
      <c r="B187" s="1" t="str">
        <f>IFERROR(__xludf.DUMMYFUNCTION("""COMPUTED_VALUE"""),"過溝菜蕨")</f>
        <v>過溝菜蕨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IFERROR(__xludf.DUMMYFUNCTION("""COMPUTED_VALUE"""),"8,9")</f>
        <v>8,9</v>
      </c>
      <c r="G187" s="1"/>
      <c r="H187" s="1" t="str">
        <f>IFERROR(__xludf.DUMMYFUNCTION("""COMPUTED_VALUE"""),"8,9")</f>
        <v>8,9</v>
      </c>
    </row>
    <row r="188">
      <c r="A188" s="1" t="str">
        <f>IFERROR(__xludf.DUMMYFUNCTION("""COMPUTED_VALUE"""),"蕨-50")</f>
        <v>蕨-50</v>
      </c>
      <c r="B188" s="1" t="str">
        <f>IFERROR(__xludf.DUMMYFUNCTION("""COMPUTED_VALUE"""),"海金沙")</f>
        <v>海金沙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IFERROR(__xludf.DUMMYFUNCTION("""COMPUTED_VALUE"""),"9")</f>
        <v>9</v>
      </c>
      <c r="G188" s="1"/>
      <c r="H188" s="1" t="str">
        <f>IFERROR(__xludf.DUMMYFUNCTION("""COMPUTED_VALUE"""),"9")</f>
        <v>9</v>
      </c>
    </row>
    <row r="189">
      <c r="A189" s="1" t="str">
        <f>IFERROR(__xludf.DUMMYFUNCTION("""COMPUTED_VALUE"""),"蕨-56")</f>
        <v>蕨-56</v>
      </c>
      <c r="B189" s="1" t="str">
        <f>IFERROR(__xludf.DUMMYFUNCTION("""COMPUTED_VALUE"""),"傅氏鳳尾蕨")</f>
        <v>傅氏鳳尾蕨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IFERROR(__xludf.DUMMYFUNCTION("""COMPUTED_VALUE"""),"蕨-57")</f>
        <v>蕨-57</v>
      </c>
      <c r="B190" s="1" t="str">
        <f>IFERROR(__xludf.DUMMYFUNCTION("""COMPUTED_VALUE"""),"台灣山蘇花")</f>
        <v>台灣山蘇花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IFERROR(__xludf.DUMMYFUNCTION("""COMPUTED_VALUE"""),"蕨-58")</f>
        <v>蕨-58</v>
      </c>
      <c r="B191" s="1" t="str">
        <f>IFERROR(__xludf.DUMMYFUNCTION("""COMPUTED_VALUE"""),"大星蕨")</f>
        <v>大星蕨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IFERROR(__xludf.DUMMYFUNCTION("""COMPUTED_VALUE"""),"蕨-59")</f>
        <v>蕨-59</v>
      </c>
      <c r="B192" s="1" t="str">
        <f>IFERROR(__xludf.DUMMYFUNCTION("""COMPUTED_VALUE"""),"小葉複葉耳蕨")</f>
        <v>小葉複葉耳蕨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IFERROR(__xludf.DUMMYFUNCTION("""COMPUTED_VALUE"""),"蕨-60")</f>
        <v>蕨-60</v>
      </c>
      <c r="B193" s="1" t="str">
        <f>IFERROR(__xludf.DUMMYFUNCTION("""COMPUTED_VALUE"""),"尾葉實蕨")</f>
        <v>尾葉實蕨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IFERROR(__xludf.DUMMYFUNCTION("""COMPUTED_VALUE"""),"蕨-61")</f>
        <v>蕨-61</v>
      </c>
      <c r="B194" s="1" t="str">
        <f>IFERROR(__xludf.DUMMYFUNCTION("""COMPUTED_VALUE"""),"德氏雙蓋蕨")</f>
        <v>德氏雙蓋蕨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IFERROR(__xludf.DUMMYFUNCTION("""COMPUTED_VALUE"""),"蕨-62")</f>
        <v>蕨-62</v>
      </c>
      <c r="B195" s="1" t="str">
        <f>IFERROR(__xludf.DUMMYFUNCTION("""COMPUTED_VALUE"""),"星蕨")</f>
        <v>星蕨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IFERROR(__xludf.DUMMYFUNCTION("""COMPUTED_VALUE"""),"蕨-63")</f>
        <v>蕨-63</v>
      </c>
      <c r="B196" s="1" t="str">
        <f>IFERROR(__xludf.DUMMYFUNCTION("""COMPUTED_VALUE"""),"梅山口鐵線蕨")</f>
        <v>梅山口鐵線蕨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IFERROR(__xludf.DUMMYFUNCTION("""COMPUTED_VALUE"""),"蕨-64")</f>
        <v>蕨-64</v>
      </c>
      <c r="B197" s="1" t="str">
        <f>IFERROR(__xludf.DUMMYFUNCTION("""COMPUTED_VALUE"""),"異葉卷柏")</f>
        <v>異葉卷柏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IFERROR(__xludf.DUMMYFUNCTION("""COMPUTED_VALUE"""),"蕨-65")</f>
        <v>蕨-65</v>
      </c>
      <c r="B198" s="1" t="str">
        <f>IFERROR(__xludf.DUMMYFUNCTION("""COMPUTED_VALUE"""),"網脈突齒蕨")</f>
        <v>網脈突齒蕨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IFERROR(__xludf.DUMMYFUNCTION("""COMPUTED_VALUE"""),"蕨-66")</f>
        <v>蕨-66</v>
      </c>
      <c r="B199" s="1" t="str">
        <f>IFERROR(__xludf.DUMMYFUNCTION("""COMPUTED_VALUE"""),"翅柄三叉蕨")</f>
        <v>翅柄三叉蕨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IFERROR(__xludf.DUMMYFUNCTION("""COMPUTED_VALUE"""),"蕨-67")</f>
        <v>蕨-67</v>
      </c>
      <c r="B200" s="1" t="str">
        <f>IFERROR(__xludf.DUMMYFUNCTION("""COMPUTED_VALUE"""),"翠雲草")</f>
        <v>翠雲草</v>
      </c>
      <c r="C200" s="1" t="str">
        <f>IFERROR(__xludf.DUMMYFUNCTION("""COMPUTED_VALUE"""),"現存")</f>
        <v>現存</v>
      </c>
      <c r="D200" s="1" t="str">
        <f>IFERROR(__xludf.DUMMYFUNCTION("""COMPUTED_VALUE"""),"不收錄")</f>
        <v>不收錄</v>
      </c>
      <c r="E200" s="1" t="str">
        <f>IFERROR(__xludf.DUMMYFUNCTION("""COMPUTED_VALUE"""),"不收錄")</f>
        <v>不收錄</v>
      </c>
      <c r="F200" s="1" t="str">
        <f>IFERROR(__xludf.DUMMYFUNCTION("""COMPUTED_VALUE"""),"11")</f>
        <v>11</v>
      </c>
      <c r="G200" s="1"/>
      <c r="H200" s="1" t="str">
        <f>IFERROR(__xludf.DUMMYFUNCTION("""COMPUTED_VALUE"""),"11")</f>
        <v>11</v>
      </c>
    </row>
    <row r="201">
      <c r="A201" s="1" t="str">
        <f>IFERROR(__xludf.DUMMYFUNCTION("""COMPUTED_VALUE"""),"蕨-68")</f>
        <v>蕨-68</v>
      </c>
      <c r="B201" s="1" t="str">
        <f>IFERROR(__xludf.DUMMYFUNCTION("""COMPUTED_VALUE"""),"脆鐵線蕨")</f>
        <v>脆鐵線蕨</v>
      </c>
      <c r="C201" s="1" t="str">
        <f>IFERROR(__xludf.DUMMYFUNCTION("""COMPUTED_VALUE"""),"現存")</f>
        <v>現存</v>
      </c>
      <c r="D201" s="1" t="str">
        <f>IFERROR(__xludf.DUMMYFUNCTION("""COMPUTED_VALUE"""),"不收錄")</f>
        <v>不收錄</v>
      </c>
      <c r="E201" s="1" t="str">
        <f>IFERROR(__xludf.DUMMYFUNCTION("""COMPUTED_VALUE"""),"不收錄")</f>
        <v>不收錄</v>
      </c>
      <c r="F201" s="1" t="str">
        <f>IFERROR(__xludf.DUMMYFUNCTION("""COMPUTED_VALUE"""),"11")</f>
        <v>11</v>
      </c>
      <c r="G201" s="1"/>
      <c r="H201" s="1" t="str">
        <f>IFERROR(__xludf.DUMMYFUNCTION("""COMPUTED_VALUE"""),"11")</f>
        <v>11</v>
      </c>
    </row>
    <row r="202">
      <c r="A202" s="1" t="str">
        <f>IFERROR(__xludf.DUMMYFUNCTION("""COMPUTED_VALUE"""),"蕨-69")</f>
        <v>蕨-69</v>
      </c>
      <c r="B202" s="1" t="str">
        <f>IFERROR(__xludf.DUMMYFUNCTION("""COMPUTED_VALUE"""),"萊氏線蕨")</f>
        <v>萊氏線蕨</v>
      </c>
      <c r="C202" s="1" t="str">
        <f>IFERROR(__xludf.DUMMYFUNCTION("""COMPUTED_VALUE"""),"現存")</f>
        <v>現存</v>
      </c>
      <c r="D202" s="1" t="str">
        <f>IFERROR(__xludf.DUMMYFUNCTION("""COMPUTED_VALUE"""),"不收錄")</f>
        <v>不收錄</v>
      </c>
      <c r="E202" s="1" t="str">
        <f>IFERROR(__xludf.DUMMYFUNCTION("""COMPUTED_VALUE"""),"不收錄")</f>
        <v>不收錄</v>
      </c>
      <c r="F202" s="1" t="str">
        <f>IFERROR(__xludf.DUMMYFUNCTION("""COMPUTED_VALUE"""),"11")</f>
        <v>11</v>
      </c>
      <c r="G202" s="1"/>
      <c r="H202" s="1" t="str">
        <f>IFERROR(__xludf.DUMMYFUNCTION("""COMPUTED_VALUE"""),"11")</f>
        <v>11</v>
      </c>
    </row>
    <row r="203">
      <c r="A203" s="1" t="str">
        <f>IFERROR(__xludf.DUMMYFUNCTION("""COMPUTED_VALUE"""),"蕨-70")</f>
        <v>蕨-70</v>
      </c>
      <c r="B203" s="1" t="str">
        <f>IFERROR(__xludf.DUMMYFUNCTION("""COMPUTED_VALUE"""),"蘭嶼觀音座蓮")</f>
        <v>蘭嶼觀音座蓮</v>
      </c>
      <c r="C203" s="1" t="str">
        <f>IFERROR(__xludf.DUMMYFUNCTION("""COMPUTED_VALUE"""),"現存")</f>
        <v>現存</v>
      </c>
      <c r="D203" s="1" t="str">
        <f>IFERROR(__xludf.DUMMYFUNCTION("""COMPUTED_VALUE"""),"不收錄")</f>
        <v>不收錄</v>
      </c>
      <c r="E203" s="1" t="str">
        <f>IFERROR(__xludf.DUMMYFUNCTION("""COMPUTED_VALUE"""),"不收錄")</f>
        <v>不收錄</v>
      </c>
      <c r="F203" s="1" t="str">
        <f>IFERROR(__xludf.DUMMYFUNCTION("""COMPUTED_VALUE"""),"11")</f>
        <v>11</v>
      </c>
      <c r="G203" s="1"/>
      <c r="H203" s="1" t="str">
        <f>IFERROR(__xludf.DUMMYFUNCTION("""COMPUTED_VALUE"""),"11")</f>
        <v>11</v>
      </c>
    </row>
    <row r="204">
      <c r="A204" s="1" t="str">
        <f>IFERROR(__xludf.DUMMYFUNCTION("""COMPUTED_VALUE"""),"蕨-71")</f>
        <v>蕨-71</v>
      </c>
      <c r="B204" s="1" t="str">
        <f>IFERROR(__xludf.DUMMYFUNCTION("""COMPUTED_VALUE"""),"野小毛蕨")</f>
        <v>野小毛蕨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IFERROR(__xludf.DUMMYFUNCTION("""COMPUTED_VALUE"""),"11")</f>
        <v>11</v>
      </c>
      <c r="G204" s="1"/>
      <c r="H204" s="1" t="str">
        <f>IFERROR(__xludf.DUMMYFUNCTION("""COMPUTED_VALUE"""),"11")</f>
        <v>11</v>
      </c>
    </row>
    <row r="205">
      <c r="A205" s="1" t="str">
        <f>IFERROR(__xludf.DUMMYFUNCTION("""COMPUTED_VALUE"""),"蕨-72")</f>
        <v>蕨-72</v>
      </c>
      <c r="B205" s="1" t="str">
        <f>IFERROR(__xludf.DUMMYFUNCTION("""COMPUTED_VALUE"""),"長尾鐵線蕨")</f>
        <v>長尾鐵線蕨</v>
      </c>
      <c r="C205" s="1" t="str">
        <f>IFERROR(__xludf.DUMMYFUNCTION("""COMPUTED_VALUE"""),"現存")</f>
        <v>現存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IFERROR(__xludf.DUMMYFUNCTION("""COMPUTED_VALUE"""),"11")</f>
        <v>11</v>
      </c>
      <c r="G205" s="1"/>
      <c r="H205" s="1" t="str">
        <f>IFERROR(__xludf.DUMMYFUNCTION("""COMPUTED_VALUE"""),"11")</f>
        <v>11</v>
      </c>
    </row>
    <row r="206">
      <c r="A206" s="1" t="str">
        <f>IFERROR(__xludf.DUMMYFUNCTION("""COMPUTED_VALUE"""),"蕨-73")</f>
        <v>蕨-73</v>
      </c>
      <c r="B206" s="1" t="str">
        <f>IFERROR(__xludf.DUMMYFUNCTION("""COMPUTED_VALUE"""),"長葉腎蕨")</f>
        <v>長葉腎蕨</v>
      </c>
      <c r="C206" s="1" t="str">
        <f>IFERROR(__xludf.DUMMYFUNCTION("""COMPUTED_VALUE"""),"現存")</f>
        <v>現存</v>
      </c>
      <c r="D206" s="1" t="str">
        <f>IFERROR(__xludf.DUMMYFUNCTION("""COMPUTED_VALUE"""),"不收錄")</f>
        <v>不收錄</v>
      </c>
      <c r="E206" s="1" t="str">
        <f>IFERROR(__xludf.DUMMYFUNCTION("""COMPUTED_VALUE"""),"不收錄")</f>
        <v>不收錄</v>
      </c>
      <c r="F206" s="1" t="str">
        <f>IFERROR(__xludf.DUMMYFUNCTION("""COMPUTED_VALUE"""),"11")</f>
        <v>11</v>
      </c>
      <c r="G206" s="1"/>
      <c r="H206" s="1" t="str">
        <f>IFERROR(__xludf.DUMMYFUNCTION("""COMPUTED_VALUE"""),"11")</f>
        <v>11</v>
      </c>
    </row>
    <row r="207">
      <c r="A207" s="1" t="str">
        <f>IFERROR(__xludf.DUMMYFUNCTION("""COMPUTED_VALUE"""),"蕨-74")</f>
        <v>蕨-74</v>
      </c>
      <c r="B207" s="1" t="str">
        <f>IFERROR(__xludf.DUMMYFUNCTION("""COMPUTED_VALUE"""),"闊葉骨碎補")</f>
        <v>闊葉骨碎補</v>
      </c>
      <c r="C207" s="1" t="str">
        <f>IFERROR(__xludf.DUMMYFUNCTION("""COMPUTED_VALUE"""),"現存")</f>
        <v>現存</v>
      </c>
      <c r="D207" s="1" t="str">
        <f>IFERROR(__xludf.DUMMYFUNCTION("""COMPUTED_VALUE"""),"不收錄")</f>
        <v>不收錄</v>
      </c>
      <c r="E207" s="1" t="str">
        <f>IFERROR(__xludf.DUMMYFUNCTION("""COMPUTED_VALUE"""),"不收錄")</f>
        <v>不收錄</v>
      </c>
      <c r="F207" s="1" t="str">
        <f>IFERROR(__xludf.DUMMYFUNCTION("""COMPUTED_VALUE"""),"11")</f>
        <v>11</v>
      </c>
      <c r="G207" s="1"/>
      <c r="H207" s="1" t="str">
        <f>IFERROR(__xludf.DUMMYFUNCTION("""COMPUTED_VALUE"""),"11")</f>
        <v>11</v>
      </c>
    </row>
    <row r="208">
      <c r="A208" s="1" t="str">
        <f>IFERROR(__xludf.DUMMYFUNCTION("""COMPUTED_VALUE"""),"蕨-75")</f>
        <v>蕨-75</v>
      </c>
      <c r="B208" s="1" t="str">
        <f>IFERROR(__xludf.DUMMYFUNCTION("""COMPUTED_VALUE"""),"鞭葉耳蕨")</f>
        <v>鞭葉耳蕨</v>
      </c>
      <c r="C208" s="1" t="str">
        <f>IFERROR(__xludf.DUMMYFUNCTION("""COMPUTED_VALUE"""),"現存")</f>
        <v>現存</v>
      </c>
      <c r="D208" s="1" t="str">
        <f>IFERROR(__xludf.DUMMYFUNCTION("""COMPUTED_VALUE"""),"不收錄")</f>
        <v>不收錄</v>
      </c>
      <c r="E208" s="1" t="str">
        <f>IFERROR(__xludf.DUMMYFUNCTION("""COMPUTED_VALUE"""),"不收錄")</f>
        <v>不收錄</v>
      </c>
      <c r="F208" s="1" t="str">
        <f>IFERROR(__xludf.DUMMYFUNCTION("""COMPUTED_VALUE"""),"11")</f>
        <v>11</v>
      </c>
      <c r="G208" s="1"/>
      <c r="H208" s="1" t="str">
        <f>IFERROR(__xludf.DUMMYFUNCTION("""COMPUTED_VALUE"""),"11")</f>
        <v>11</v>
      </c>
    </row>
    <row r="209">
      <c r="A209" s="1" t="str">
        <f>IFERROR(__xludf.DUMMYFUNCTION("""COMPUTED_VALUE"""),"蕨-76")</f>
        <v>蕨-76</v>
      </c>
      <c r="B209" s="1" t="str">
        <f>IFERROR(__xludf.DUMMYFUNCTION("""COMPUTED_VALUE"""),"馬鞍山雙蓋蕨")</f>
        <v>馬鞍山雙蓋蕨</v>
      </c>
      <c r="C209" s="1" t="str">
        <f>IFERROR(__xludf.DUMMYFUNCTION("""COMPUTED_VALUE"""),"現存")</f>
        <v>現存</v>
      </c>
      <c r="D209" s="1" t="str">
        <f>IFERROR(__xludf.DUMMYFUNCTION("""COMPUTED_VALUE"""),"不收錄")</f>
        <v>不收錄</v>
      </c>
      <c r="E209" s="1" t="str">
        <f>IFERROR(__xludf.DUMMYFUNCTION("""COMPUTED_VALUE"""),"不收錄")</f>
        <v>不收錄</v>
      </c>
      <c r="F209" s="1" t="str">
        <f>IFERROR(__xludf.DUMMYFUNCTION("""COMPUTED_VALUE"""),"11")</f>
        <v>11</v>
      </c>
      <c r="G209" s="1"/>
      <c r="H209" s="1" t="str">
        <f>IFERROR(__xludf.DUMMYFUNCTION("""COMPUTED_VALUE"""),"11")</f>
        <v>11</v>
      </c>
    </row>
    <row r="210">
      <c r="A210" s="1" t="str">
        <f>IFERROR(__xludf.DUMMYFUNCTION("""COMPUTED_VALUE"""),"薑-04")</f>
        <v>薑-04</v>
      </c>
      <c r="B210" s="1" t="str">
        <f>IFERROR(__xludf.DUMMYFUNCTION("""COMPUTED_VALUE"""),"茶匙癀")</f>
        <v>茶匙癀</v>
      </c>
      <c r="C210" s="1" t="str">
        <f>IFERROR(__xludf.DUMMYFUNCTION("""COMPUTED_VALUE"""),"現存")</f>
        <v>現存</v>
      </c>
      <c r="D210" s="1" t="str">
        <f>IFERROR(__xludf.DUMMYFUNCTION("""COMPUTED_VALUE"""),"不收錄")</f>
        <v>不收錄</v>
      </c>
      <c r="E210" s="1" t="str">
        <f>IFERROR(__xludf.DUMMYFUNCTION("""COMPUTED_VALUE"""),"不收錄")</f>
        <v>不收錄</v>
      </c>
      <c r="F210" s="1" t="str">
        <f>IFERROR(__xludf.DUMMYFUNCTION("""COMPUTED_VALUE"""),"2,3,5")</f>
        <v>2,3,5</v>
      </c>
      <c r="G210" s="1"/>
      <c r="H210" s="1" t="str">
        <f>IFERROR(__xludf.DUMMYFUNCTION("""COMPUTED_VALUE"""),"2,3,5")</f>
        <v>2,3,5</v>
      </c>
    </row>
    <row r="211">
      <c r="A211" s="1" t="str">
        <f>IFERROR(__xludf.DUMMYFUNCTION("""COMPUTED_VALUE"""),"薑-05")</f>
        <v>薑-05</v>
      </c>
      <c r="B211" s="1" t="str">
        <f>IFERROR(__xludf.DUMMYFUNCTION("""COMPUTED_VALUE"""),"車前草")</f>
        <v>車前草</v>
      </c>
      <c r="C211" s="1" t="str">
        <f>IFERROR(__xludf.DUMMYFUNCTION("""COMPUTED_VALUE"""),"近年未見")</f>
        <v>近年未見</v>
      </c>
      <c r="D211" s="1" t="str">
        <f>IFERROR(__xludf.DUMMYFUNCTION("""COMPUTED_VALUE"""),"現存")</f>
        <v>現存</v>
      </c>
      <c r="E211" s="1" t="str">
        <f>IFERROR(__xludf.DUMMYFUNCTION("""COMPUTED_VALUE"""),"現存")</f>
        <v>現存</v>
      </c>
      <c r="F211" s="1" t="str">
        <f>IFERROR(__xludf.DUMMYFUNCTION("""COMPUTED_VALUE"""),"2,3,11")</f>
        <v>2,3,11</v>
      </c>
      <c r="G211" s="1"/>
      <c r="H211" s="1" t="str">
        <f>IFERROR(__xludf.DUMMYFUNCTION("""COMPUTED_VALUE"""),"2,3,11")</f>
        <v>2,3,11</v>
      </c>
    </row>
    <row r="212">
      <c r="A212" s="1" t="str">
        <f>IFERROR(__xludf.DUMMYFUNCTION("""COMPUTED_VALUE"""),"薑-100")</f>
        <v>薑-100</v>
      </c>
      <c r="B212" s="1" t="str">
        <f>IFERROR(__xludf.DUMMYFUNCTION("""COMPUTED_VALUE"""),"兩耳草")</f>
        <v>兩耳草</v>
      </c>
      <c r="C212" s="1" t="str">
        <f>IFERROR(__xludf.DUMMYFUNCTION("""COMPUTED_VALUE"""),"近年未見")</f>
        <v>近年未見</v>
      </c>
      <c r="D212" s="1" t="str">
        <f>IFERROR(__xludf.DUMMYFUNCTION("""COMPUTED_VALUE"""),"現存")</f>
        <v>現存</v>
      </c>
      <c r="E212" s="1" t="str">
        <f>IFERROR(__xludf.DUMMYFUNCTION("""COMPUTED_VALUE"""),"現存")</f>
        <v>現存</v>
      </c>
      <c r="F212" s="1" t="str">
        <f>IFERROR(__xludf.DUMMYFUNCTION("""COMPUTED_VALUE"""),"11")</f>
        <v>11</v>
      </c>
      <c r="G212" s="1"/>
      <c r="H212" s="1" t="str">
        <f>IFERROR(__xludf.DUMMYFUNCTION("""COMPUTED_VALUE"""),"11")</f>
        <v>11</v>
      </c>
    </row>
    <row r="213">
      <c r="A213" s="1" t="str">
        <f>IFERROR(__xludf.DUMMYFUNCTION("""COMPUTED_VALUE"""),"薑-105")</f>
        <v>薑-105</v>
      </c>
      <c r="B213" s="1" t="str">
        <f>IFERROR(__xludf.DUMMYFUNCTION("""COMPUTED_VALUE"""),"葛鬱金")</f>
        <v>葛鬱金</v>
      </c>
      <c r="C213" s="1"/>
      <c r="D213" s="1" t="str">
        <f>IFERROR(__xludf.DUMMYFUNCTION("""COMPUTED_VALUE"""),"現存")</f>
        <v>現存</v>
      </c>
      <c r="E213" s="1"/>
      <c r="F213" s="1"/>
      <c r="G213" s="1"/>
      <c r="H213" s="1"/>
    </row>
    <row r="214">
      <c r="A214" s="1" t="str">
        <f>IFERROR(__xludf.DUMMYFUNCTION("""COMPUTED_VALUE"""),"薑-45")</f>
        <v>薑-45</v>
      </c>
      <c r="B214" s="1" t="str">
        <f>IFERROR(__xludf.DUMMYFUNCTION("""COMPUTED_VALUE"""),"塔蓬貝克閉鞘薑")</f>
        <v>塔蓬貝克閉鞘薑</v>
      </c>
      <c r="C214" s="1" t="str">
        <f>IFERROR(__xludf.DUMMYFUNCTION("""COMPUTED_VALUE"""),"現存")</f>
        <v>現存</v>
      </c>
      <c r="D214" s="1" t="str">
        <f>IFERROR(__xludf.DUMMYFUNCTION("""COMPUTED_VALUE"""),"不收錄")</f>
        <v>不收錄</v>
      </c>
      <c r="E214" s="1" t="str">
        <f>IFERROR(__xludf.DUMMYFUNCTION("""COMPUTED_VALUE"""),"不收錄")</f>
        <v>不收錄</v>
      </c>
      <c r="F214" s="1" t="str">
        <f>IFERROR(__xludf.DUMMYFUNCTION("""COMPUTED_VALUE"""),"5,6")</f>
        <v>5,6</v>
      </c>
      <c r="G214" s="1"/>
      <c r="H214" s="1" t="str">
        <f>IFERROR(__xludf.DUMMYFUNCTION("""COMPUTED_VALUE"""),"5,6")</f>
        <v>5,6</v>
      </c>
    </row>
    <row r="215">
      <c r="A215" s="1" t="str">
        <f>IFERROR(__xludf.DUMMYFUNCTION("""COMPUTED_VALUE"""),"薑-58")</f>
        <v>薑-58</v>
      </c>
      <c r="B215" s="1" t="str">
        <f>IFERROR(__xludf.DUMMYFUNCTION("""COMPUTED_VALUE"""),"早花百子蓮")</f>
        <v>早花百子蓮</v>
      </c>
      <c r="C215" s="1" t="str">
        <f>IFERROR(__xludf.DUMMYFUNCTION("""COMPUTED_VALUE"""),"現存")</f>
        <v>現存</v>
      </c>
      <c r="D215" s="1" t="str">
        <f>IFERROR(__xludf.DUMMYFUNCTION("""COMPUTED_VALUE"""),"不收錄")</f>
        <v>不收錄</v>
      </c>
      <c r="E215" s="1" t="str">
        <f>IFERROR(__xludf.DUMMYFUNCTION("""COMPUTED_VALUE"""),"不收錄")</f>
        <v>不收錄</v>
      </c>
      <c r="F215" s="1" t="str">
        <f>IFERROR(__xludf.DUMMYFUNCTION("""COMPUTED_VALUE"""),"5,6")</f>
        <v>5,6</v>
      </c>
      <c r="G215" s="1"/>
      <c r="H215" s="1" t="str">
        <f>IFERROR(__xludf.DUMMYFUNCTION("""COMPUTED_VALUE"""),"5,6")</f>
        <v>5,6</v>
      </c>
    </row>
    <row r="216">
      <c r="A216" s="1" t="str">
        <f>IFERROR(__xludf.DUMMYFUNCTION("""COMPUTED_VALUE"""),"薑-98")</f>
        <v>薑-98</v>
      </c>
      <c r="B216" s="1" t="str">
        <f>IFERROR(__xludf.DUMMYFUNCTION("""COMPUTED_VALUE"""),"赫蕉熱帶")</f>
        <v>赫蕉熱帶</v>
      </c>
      <c r="C216" s="1" t="str">
        <f>IFERROR(__xludf.DUMMYFUNCTION("""COMPUTED_VALUE"""),"近年未見")</f>
        <v>近年未見</v>
      </c>
      <c r="D216" s="1" t="str">
        <f>IFERROR(__xludf.DUMMYFUNCTION("""COMPUTED_VALUE"""),"不收錄")</f>
        <v>不收錄</v>
      </c>
      <c r="E216" s="1" t="str">
        <f>IFERROR(__xludf.DUMMYFUNCTION("""COMPUTED_VALUE"""),"不收錄")</f>
        <v>不收錄</v>
      </c>
      <c r="F216" s="1" t="str">
        <f>IFERROR(__xludf.DUMMYFUNCTION("""COMPUTED_VALUE"""),"10")</f>
        <v>10</v>
      </c>
      <c r="G216" s="1"/>
      <c r="H216" s="1" t="str">
        <f>IFERROR(__xludf.DUMMYFUNCTION("""COMPUTED_VALUE"""),"10")</f>
        <v>10</v>
      </c>
    </row>
    <row r="217">
      <c r="A217" s="1" t="str">
        <f>IFERROR(__xludf.DUMMYFUNCTION("""COMPUTED_VALUE"""),"蜜-22")</f>
        <v>蜜-22</v>
      </c>
      <c r="B217" s="1" t="str">
        <f>IFERROR(__xludf.DUMMYFUNCTION("""COMPUTED_VALUE"""),"垂筒草")</f>
        <v>垂筒草</v>
      </c>
      <c r="C217" s="1" t="str">
        <f>IFERROR(__xludf.DUMMYFUNCTION("""COMPUTED_VALUE"""),"現存")</f>
        <v>現存</v>
      </c>
      <c r="D217" s="1" t="str">
        <f>IFERROR(__xludf.DUMMYFUNCTION("""COMPUTED_VALUE"""),"近年未見")</f>
        <v>近年未見</v>
      </c>
      <c r="E217" s="1" t="str">
        <f>IFERROR(__xludf.DUMMYFUNCTION("""COMPUTED_VALUE"""),"近年未見")</f>
        <v>近年未見</v>
      </c>
      <c r="F217" s="1" t="str">
        <f>IFERROR(__xludf.DUMMYFUNCTION("""COMPUTED_VALUE"""),"3")</f>
        <v>3</v>
      </c>
      <c r="G217" s="1"/>
      <c r="H217" s="1" t="str">
        <f>IFERROR(__xludf.DUMMYFUNCTION("""COMPUTED_VALUE"""),"3")</f>
        <v>3</v>
      </c>
    </row>
    <row r="218">
      <c r="A218" s="1" t="str">
        <f>IFERROR(__xludf.DUMMYFUNCTION("""COMPUTED_VALUE"""),"蜜-31")</f>
        <v>蜜-31</v>
      </c>
      <c r="B218" s="1" t="str">
        <f>IFERROR(__xludf.DUMMYFUNCTION("""COMPUTED_VALUE"""),"白苦柱")</f>
        <v>白苦柱</v>
      </c>
      <c r="C218" s="1" t="str">
        <f>IFERROR(__xludf.DUMMYFUNCTION("""COMPUTED_VALUE"""),"現存")</f>
        <v>現存</v>
      </c>
      <c r="D218" s="1" t="str">
        <f>IFERROR(__xludf.DUMMYFUNCTION("""COMPUTED_VALUE"""),"近年未見")</f>
        <v>近年未見</v>
      </c>
      <c r="E218" s="1" t="str">
        <f>IFERROR(__xludf.DUMMYFUNCTION("""COMPUTED_VALUE"""),"近年未見")</f>
        <v>近年未見</v>
      </c>
      <c r="F218" s="1" t="str">
        <f>IFERROR(__xludf.DUMMYFUNCTION("""COMPUTED_VALUE"""),"4")</f>
        <v>4</v>
      </c>
      <c r="G218" s="1"/>
      <c r="H218" s="1" t="str">
        <f>IFERROR(__xludf.DUMMYFUNCTION("""COMPUTED_VALUE"""),"4")</f>
        <v>4</v>
      </c>
    </row>
    <row r="219">
      <c r="A219" s="1" t="str">
        <f>IFERROR(__xludf.DUMMYFUNCTION("""COMPUTED_VALUE"""),"蜜-32")</f>
        <v>蜜-32</v>
      </c>
      <c r="B219" s="1" t="str">
        <f>IFERROR(__xludf.DUMMYFUNCTION("""COMPUTED_VALUE"""),"羊蹄")</f>
        <v>羊蹄</v>
      </c>
      <c r="C219" s="1" t="str">
        <f>IFERROR(__xludf.DUMMYFUNCTION("""COMPUTED_VALUE"""),"現存")</f>
        <v>現存</v>
      </c>
      <c r="D219" s="1" t="str">
        <f>IFERROR(__xludf.DUMMYFUNCTION("""COMPUTED_VALUE"""),"近年未見")</f>
        <v>近年未見</v>
      </c>
      <c r="E219" s="1" t="str">
        <f>IFERROR(__xludf.DUMMYFUNCTION("""COMPUTED_VALUE"""),"近年未見")</f>
        <v>近年未見</v>
      </c>
      <c r="F219" s="1" t="str">
        <f>IFERROR(__xludf.DUMMYFUNCTION("""COMPUTED_VALUE"""),"4")</f>
        <v>4</v>
      </c>
      <c r="G219" s="1"/>
      <c r="H219" s="1" t="str">
        <f>IFERROR(__xludf.DUMMYFUNCTION("""COMPUTED_VALUE"""),"4")</f>
        <v>4</v>
      </c>
    </row>
    <row r="220">
      <c r="A220" s="1" t="str">
        <f>IFERROR(__xludf.DUMMYFUNCTION("""COMPUTED_VALUE"""),"蜜-34")</f>
        <v>蜜-34</v>
      </c>
      <c r="B220" s="1" t="str">
        <f>IFERROR(__xludf.DUMMYFUNCTION("""COMPUTED_VALUE"""),"六眼西番蓮")</f>
        <v>六眼西番蓮</v>
      </c>
      <c r="C220" s="1" t="str">
        <f>IFERROR(__xludf.DUMMYFUNCTION("""COMPUTED_VALUE"""),"現存")</f>
        <v>現存</v>
      </c>
      <c r="D220" s="1" t="str">
        <f>IFERROR(__xludf.DUMMYFUNCTION("""COMPUTED_VALUE"""),"近年未見")</f>
        <v>近年未見</v>
      </c>
      <c r="E220" s="1" t="str">
        <f>IFERROR(__xludf.DUMMYFUNCTION("""COMPUTED_VALUE"""),"近年未見")</f>
        <v>近年未見</v>
      </c>
      <c r="F220" s="1" t="str">
        <f>IFERROR(__xludf.DUMMYFUNCTION("""COMPUTED_VALUE"""),"5")</f>
        <v>5</v>
      </c>
      <c r="G220" s="1"/>
      <c r="H220" s="1" t="str">
        <f>IFERROR(__xludf.DUMMYFUNCTION("""COMPUTED_VALUE"""),"5")</f>
        <v>5</v>
      </c>
    </row>
    <row r="221">
      <c r="A221" s="1" t="str">
        <f>IFERROR(__xludf.DUMMYFUNCTION("""COMPUTED_VALUE"""),"野-04")</f>
        <v>野-04</v>
      </c>
      <c r="B221" s="1" t="str">
        <f>IFERROR(__xludf.DUMMYFUNCTION("""COMPUTED_VALUE"""),"紅果金粟蘭")</f>
        <v>紅果金粟蘭</v>
      </c>
      <c r="C221" s="1" t="str">
        <f>IFERROR(__xludf.DUMMYFUNCTION("""COMPUTED_VALUE"""),"現存")</f>
        <v>現存</v>
      </c>
      <c r="D221" s="1" t="str">
        <f>IFERROR(__xludf.DUMMYFUNCTION("""COMPUTED_VALUE"""),"不收錄")</f>
        <v>不收錄</v>
      </c>
      <c r="E221" s="1" t="str">
        <f>IFERROR(__xludf.DUMMYFUNCTION("""COMPUTED_VALUE"""),"不收錄")</f>
        <v>不收錄</v>
      </c>
      <c r="F221" s="1" t="str">
        <f>IFERROR(__xludf.DUMMYFUNCTION("""COMPUTED_VALUE"""),"1")</f>
        <v>1</v>
      </c>
      <c r="G221" s="1"/>
      <c r="H221" s="1" t="str">
        <f>IFERROR(__xludf.DUMMYFUNCTION("""COMPUTED_VALUE"""),"1")</f>
        <v>1</v>
      </c>
    </row>
    <row r="222">
      <c r="A222" s="1" t="str">
        <f>IFERROR(__xludf.DUMMYFUNCTION("""COMPUTED_VALUE"""),"野-09")</f>
        <v>野-09</v>
      </c>
      <c r="B222" s="1" t="str">
        <f>IFERROR(__xludf.DUMMYFUNCTION("""COMPUTED_VALUE"""),"列當")</f>
        <v>列當</v>
      </c>
      <c r="C222" s="1" t="str">
        <f>IFERROR(__xludf.DUMMYFUNCTION("""COMPUTED_VALUE"""),"現存")</f>
        <v>現存</v>
      </c>
      <c r="D222" s="1" t="str">
        <f>IFERROR(__xludf.DUMMYFUNCTION("""COMPUTED_VALUE"""),"近年未見")</f>
        <v>近年未見</v>
      </c>
      <c r="E222" s="1" t="str">
        <f>IFERROR(__xludf.DUMMYFUNCTION("""COMPUTED_VALUE"""),"近年未見")</f>
        <v>近年未見</v>
      </c>
      <c r="F222" s="1" t="str">
        <f>IFERROR(__xludf.DUMMYFUNCTION("""COMPUTED_VALUE"""),"3")</f>
        <v>3</v>
      </c>
      <c r="G222" s="1"/>
      <c r="H222" s="1" t="str">
        <f>IFERROR(__xludf.DUMMYFUNCTION("""COMPUTED_VALUE"""),"3")</f>
        <v>3</v>
      </c>
    </row>
    <row r="223">
      <c r="A223" s="1" t="str">
        <f>IFERROR(__xludf.DUMMYFUNCTION("""COMPUTED_VALUE"""),"野-19")</f>
        <v>野-19</v>
      </c>
      <c r="B223" s="1" t="str">
        <f>IFERROR(__xludf.DUMMYFUNCTION("""COMPUTED_VALUE"""),"脈耳草")</f>
        <v>脈耳草</v>
      </c>
      <c r="C223" s="1" t="str">
        <f>IFERROR(__xludf.DUMMYFUNCTION("""COMPUTED_VALUE"""),"現存")</f>
        <v>現存</v>
      </c>
      <c r="D223" s="1" t="str">
        <f>IFERROR(__xludf.DUMMYFUNCTION("""COMPUTED_VALUE"""),"近年未見")</f>
        <v>近年未見</v>
      </c>
      <c r="E223" s="1" t="str">
        <f>IFERROR(__xludf.DUMMYFUNCTION("""COMPUTED_VALUE"""),"近年未見")</f>
        <v>近年未見</v>
      </c>
      <c r="F223" s="1" t="str">
        <f>IFERROR(__xludf.DUMMYFUNCTION("""COMPUTED_VALUE"""),"3")</f>
        <v>3</v>
      </c>
      <c r="G223" s="1"/>
      <c r="H223" s="1" t="str">
        <f>IFERROR(__xludf.DUMMYFUNCTION("""COMPUTED_VALUE"""),"3")</f>
        <v>3</v>
      </c>
    </row>
    <row r="224">
      <c r="A224" s="1" t="str">
        <f>IFERROR(__xludf.DUMMYFUNCTION("""COMPUTED_VALUE"""),"野-20")</f>
        <v>野-20</v>
      </c>
      <c r="B224" s="1" t="str">
        <f>IFERROR(__xludf.DUMMYFUNCTION("""COMPUTED_VALUE"""),"點地梅")</f>
        <v>點地梅</v>
      </c>
      <c r="C224" s="1" t="str">
        <f>IFERROR(__xludf.DUMMYFUNCTION("""COMPUTED_VALUE"""),"現存")</f>
        <v>現存</v>
      </c>
      <c r="D224" s="1" t="str">
        <f>IFERROR(__xludf.DUMMYFUNCTION("""COMPUTED_VALUE"""),"近年未見")</f>
        <v>近年未見</v>
      </c>
      <c r="E224" s="1" t="str">
        <f>IFERROR(__xludf.DUMMYFUNCTION("""COMPUTED_VALUE"""),"近年未見")</f>
        <v>近年未見</v>
      </c>
      <c r="F224" s="1" t="str">
        <f>IFERROR(__xludf.DUMMYFUNCTION("""COMPUTED_VALUE"""),"3")</f>
        <v>3</v>
      </c>
      <c r="G224" s="1"/>
      <c r="H224" s="1" t="str">
        <f>IFERROR(__xludf.DUMMYFUNCTION("""COMPUTED_VALUE"""),"3")</f>
        <v>3</v>
      </c>
    </row>
    <row r="225">
      <c r="A225" s="1" t="str">
        <f>IFERROR(__xludf.DUMMYFUNCTION("""COMPUTED_VALUE"""),"野-23")</f>
        <v>野-23</v>
      </c>
      <c r="B225" s="1" t="str">
        <f>IFERROR(__xludf.DUMMYFUNCTION("""COMPUTED_VALUE"""),"刺葉黃褥花")</f>
        <v>刺葉黃褥花</v>
      </c>
      <c r="C225" s="1" t="str">
        <f>IFERROR(__xludf.DUMMYFUNCTION("""COMPUTED_VALUE"""),"現存")</f>
        <v>現存</v>
      </c>
      <c r="D225" s="1" t="str">
        <f>IFERROR(__xludf.DUMMYFUNCTION("""COMPUTED_VALUE"""),"不收錄")</f>
        <v>不收錄</v>
      </c>
      <c r="E225" s="1" t="str">
        <f>IFERROR(__xludf.DUMMYFUNCTION("""COMPUTED_VALUE"""),"不收錄")</f>
        <v>不收錄</v>
      </c>
      <c r="F225" s="1" t="str">
        <f>IFERROR(__xludf.DUMMYFUNCTION("""COMPUTED_VALUE"""),"4")</f>
        <v>4</v>
      </c>
      <c r="G225" s="1"/>
      <c r="H225" s="1" t="str">
        <f>IFERROR(__xludf.DUMMYFUNCTION("""COMPUTED_VALUE"""),"4")</f>
        <v>4</v>
      </c>
    </row>
    <row r="226">
      <c r="A226" s="1" t="str">
        <f>IFERROR(__xludf.DUMMYFUNCTION("""COMPUTED_VALUE"""),"野-34")</f>
        <v>野-34</v>
      </c>
      <c r="B226" s="1" t="str">
        <f>IFERROR(__xludf.DUMMYFUNCTION("""COMPUTED_VALUE"""),"百金花")</f>
        <v>百金花</v>
      </c>
      <c r="C226" s="1" t="str">
        <f>IFERROR(__xludf.DUMMYFUNCTION("""COMPUTED_VALUE"""),"現存")</f>
        <v>現存</v>
      </c>
      <c r="D226" s="1" t="str">
        <f>IFERROR(__xludf.DUMMYFUNCTION("""COMPUTED_VALUE"""),"近年未見")</f>
        <v>近年未見</v>
      </c>
      <c r="E226" s="1" t="str">
        <f>IFERROR(__xludf.DUMMYFUNCTION("""COMPUTED_VALUE"""),"近年未見")</f>
        <v>近年未見</v>
      </c>
      <c r="F226" s="1" t="str">
        <f>IFERROR(__xludf.DUMMYFUNCTION("""COMPUTED_VALUE"""),"5")</f>
        <v>5</v>
      </c>
      <c r="G226" s="1"/>
      <c r="H226" s="1" t="str">
        <f>IFERROR(__xludf.DUMMYFUNCTION("""COMPUTED_VALUE"""),"5")</f>
        <v>5</v>
      </c>
    </row>
    <row r="227">
      <c r="A227" s="1" t="str">
        <f>IFERROR(__xludf.DUMMYFUNCTION("""COMPUTED_VALUE"""),"野-39")</f>
        <v>野-39</v>
      </c>
      <c r="B227" s="1" t="str">
        <f>IFERROR(__xludf.DUMMYFUNCTION("""COMPUTED_VALUE"""),"山葡萄")</f>
        <v>山葡萄</v>
      </c>
      <c r="C227" s="1" t="str">
        <f>IFERROR(__xludf.DUMMYFUNCTION("""COMPUTED_VALUE"""),"現存")</f>
        <v>現存</v>
      </c>
      <c r="D227" s="1" t="str">
        <f>IFERROR(__xludf.DUMMYFUNCTION("""COMPUTED_VALUE"""),"近年未見")</f>
        <v>近年未見</v>
      </c>
      <c r="E227" s="1" t="str">
        <f>IFERROR(__xludf.DUMMYFUNCTION("""COMPUTED_VALUE"""),"近年未見")</f>
        <v>近年未見</v>
      </c>
      <c r="F227" s="1" t="str">
        <f>IFERROR(__xludf.DUMMYFUNCTION("""COMPUTED_VALUE"""),"6")</f>
        <v>6</v>
      </c>
      <c r="G227" s="1"/>
      <c r="H227" s="1" t="str">
        <f>IFERROR(__xludf.DUMMYFUNCTION("""COMPUTED_VALUE"""),"6")</f>
        <v>6</v>
      </c>
    </row>
    <row r="228">
      <c r="A228" s="1" t="str">
        <f>IFERROR(__xludf.DUMMYFUNCTION("""COMPUTED_VALUE"""),"野-40")</f>
        <v>野-40</v>
      </c>
      <c r="B228" s="1" t="str">
        <f>IFERROR(__xludf.DUMMYFUNCTION("""COMPUTED_VALUE"""),"長萼野百合")</f>
        <v>長萼野百合</v>
      </c>
      <c r="C228" s="1" t="str">
        <f>IFERROR(__xludf.DUMMYFUNCTION("""COMPUTED_VALUE"""),"現存")</f>
        <v>現存</v>
      </c>
      <c r="D228" s="1" t="str">
        <f>IFERROR(__xludf.DUMMYFUNCTION("""COMPUTED_VALUE"""),"近年未見")</f>
        <v>近年未見</v>
      </c>
      <c r="E228" s="1" t="str">
        <f>IFERROR(__xludf.DUMMYFUNCTION("""COMPUTED_VALUE"""),"近年未見")</f>
        <v>近年未見</v>
      </c>
      <c r="F228" s="1" t="str">
        <f>IFERROR(__xludf.DUMMYFUNCTION("""COMPUTED_VALUE"""),"6")</f>
        <v>6</v>
      </c>
      <c r="G228" s="1"/>
      <c r="H228" s="1" t="str">
        <f>IFERROR(__xludf.DUMMYFUNCTION("""COMPUTED_VALUE"""),"6")</f>
        <v>6</v>
      </c>
    </row>
    <row r="229">
      <c r="A229" s="1" t="str">
        <f>IFERROR(__xludf.DUMMYFUNCTION("""COMPUTED_VALUE"""),"野-48")</f>
        <v>野-48</v>
      </c>
      <c r="B229" s="1" t="str">
        <f>IFERROR(__xludf.DUMMYFUNCTION("""COMPUTED_VALUE"""),"守宮木")</f>
        <v>守宮木</v>
      </c>
      <c r="C229" s="1" t="str">
        <f>IFERROR(__xludf.DUMMYFUNCTION("""COMPUTED_VALUE"""),"現存")</f>
        <v>現存</v>
      </c>
      <c r="D229" s="1" t="str">
        <f>IFERROR(__xludf.DUMMYFUNCTION("""COMPUTED_VALUE"""),"已不在")</f>
        <v>已不在</v>
      </c>
      <c r="E229" s="1" t="str">
        <f>IFERROR(__xludf.DUMMYFUNCTION("""COMPUTED_VALUE"""),"已不在")</f>
        <v>已不在</v>
      </c>
      <c r="F229" s="1" t="str">
        <f>IFERROR(__xludf.DUMMYFUNCTION("""COMPUTED_VALUE"""),"10,11")</f>
        <v>10,11</v>
      </c>
      <c r="G229" s="1"/>
      <c r="H229" s="1" t="str">
        <f>IFERROR(__xludf.DUMMYFUNCTION("""COMPUTED_VALUE"""),"10,11")</f>
        <v>10,11</v>
      </c>
    </row>
    <row r="230">
      <c r="A230" s="1" t="str">
        <f>IFERROR(__xludf.DUMMYFUNCTION("""COMPUTED_VALUE"""),"雙-16")</f>
        <v>雙-16</v>
      </c>
      <c r="B230" s="1" t="str">
        <f>IFERROR(__xludf.DUMMYFUNCTION("""COMPUTED_VALUE"""),"裡白巴豆")</f>
        <v>裡白巴豆</v>
      </c>
      <c r="C230" s="1" t="str">
        <f>IFERROR(__xludf.DUMMYFUNCTION("""COMPUTED_VALUE"""),"現存")</f>
        <v>現存</v>
      </c>
      <c r="D230" s="1" t="str">
        <f>IFERROR(__xludf.DUMMYFUNCTION("""COMPUTED_VALUE"""),"不收錄")</f>
        <v>不收錄</v>
      </c>
      <c r="E230" s="1" t="str">
        <f>IFERROR(__xludf.DUMMYFUNCTION("""COMPUTED_VALUE"""),"不收錄")</f>
        <v>不收錄</v>
      </c>
      <c r="F230" s="1" t="str">
        <f>IFERROR(__xludf.DUMMYFUNCTION("""COMPUTED_VALUE"""),"2,8")</f>
        <v>2,8</v>
      </c>
      <c r="G230" s="1"/>
      <c r="H230" s="1" t="str">
        <f>IFERROR(__xludf.DUMMYFUNCTION("""COMPUTED_VALUE"""),"2,8")</f>
        <v>2,8</v>
      </c>
    </row>
    <row r="231">
      <c r="A231" s="1" t="str">
        <f>IFERROR(__xludf.DUMMYFUNCTION("""COMPUTED_VALUE"""),"雙-56")</f>
        <v>雙-56</v>
      </c>
      <c r="B231" s="1" t="str">
        <f>IFERROR(__xludf.DUMMYFUNCTION("""COMPUTED_VALUE"""),"子彈石礫")</f>
        <v>子彈石礫</v>
      </c>
      <c r="C231" s="1" t="str">
        <f>IFERROR(__xludf.DUMMYFUNCTION("""COMPUTED_VALUE"""),"近年未見")</f>
        <v>近年未見</v>
      </c>
      <c r="D231" s="1" t="str">
        <f>IFERROR(__xludf.DUMMYFUNCTION("""COMPUTED_VALUE"""),"不收錄")</f>
        <v>不收錄</v>
      </c>
      <c r="E231" s="1" t="str">
        <f>IFERROR(__xludf.DUMMYFUNCTION("""COMPUTED_VALUE"""),"不收錄")</f>
        <v>不收錄</v>
      </c>
      <c r="F231" s="1" t="str">
        <f>IFERROR(__xludf.DUMMYFUNCTION("""COMPUTED_VALUE"""),"8")</f>
        <v>8</v>
      </c>
      <c r="G231" s="1"/>
      <c r="H231" s="1" t="str">
        <f>IFERROR(__xludf.DUMMYFUNCTION("""COMPUTED_VALUE"""),"8")</f>
        <v>8</v>
      </c>
    </row>
    <row r="232">
      <c r="A232" s="1" t="str">
        <f>IFERROR(__xludf.DUMMYFUNCTION("""COMPUTED_VALUE"""),"雙-61")</f>
        <v>雙-61</v>
      </c>
      <c r="B232" s="1" t="str">
        <f>IFERROR(__xludf.DUMMYFUNCTION("""COMPUTED_VALUE"""),"白花細葉紫珠")</f>
        <v>白花細葉紫珠</v>
      </c>
      <c r="C232" s="1" t="str">
        <f>IFERROR(__xludf.DUMMYFUNCTION("""COMPUTED_VALUE"""),"現存")</f>
        <v>現存</v>
      </c>
      <c r="D232" s="1" t="str">
        <f>IFERROR(__xludf.DUMMYFUNCTION("""COMPUTED_VALUE"""),"近年未見")</f>
        <v>近年未見</v>
      </c>
      <c r="E232" s="1" t="str">
        <f>IFERROR(__xludf.DUMMYFUNCTION("""COMPUTED_VALUE"""),"近年未見")</f>
        <v>近年未見</v>
      </c>
      <c r="F232" s="1" t="str">
        <f>IFERROR(__xludf.DUMMYFUNCTION("""COMPUTED_VALUE"""),"9")</f>
        <v>9</v>
      </c>
      <c r="G232" s="1"/>
      <c r="H232" s="1" t="str">
        <f>IFERROR(__xludf.DUMMYFUNCTION("""COMPUTED_VALUE"""),"9")</f>
        <v>9</v>
      </c>
    </row>
    <row r="233">
      <c r="A233" s="1" t="str">
        <f>IFERROR(__xludf.DUMMYFUNCTION("""COMPUTED_VALUE"""),"雙-62")</f>
        <v>雙-62</v>
      </c>
      <c r="B233" s="1" t="str">
        <f>IFERROR(__xludf.DUMMYFUNCTION("""COMPUTED_VALUE"""),"翼莖闊苞菊")</f>
        <v>翼莖闊苞菊</v>
      </c>
      <c r="C233" s="1" t="str">
        <f>IFERROR(__xludf.DUMMYFUNCTION("""COMPUTED_VALUE"""),"現存")</f>
        <v>現存</v>
      </c>
      <c r="D233" s="1" t="str">
        <f>IFERROR(__xludf.DUMMYFUNCTION("""COMPUTED_VALUE"""),"近年未見")</f>
        <v>近年未見</v>
      </c>
      <c r="E233" s="1" t="str">
        <f>IFERROR(__xludf.DUMMYFUNCTION("""COMPUTED_VALUE"""),"近年未見")</f>
        <v>近年未見</v>
      </c>
      <c r="F233" s="1" t="str">
        <f>IFERROR(__xludf.DUMMYFUNCTION("""COMPUTED_VALUE"""),"9")</f>
        <v>9</v>
      </c>
      <c r="G233" s="1"/>
      <c r="H233" s="1" t="str">
        <f>IFERROR(__xludf.DUMMYFUNCTION("""COMPUTED_VALUE"""),"9")</f>
        <v>9</v>
      </c>
    </row>
    <row r="234">
      <c r="A234" s="1" t="str">
        <f>IFERROR(__xludf.DUMMYFUNCTION("""COMPUTED_VALUE"""),"雙-65")</f>
        <v>雙-65</v>
      </c>
      <c r="B234" s="1" t="str">
        <f>IFERROR(__xludf.DUMMYFUNCTION("""COMPUTED_VALUE"""),"毛木耳")</f>
        <v>毛木耳</v>
      </c>
      <c r="C234" s="1" t="str">
        <f>IFERROR(__xludf.DUMMYFUNCTION("""COMPUTED_VALUE"""),"現存")</f>
        <v>現存</v>
      </c>
      <c r="D234" s="1" t="str">
        <f>IFERROR(__xludf.DUMMYFUNCTION("""COMPUTED_VALUE"""),"不收錄")</f>
        <v>不收錄</v>
      </c>
      <c r="E234" s="1" t="str">
        <f>IFERROR(__xludf.DUMMYFUNCTION("""COMPUTED_VALUE"""),"不收錄")</f>
        <v>不收錄</v>
      </c>
      <c r="F234" s="1" t="str">
        <f>IFERROR(__xludf.DUMMYFUNCTION("""COMPUTED_VALUE"""),"10")</f>
        <v>10</v>
      </c>
      <c r="G234" s="1"/>
      <c r="H234" s="1" t="str">
        <f>IFERROR(__xludf.DUMMYFUNCTION("""COMPUTED_VALUE"""),"10")</f>
        <v>10</v>
      </c>
    </row>
    <row r="235">
      <c r="A235" s="1" t="str">
        <f>IFERROR(__xludf.DUMMYFUNCTION("""COMPUTED_VALUE"""),"野-52")</f>
        <v>野-52</v>
      </c>
      <c r="B235" s="1" t="str">
        <f>IFERROR(__xludf.DUMMYFUNCTION("""COMPUTED_VALUE"""),"細枝水合歡")</f>
        <v>細枝水合歡</v>
      </c>
      <c r="C235" s="1"/>
      <c r="D235" s="1" t="str">
        <f>IFERROR(__xludf.DUMMYFUNCTION("""COMPUTED_VALUE"""),"現存")</f>
        <v>現存</v>
      </c>
      <c r="E235" s="1" t="str">
        <f>IFERROR(__xludf.DUMMYFUNCTION("""COMPUTED_VALUE"""),"現存")</f>
        <v>現存</v>
      </c>
      <c r="F235" s="1">
        <f>IFERROR(__xludf.DUMMYFUNCTION("""COMPUTED_VALUE"""),9.0)</f>
        <v>9</v>
      </c>
      <c r="G235" s="1"/>
      <c r="H235" s="1">
        <f>IFERROR(__xludf.DUMMYFUNCTION("""COMPUTED_VALUE"""),9.0)</f>
        <v>9</v>
      </c>
    </row>
    <row r="236">
      <c r="A236" s="1" t="str">
        <f>IFERROR(__xludf.DUMMYFUNCTION("""COMPUTED_VALUE"""),"茜-54")</f>
        <v>茜-54</v>
      </c>
      <c r="B236" s="1" t="str">
        <f>IFERROR(__xludf.DUMMYFUNCTION("""COMPUTED_VALUE"""),"掌葉萼龍藤")</f>
        <v>掌葉萼龍藤</v>
      </c>
      <c r="C236" s="1"/>
      <c r="D236" s="1"/>
      <c r="E236" s="1"/>
      <c r="F236" s="1"/>
      <c r="G236" s="1" t="str">
        <f>IFERROR(__xludf.DUMMYFUNCTION("""COMPUTED_VALUE"""),"9,10")</f>
        <v>9,10</v>
      </c>
      <c r="H236" s="1"/>
    </row>
    <row r="237">
      <c r="A237" s="1" t="str">
        <f>IFERROR(__xludf.DUMMYFUNCTION("""COMPUTED_VALUE"""),"澳-73")</f>
        <v>澳-73</v>
      </c>
      <c r="B237" s="1" t="str">
        <f>IFERROR(__xludf.DUMMYFUNCTION("""COMPUTED_VALUE"""),"菊花木")</f>
        <v>菊花木</v>
      </c>
      <c r="C237" s="1"/>
      <c r="D237" s="1"/>
      <c r="E237" s="1"/>
      <c r="F237" s="1"/>
      <c r="G237" s="1">
        <f>IFERROR(__xludf.DUMMYFUNCTION("""COMPUTED_VALUE"""),10.0)</f>
        <v>10</v>
      </c>
      <c r="H237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9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8" t="s">
        <v>108</v>
      </c>
    </row>
    <row r="16">
      <c r="A16" s="4" t="s">
        <v>109</v>
      </c>
      <c r="B16" s="4" t="s">
        <v>110</v>
      </c>
      <c r="C16" s="4" t="s">
        <v>39</v>
      </c>
      <c r="D16" s="6"/>
      <c r="E16" s="3" t="str">
        <f t="shared" si="1"/>
        <v>現存</v>
      </c>
      <c r="F16" s="3" t="s">
        <v>111</v>
      </c>
      <c r="G16" s="6"/>
      <c r="H16" s="3" t="str">
        <f t="shared" si="2"/>
        <v>2,3,6,7,10</v>
      </c>
      <c r="I16" s="3" t="s">
        <v>112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113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114</v>
      </c>
      <c r="B17" s="4" t="s">
        <v>115</v>
      </c>
      <c r="C17" s="4" t="s">
        <v>39</v>
      </c>
      <c r="D17" s="6"/>
      <c r="E17" s="3" t="str">
        <f t="shared" si="1"/>
        <v>現存</v>
      </c>
      <c r="F17" s="3" t="s">
        <v>116</v>
      </c>
      <c r="G17" s="6"/>
      <c r="H17" s="3" t="str">
        <f t="shared" si="2"/>
        <v>3,4</v>
      </c>
      <c r="I17" s="3" t="s">
        <v>117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118</v>
      </c>
      <c r="O17" s="3"/>
      <c r="P17" s="4" t="s">
        <v>45</v>
      </c>
      <c r="Q17" s="3"/>
      <c r="R17" s="3"/>
      <c r="S17" s="6"/>
      <c r="T17" s="6"/>
      <c r="U17" s="8" t="s">
        <v>119</v>
      </c>
    </row>
    <row r="18">
      <c r="A18" s="4" t="s">
        <v>120</v>
      </c>
      <c r="B18" s="4" t="s">
        <v>121</v>
      </c>
      <c r="C18" s="4" t="s">
        <v>39</v>
      </c>
      <c r="D18" s="6"/>
      <c r="E18" s="3" t="str">
        <f t="shared" si="1"/>
        <v>現存</v>
      </c>
      <c r="F18" s="3" t="s">
        <v>122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123</v>
      </c>
      <c r="B19" s="4" t="s">
        <v>124</v>
      </c>
      <c r="C19" s="4" t="s">
        <v>39</v>
      </c>
      <c r="D19" s="6"/>
      <c r="E19" s="3" t="str">
        <f t="shared" si="1"/>
        <v>現存</v>
      </c>
      <c r="F19" s="3" t="s">
        <v>116</v>
      </c>
      <c r="G19" s="6"/>
      <c r="H19" s="3" t="str">
        <f t="shared" si="2"/>
        <v>3,4</v>
      </c>
      <c r="I19" s="3" t="s">
        <v>83</v>
      </c>
      <c r="J19" s="3" t="s">
        <v>125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126</v>
      </c>
    </row>
    <row r="20">
      <c r="A20" s="4" t="s">
        <v>127</v>
      </c>
      <c r="B20" s="4" t="s">
        <v>128</v>
      </c>
      <c r="C20" s="4" t="s">
        <v>39</v>
      </c>
      <c r="D20" s="6"/>
      <c r="E20" s="3" t="str">
        <f t="shared" si="1"/>
        <v>現存</v>
      </c>
      <c r="F20" s="3" t="s">
        <v>129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130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131</v>
      </c>
      <c r="B21" s="4" t="s">
        <v>132</v>
      </c>
      <c r="C21" s="4" t="s">
        <v>39</v>
      </c>
      <c r="D21" s="6"/>
      <c r="E21" s="3" t="str">
        <f t="shared" si="1"/>
        <v>現存</v>
      </c>
      <c r="F21" s="3" t="s">
        <v>116</v>
      </c>
      <c r="G21" s="6"/>
      <c r="H21" s="3" t="str">
        <f t="shared" si="2"/>
        <v>3,4</v>
      </c>
      <c r="I21" s="3" t="s">
        <v>69</v>
      </c>
      <c r="J21" s="3" t="s">
        <v>125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133</v>
      </c>
      <c r="B22" s="4" t="s">
        <v>134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117</v>
      </c>
      <c r="J22" s="3" t="s">
        <v>135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136</v>
      </c>
      <c r="B23" s="4" t="s">
        <v>137</v>
      </c>
      <c r="C23" s="4" t="s">
        <v>39</v>
      </c>
      <c r="D23" s="6"/>
      <c r="E23" s="3" t="str">
        <f t="shared" si="1"/>
        <v>現存</v>
      </c>
      <c r="F23" s="3" t="s">
        <v>138</v>
      </c>
      <c r="G23" s="6"/>
      <c r="H23" s="3" t="str">
        <f t="shared" si="2"/>
        <v>3,4,5</v>
      </c>
      <c r="I23" s="3" t="s">
        <v>139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140</v>
      </c>
      <c r="B24" s="4" t="s">
        <v>141</v>
      </c>
      <c r="C24" s="4" t="s">
        <v>39</v>
      </c>
      <c r="D24" s="6"/>
      <c r="E24" s="3" t="str">
        <f t="shared" si="1"/>
        <v>現存</v>
      </c>
      <c r="F24" s="3" t="s">
        <v>138</v>
      </c>
      <c r="G24" s="6"/>
      <c r="H24" s="3" t="str">
        <f t="shared" si="2"/>
        <v>3,4,5</v>
      </c>
      <c r="I24" s="3" t="s">
        <v>142</v>
      </c>
      <c r="J24" s="3" t="s">
        <v>125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143</v>
      </c>
      <c r="B25" s="4" t="s">
        <v>144</v>
      </c>
      <c r="C25" s="4" t="s">
        <v>39</v>
      </c>
      <c r="D25" s="6"/>
      <c r="E25" s="3" t="str">
        <f t="shared" si="1"/>
        <v>現存</v>
      </c>
      <c r="F25" s="3" t="s">
        <v>138</v>
      </c>
      <c r="G25" s="6"/>
      <c r="H25" s="3" t="str">
        <f t="shared" si="2"/>
        <v>3,4,5</v>
      </c>
      <c r="I25" s="3" t="s">
        <v>145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146</v>
      </c>
      <c r="B26" s="4" t="s">
        <v>147</v>
      </c>
      <c r="C26" s="4" t="s">
        <v>39</v>
      </c>
      <c r="D26" s="6"/>
      <c r="E26" s="3" t="str">
        <f t="shared" si="1"/>
        <v>現存</v>
      </c>
      <c r="F26" s="3" t="s">
        <v>148</v>
      </c>
      <c r="G26" s="6"/>
      <c r="H26" s="3" t="str">
        <f t="shared" si="2"/>
        <v>4,5</v>
      </c>
      <c r="I26" s="3" t="s">
        <v>149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150</v>
      </c>
      <c r="B27" s="4" t="s">
        <v>151</v>
      </c>
      <c r="C27" s="4" t="s">
        <v>39</v>
      </c>
      <c r="D27" s="6"/>
      <c r="E27" s="3" t="str">
        <f t="shared" si="1"/>
        <v>現存</v>
      </c>
      <c r="F27" s="3" t="s">
        <v>152</v>
      </c>
      <c r="G27" s="6"/>
      <c r="H27" s="3" t="str">
        <f t="shared" si="2"/>
        <v>4,11</v>
      </c>
      <c r="I27" s="3" t="s">
        <v>142</v>
      </c>
      <c r="J27" s="3" t="s">
        <v>125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8" t="s">
        <v>153</v>
      </c>
    </row>
    <row r="28" ht="15.75" customHeight="1">
      <c r="A28" s="4" t="s">
        <v>154</v>
      </c>
      <c r="B28" s="4" t="s">
        <v>155</v>
      </c>
      <c r="C28" s="4" t="s">
        <v>39</v>
      </c>
      <c r="D28" s="6"/>
      <c r="E28" s="3" t="str">
        <f t="shared" si="1"/>
        <v>現存</v>
      </c>
      <c r="F28" s="3" t="s">
        <v>156</v>
      </c>
      <c r="G28" s="6"/>
      <c r="H28" s="3" t="str">
        <f t="shared" si="2"/>
        <v>4</v>
      </c>
      <c r="I28" s="3" t="s">
        <v>83</v>
      </c>
      <c r="J28" s="3" t="s">
        <v>135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8" t="s">
        <v>157</v>
      </c>
    </row>
    <row r="29" ht="15.75" customHeight="1">
      <c r="A29" s="4" t="s">
        <v>158</v>
      </c>
      <c r="B29" s="4" t="s">
        <v>159</v>
      </c>
      <c r="C29" s="4" t="s">
        <v>39</v>
      </c>
      <c r="D29" s="6"/>
      <c r="E29" s="3" t="str">
        <f t="shared" si="1"/>
        <v>現存</v>
      </c>
      <c r="F29" s="3" t="s">
        <v>148</v>
      </c>
      <c r="G29" s="6"/>
      <c r="H29" s="3" t="str">
        <f t="shared" si="2"/>
        <v>4,5</v>
      </c>
      <c r="I29" s="3" t="s">
        <v>160</v>
      </c>
      <c r="J29" s="3" t="s">
        <v>135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161</v>
      </c>
      <c r="B30" s="4" t="s">
        <v>162</v>
      </c>
      <c r="C30" s="4" t="s">
        <v>39</v>
      </c>
      <c r="D30" s="6"/>
      <c r="E30" s="3" t="str">
        <f t="shared" si="1"/>
        <v>現存</v>
      </c>
      <c r="F30" s="3" t="s">
        <v>163</v>
      </c>
      <c r="G30" s="6"/>
      <c r="H30" s="3" t="str">
        <f t="shared" si="2"/>
        <v>4,5,8</v>
      </c>
      <c r="I30" s="3" t="s">
        <v>145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8" t="s">
        <v>164</v>
      </c>
    </row>
    <row r="31" ht="15.75" customHeight="1">
      <c r="A31" s="4" t="s">
        <v>165</v>
      </c>
      <c r="B31" s="4" t="s">
        <v>166</v>
      </c>
      <c r="C31" s="4" t="s">
        <v>39</v>
      </c>
      <c r="D31" s="6"/>
      <c r="E31" s="3" t="str">
        <f t="shared" si="1"/>
        <v>現存</v>
      </c>
      <c r="F31" s="3" t="s">
        <v>167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168</v>
      </c>
      <c r="B32" s="4" t="s">
        <v>169</v>
      </c>
      <c r="C32" s="4" t="s">
        <v>39</v>
      </c>
      <c r="D32" s="8" t="s">
        <v>170</v>
      </c>
      <c r="E32" s="3" t="str">
        <f t="shared" si="1"/>
        <v>近年未見</v>
      </c>
      <c r="F32" s="3" t="s">
        <v>171</v>
      </c>
      <c r="G32" s="6"/>
      <c r="H32" s="3" t="str">
        <f t="shared" si="2"/>
        <v>5,6</v>
      </c>
      <c r="I32" s="3" t="s">
        <v>172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173</v>
      </c>
      <c r="B33" s="4" t="s">
        <v>174</v>
      </c>
      <c r="C33" s="4" t="s">
        <v>39</v>
      </c>
      <c r="D33" s="6"/>
      <c r="E33" s="3" t="str">
        <f t="shared" si="1"/>
        <v>現存</v>
      </c>
      <c r="F33" s="3" t="s">
        <v>175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8" t="s">
        <v>176</v>
      </c>
    </row>
    <row r="34" ht="15.75" customHeight="1">
      <c r="A34" s="4" t="s">
        <v>177</v>
      </c>
      <c r="B34" s="4" t="s">
        <v>178</v>
      </c>
      <c r="C34" s="4" t="s">
        <v>39</v>
      </c>
      <c r="D34" s="6"/>
      <c r="E34" s="3" t="str">
        <f t="shared" si="1"/>
        <v>現存</v>
      </c>
      <c r="F34" s="3" t="s">
        <v>179</v>
      </c>
      <c r="G34" s="6"/>
      <c r="H34" s="3" t="str">
        <f t="shared" si="2"/>
        <v>8</v>
      </c>
      <c r="I34" s="3" t="s">
        <v>180</v>
      </c>
      <c r="J34" s="3" t="s">
        <v>181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182</v>
      </c>
      <c r="B35" s="4" t="s">
        <v>183</v>
      </c>
      <c r="C35" s="4" t="s">
        <v>39</v>
      </c>
      <c r="D35" s="6"/>
      <c r="E35" s="3" t="str">
        <f t="shared" si="1"/>
        <v>現存</v>
      </c>
      <c r="F35" s="3" t="s">
        <v>184</v>
      </c>
      <c r="G35" s="6"/>
      <c r="H35" s="3" t="str">
        <f t="shared" si="2"/>
        <v>9,12</v>
      </c>
      <c r="I35" s="3" t="s">
        <v>185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186</v>
      </c>
      <c r="B36" s="4" t="s">
        <v>187</v>
      </c>
      <c r="C36" s="4" t="s">
        <v>39</v>
      </c>
      <c r="D36" s="6"/>
      <c r="E36" s="3" t="str">
        <f t="shared" si="1"/>
        <v>現存</v>
      </c>
      <c r="F36" s="3" t="s">
        <v>188</v>
      </c>
      <c r="G36" s="6"/>
      <c r="H36" s="3" t="str">
        <f t="shared" si="2"/>
        <v>10</v>
      </c>
      <c r="I36" s="3" t="s">
        <v>189</v>
      </c>
      <c r="J36" s="3" t="s">
        <v>181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190</v>
      </c>
      <c r="B37" s="4" t="s">
        <v>191</v>
      </c>
      <c r="C37" s="4" t="s">
        <v>39</v>
      </c>
      <c r="D37" s="6"/>
      <c r="E37" s="3" t="str">
        <f t="shared" si="1"/>
        <v>現存</v>
      </c>
      <c r="F37" s="3" t="s">
        <v>192</v>
      </c>
      <c r="G37" s="6"/>
      <c r="H37" s="3" t="str">
        <f t="shared" si="2"/>
        <v>1,11,12</v>
      </c>
      <c r="I37" s="3" t="s">
        <v>49</v>
      </c>
      <c r="J37" s="3" t="s">
        <v>193</v>
      </c>
      <c r="K37" s="3">
        <v>6.0</v>
      </c>
      <c r="L37" s="3">
        <v>1.0</v>
      </c>
      <c r="M37" s="4" t="s">
        <v>43</v>
      </c>
      <c r="N37" s="3" t="s">
        <v>156</v>
      </c>
      <c r="O37" s="3"/>
      <c r="P37" s="4" t="s">
        <v>194</v>
      </c>
      <c r="Q37" s="3"/>
      <c r="R37" s="3"/>
      <c r="S37" s="6"/>
      <c r="T37" s="6"/>
      <c r="U37" s="8" t="s">
        <v>195</v>
      </c>
    </row>
    <row r="38" ht="15.75" customHeight="1">
      <c r="A38" s="4" t="s">
        <v>196</v>
      </c>
      <c r="B38" s="4" t="s">
        <v>197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198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156</v>
      </c>
      <c r="O38" s="3"/>
      <c r="P38" s="4" t="s">
        <v>194</v>
      </c>
      <c r="Q38" s="3"/>
      <c r="R38" s="3"/>
      <c r="S38" s="6"/>
      <c r="T38" s="6"/>
      <c r="U38" s="8" t="s">
        <v>199</v>
      </c>
    </row>
    <row r="39" ht="15.75" customHeight="1">
      <c r="A39" s="4" t="s">
        <v>200</v>
      </c>
      <c r="B39" s="4" t="s">
        <v>201</v>
      </c>
      <c r="C39" s="4" t="s">
        <v>39</v>
      </c>
      <c r="D39" s="6"/>
      <c r="E39" s="3" t="str">
        <f t="shared" si="1"/>
        <v>現存</v>
      </c>
      <c r="F39" s="3" t="s">
        <v>202</v>
      </c>
      <c r="G39" s="6"/>
      <c r="H39" s="3" t="str">
        <f t="shared" si="2"/>
        <v>1,2,3,12</v>
      </c>
      <c r="I39" s="3" t="s">
        <v>117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156</v>
      </c>
      <c r="O39" s="3"/>
      <c r="P39" s="4" t="s">
        <v>194</v>
      </c>
      <c r="Q39" s="3"/>
      <c r="R39" s="3"/>
      <c r="S39" s="6"/>
      <c r="T39" s="6"/>
      <c r="U39" s="6"/>
    </row>
    <row r="40" ht="15.75" customHeight="1">
      <c r="A40" s="4" t="s">
        <v>203</v>
      </c>
      <c r="B40" s="4" t="s">
        <v>204</v>
      </c>
      <c r="C40" s="4" t="s">
        <v>39</v>
      </c>
      <c r="D40" s="6"/>
      <c r="E40" s="3" t="str">
        <f t="shared" si="1"/>
        <v>現存</v>
      </c>
      <c r="F40" s="3" t="s">
        <v>202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156</v>
      </c>
      <c r="O40" s="3"/>
      <c r="P40" s="4" t="s">
        <v>194</v>
      </c>
      <c r="Q40" s="3"/>
      <c r="R40" s="3"/>
      <c r="S40" s="6"/>
      <c r="T40" s="6"/>
      <c r="U40" s="6"/>
    </row>
    <row r="41" ht="15.75" customHeight="1">
      <c r="A41" s="4" t="s">
        <v>205</v>
      </c>
      <c r="B41" s="4" t="s">
        <v>206</v>
      </c>
      <c r="C41" s="4" t="s">
        <v>39</v>
      </c>
      <c r="D41" s="6"/>
      <c r="E41" s="3" t="str">
        <f t="shared" si="1"/>
        <v>現存</v>
      </c>
      <c r="F41" s="3" t="s">
        <v>207</v>
      </c>
      <c r="G41" s="6"/>
      <c r="H41" s="3" t="str">
        <f t="shared" si="2"/>
        <v>1,2,3,4</v>
      </c>
      <c r="I41" s="3" t="s">
        <v>142</v>
      </c>
      <c r="J41" s="3" t="s">
        <v>135</v>
      </c>
      <c r="K41" s="3">
        <v>14.0</v>
      </c>
      <c r="L41" s="3">
        <v>1.0</v>
      </c>
      <c r="M41" s="4" t="s">
        <v>43</v>
      </c>
      <c r="N41" s="3" t="s">
        <v>156</v>
      </c>
      <c r="O41" s="3"/>
      <c r="P41" s="4" t="s">
        <v>194</v>
      </c>
      <c r="Q41" s="3"/>
      <c r="R41" s="3"/>
      <c r="S41" s="6"/>
      <c r="T41" s="6"/>
      <c r="U41" s="8" t="s">
        <v>208</v>
      </c>
    </row>
    <row r="42" ht="15.75" customHeight="1">
      <c r="A42" s="4" t="s">
        <v>209</v>
      </c>
      <c r="B42" s="4" t="s">
        <v>210</v>
      </c>
      <c r="C42" s="4" t="s">
        <v>39</v>
      </c>
      <c r="D42" s="6"/>
      <c r="E42" s="3" t="str">
        <f t="shared" si="1"/>
        <v>現存</v>
      </c>
      <c r="F42" s="3" t="s">
        <v>211</v>
      </c>
      <c r="G42" s="6"/>
      <c r="H42" s="3" t="str">
        <f t="shared" si="2"/>
        <v>1,2,9</v>
      </c>
      <c r="I42" s="3" t="s">
        <v>212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156</v>
      </c>
      <c r="O42" s="3"/>
      <c r="P42" s="4" t="s">
        <v>194</v>
      </c>
      <c r="Q42" s="3"/>
      <c r="R42" s="3"/>
      <c r="S42" s="6"/>
      <c r="T42" s="6"/>
      <c r="U42" s="8" t="s">
        <v>213</v>
      </c>
    </row>
    <row r="43" ht="15.75" customHeight="1">
      <c r="A43" s="4" t="s">
        <v>214</v>
      </c>
      <c r="B43" s="4" t="s">
        <v>215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198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156</v>
      </c>
      <c r="O43" s="3"/>
      <c r="P43" s="4" t="s">
        <v>194</v>
      </c>
      <c r="Q43" s="3"/>
      <c r="R43" s="3"/>
      <c r="S43" s="6"/>
      <c r="T43" s="6"/>
      <c r="U43" s="6"/>
    </row>
    <row r="44" ht="15.75" customHeight="1">
      <c r="A44" s="4" t="s">
        <v>216</v>
      </c>
      <c r="B44" s="4" t="s">
        <v>217</v>
      </c>
      <c r="C44" s="4" t="s">
        <v>39</v>
      </c>
      <c r="D44" s="6"/>
      <c r="E44" s="3" t="str">
        <f t="shared" si="1"/>
        <v>現存</v>
      </c>
      <c r="F44" s="3" t="s">
        <v>218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156</v>
      </c>
      <c r="O44" s="3"/>
      <c r="P44" s="4" t="s">
        <v>194</v>
      </c>
      <c r="Q44" s="3"/>
      <c r="R44" s="3"/>
      <c r="S44" s="6"/>
      <c r="T44" s="6"/>
      <c r="U44" s="6"/>
    </row>
    <row r="45" ht="15.75" customHeight="1">
      <c r="A45" s="4" t="s">
        <v>219</v>
      </c>
      <c r="B45" s="4" t="s">
        <v>220</v>
      </c>
      <c r="C45" s="4" t="s">
        <v>39</v>
      </c>
      <c r="D45" s="6"/>
      <c r="E45" s="3" t="str">
        <f t="shared" si="1"/>
        <v>現存</v>
      </c>
      <c r="F45" s="3" t="s">
        <v>221</v>
      </c>
      <c r="G45" s="6"/>
      <c r="H45" s="3" t="str">
        <f t="shared" si="2"/>
        <v>2,3,5</v>
      </c>
      <c r="I45" s="3" t="s">
        <v>145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156</v>
      </c>
      <c r="O45" s="3"/>
      <c r="P45" s="4" t="s">
        <v>194</v>
      </c>
      <c r="Q45" s="3"/>
      <c r="R45" s="3"/>
      <c r="S45" s="6"/>
      <c r="T45" s="6"/>
      <c r="U45" s="6"/>
    </row>
    <row r="46" ht="15.75" customHeight="1">
      <c r="A46" s="4" t="s">
        <v>222</v>
      </c>
      <c r="B46" s="4" t="s">
        <v>223</v>
      </c>
      <c r="C46" s="4" t="s">
        <v>39</v>
      </c>
      <c r="D46" s="6"/>
      <c r="E46" s="3" t="str">
        <f t="shared" si="1"/>
        <v>現存</v>
      </c>
      <c r="F46" s="3" t="s">
        <v>218</v>
      </c>
      <c r="G46" s="6"/>
      <c r="H46" s="3" t="str">
        <f t="shared" si="2"/>
        <v>2,3</v>
      </c>
      <c r="I46" s="3" t="s">
        <v>224</v>
      </c>
      <c r="J46" s="3" t="s">
        <v>181</v>
      </c>
      <c r="K46" s="3">
        <v>2.0</v>
      </c>
      <c r="L46" s="3">
        <v>1.0</v>
      </c>
      <c r="M46" s="4" t="s">
        <v>43</v>
      </c>
      <c r="N46" s="3" t="s">
        <v>156</v>
      </c>
      <c r="O46" s="3"/>
      <c r="P46" s="4" t="s">
        <v>194</v>
      </c>
      <c r="Q46" s="3"/>
      <c r="R46" s="3"/>
      <c r="S46" s="6"/>
      <c r="T46" s="6"/>
      <c r="U46" s="6"/>
    </row>
    <row r="47" ht="15.75" customHeight="1">
      <c r="A47" s="4" t="s">
        <v>225</v>
      </c>
      <c r="B47" s="4" t="s">
        <v>226</v>
      </c>
      <c r="C47" s="4" t="s">
        <v>39</v>
      </c>
      <c r="D47" s="6"/>
      <c r="E47" s="3" t="str">
        <f t="shared" si="1"/>
        <v>現存</v>
      </c>
      <c r="F47" s="3" t="s">
        <v>227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130</v>
      </c>
      <c r="O47" s="3"/>
      <c r="P47" s="4" t="s">
        <v>194</v>
      </c>
      <c r="Q47" s="3"/>
      <c r="R47" s="3"/>
      <c r="S47" s="6"/>
      <c r="T47" s="6"/>
      <c r="U47" s="6"/>
    </row>
    <row r="48" ht="15.75" customHeight="1">
      <c r="A48" s="4" t="s">
        <v>228</v>
      </c>
      <c r="B48" s="4" t="s">
        <v>229</v>
      </c>
      <c r="C48" s="4" t="s">
        <v>39</v>
      </c>
      <c r="D48" s="6"/>
      <c r="E48" s="3" t="str">
        <f t="shared" si="1"/>
        <v>現存</v>
      </c>
      <c r="F48" s="3" t="s">
        <v>230</v>
      </c>
      <c r="G48" s="6"/>
      <c r="H48" s="3" t="str">
        <f t="shared" si="2"/>
        <v>2,3,4,6,9</v>
      </c>
      <c r="I48" s="3" t="s">
        <v>92</v>
      </c>
      <c r="J48" s="3" t="s">
        <v>125</v>
      </c>
      <c r="K48" s="3">
        <v>7.0</v>
      </c>
      <c r="L48" s="3">
        <v>1.0</v>
      </c>
      <c r="M48" s="4" t="s">
        <v>43</v>
      </c>
      <c r="N48" s="3" t="s">
        <v>156</v>
      </c>
      <c r="O48" s="3"/>
      <c r="P48" s="4" t="s">
        <v>194</v>
      </c>
      <c r="Q48" s="3"/>
      <c r="R48" s="3"/>
      <c r="S48" s="6"/>
      <c r="T48" s="6"/>
      <c r="U48" s="8" t="s">
        <v>231</v>
      </c>
    </row>
    <row r="49" ht="15.75" customHeight="1">
      <c r="A49" s="4" t="s">
        <v>232</v>
      </c>
      <c r="B49" s="4" t="s">
        <v>233</v>
      </c>
      <c r="C49" s="4" t="s">
        <v>39</v>
      </c>
      <c r="D49" s="8" t="s">
        <v>170</v>
      </c>
      <c r="E49" s="3" t="str">
        <f t="shared" si="1"/>
        <v>近年未見</v>
      </c>
      <c r="F49" s="3" t="s">
        <v>234</v>
      </c>
      <c r="G49" s="6"/>
      <c r="H49" s="3" t="str">
        <f t="shared" si="2"/>
        <v>2,12</v>
      </c>
      <c r="I49" s="3" t="s">
        <v>235</v>
      </c>
      <c r="J49" s="3" t="s">
        <v>98</v>
      </c>
      <c r="K49" s="3">
        <v>4.0</v>
      </c>
      <c r="L49" s="3">
        <v>1.0</v>
      </c>
      <c r="M49" s="9" t="s">
        <v>236</v>
      </c>
      <c r="N49" s="3" t="s">
        <v>156</v>
      </c>
      <c r="O49" s="3"/>
      <c r="P49" s="4" t="s">
        <v>194</v>
      </c>
      <c r="Q49" s="3"/>
      <c r="R49" s="3"/>
      <c r="S49" s="6"/>
      <c r="T49" s="6"/>
      <c r="U49" s="8" t="s">
        <v>237</v>
      </c>
    </row>
    <row r="50" ht="15.75" customHeight="1">
      <c r="A50" s="4" t="s">
        <v>238</v>
      </c>
      <c r="B50" s="4" t="s">
        <v>239</v>
      </c>
      <c r="C50" s="4" t="s">
        <v>39</v>
      </c>
      <c r="D50" s="6"/>
      <c r="E50" s="3" t="str">
        <f t="shared" si="1"/>
        <v>現存</v>
      </c>
      <c r="F50" s="3" t="s">
        <v>240</v>
      </c>
      <c r="G50" s="6"/>
      <c r="H50" s="3" t="str">
        <f t="shared" si="2"/>
        <v>3,4,7</v>
      </c>
      <c r="I50" s="3" t="s">
        <v>139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156</v>
      </c>
      <c r="O50" s="3"/>
      <c r="P50" s="4" t="s">
        <v>194</v>
      </c>
      <c r="Q50" s="3"/>
      <c r="R50" s="3"/>
      <c r="S50" s="6"/>
      <c r="T50" s="6"/>
      <c r="U50" s="8" t="s">
        <v>241</v>
      </c>
    </row>
    <row r="51" ht="15.75" customHeight="1">
      <c r="A51" s="4" t="s">
        <v>242</v>
      </c>
      <c r="B51" s="4" t="s">
        <v>243</v>
      </c>
      <c r="C51" s="4" t="s">
        <v>39</v>
      </c>
      <c r="D51" s="6"/>
      <c r="E51" s="3" t="str">
        <f t="shared" si="1"/>
        <v>現存</v>
      </c>
      <c r="F51" s="3" t="s">
        <v>116</v>
      </c>
      <c r="G51" s="6"/>
      <c r="H51" s="3" t="str">
        <f t="shared" si="2"/>
        <v>3,4</v>
      </c>
      <c r="I51" s="3" t="s">
        <v>117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156</v>
      </c>
      <c r="O51" s="3"/>
      <c r="P51" s="4" t="s">
        <v>194</v>
      </c>
      <c r="Q51" s="3"/>
      <c r="R51" s="3"/>
      <c r="S51" s="6"/>
      <c r="T51" s="6"/>
      <c r="U51" s="8" t="s">
        <v>244</v>
      </c>
    </row>
    <row r="52" ht="15.75" customHeight="1">
      <c r="A52" s="4" t="s">
        <v>245</v>
      </c>
      <c r="B52" s="4" t="s">
        <v>246</v>
      </c>
      <c r="C52" s="4" t="s">
        <v>39</v>
      </c>
      <c r="D52" s="6"/>
      <c r="E52" s="3" t="str">
        <f t="shared" si="1"/>
        <v>現存</v>
      </c>
      <c r="F52" s="3" t="s">
        <v>247</v>
      </c>
      <c r="G52" s="6"/>
      <c r="H52" s="3" t="str">
        <f t="shared" si="2"/>
        <v>3,9</v>
      </c>
      <c r="I52" s="3" t="s">
        <v>248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156</v>
      </c>
      <c r="O52" s="3"/>
      <c r="P52" s="4" t="s">
        <v>194</v>
      </c>
      <c r="Q52" s="3"/>
      <c r="R52" s="3"/>
      <c r="S52" s="6"/>
      <c r="T52" s="6"/>
      <c r="U52" s="6"/>
    </row>
    <row r="53" ht="15.75" customHeight="1">
      <c r="A53" s="4" t="s">
        <v>249</v>
      </c>
      <c r="B53" s="4" t="s">
        <v>250</v>
      </c>
      <c r="C53" s="4" t="s">
        <v>39</v>
      </c>
      <c r="D53" s="6"/>
      <c r="E53" s="3" t="str">
        <f t="shared" si="1"/>
        <v>現存</v>
      </c>
      <c r="F53" s="3" t="s">
        <v>251</v>
      </c>
      <c r="G53" s="6"/>
      <c r="H53" s="3" t="str">
        <f t="shared" si="2"/>
        <v>3,9,10,12</v>
      </c>
      <c r="I53" s="3" t="s">
        <v>252</v>
      </c>
      <c r="J53" s="3" t="s">
        <v>253</v>
      </c>
      <c r="K53" s="3">
        <v>6.0</v>
      </c>
      <c r="L53" s="3">
        <v>1.0</v>
      </c>
      <c r="M53" s="4" t="s">
        <v>43</v>
      </c>
      <c r="N53" s="3" t="s">
        <v>156</v>
      </c>
      <c r="O53" s="3"/>
      <c r="P53" s="4" t="s">
        <v>194</v>
      </c>
      <c r="Q53" s="3"/>
      <c r="R53" s="3"/>
      <c r="S53" s="6"/>
      <c r="T53" s="6"/>
      <c r="U53" s="6"/>
    </row>
    <row r="54" ht="15.75" customHeight="1">
      <c r="A54" s="4" t="s">
        <v>254</v>
      </c>
      <c r="B54" s="4" t="s">
        <v>255</v>
      </c>
      <c r="C54" s="4" t="s">
        <v>39</v>
      </c>
      <c r="D54" s="6"/>
      <c r="E54" s="3" t="str">
        <f t="shared" si="1"/>
        <v>現存</v>
      </c>
      <c r="F54" s="3" t="s">
        <v>256</v>
      </c>
      <c r="G54" s="6"/>
      <c r="H54" s="3" t="str">
        <f t="shared" si="2"/>
        <v>3,4,5,8</v>
      </c>
      <c r="I54" s="3" t="s">
        <v>257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156</v>
      </c>
      <c r="O54" s="3"/>
      <c r="P54" s="4" t="s">
        <v>194</v>
      </c>
      <c r="Q54" s="3"/>
      <c r="R54" s="3"/>
      <c r="S54" s="6"/>
      <c r="T54" s="6"/>
      <c r="U54" s="6"/>
    </row>
    <row r="55" ht="15.75" customHeight="1">
      <c r="A55" s="4" t="s">
        <v>258</v>
      </c>
      <c r="B55" s="4" t="s">
        <v>259</v>
      </c>
      <c r="C55" s="4" t="s">
        <v>39</v>
      </c>
      <c r="D55" s="6"/>
      <c r="E55" s="3" t="str">
        <f t="shared" si="1"/>
        <v>現存</v>
      </c>
      <c r="F55" s="3" t="s">
        <v>116</v>
      </c>
      <c r="G55" s="6"/>
      <c r="H55" s="3" t="str">
        <f t="shared" si="2"/>
        <v>3,4</v>
      </c>
      <c r="I55" s="3" t="s">
        <v>142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260</v>
      </c>
      <c r="O55" s="3"/>
      <c r="P55" s="4" t="s">
        <v>194</v>
      </c>
      <c r="Q55" s="3"/>
      <c r="R55" s="3"/>
      <c r="S55" s="6"/>
      <c r="T55" s="6"/>
      <c r="U55" s="6"/>
    </row>
    <row r="56" ht="15.75" customHeight="1">
      <c r="A56" s="4" t="s">
        <v>261</v>
      </c>
      <c r="B56" s="9" t="s">
        <v>262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263</v>
      </c>
      <c r="J56" s="3" t="s">
        <v>181</v>
      </c>
      <c r="K56" s="3">
        <v>1.0</v>
      </c>
      <c r="L56" s="3">
        <v>1.0</v>
      </c>
      <c r="M56" s="4" t="s">
        <v>43</v>
      </c>
      <c r="N56" s="3" t="s">
        <v>156</v>
      </c>
      <c r="O56" s="3"/>
      <c r="P56" s="4" t="s">
        <v>194</v>
      </c>
      <c r="Q56" s="3"/>
      <c r="R56" s="3"/>
      <c r="S56" s="6"/>
      <c r="T56" s="6"/>
      <c r="U56" s="6"/>
    </row>
    <row r="57" ht="15.75" customHeight="1">
      <c r="A57" s="4" t="s">
        <v>264</v>
      </c>
      <c r="B57" s="4" t="s">
        <v>265</v>
      </c>
      <c r="C57" s="4" t="s">
        <v>39</v>
      </c>
      <c r="D57" s="6"/>
      <c r="E57" s="3" t="str">
        <f t="shared" si="1"/>
        <v>現存</v>
      </c>
      <c r="F57" s="3" t="s">
        <v>266</v>
      </c>
      <c r="G57" s="6"/>
      <c r="H57" s="3" t="str">
        <f t="shared" si="2"/>
        <v>3,10,11,12</v>
      </c>
      <c r="I57" s="3" t="s">
        <v>267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156</v>
      </c>
      <c r="O57" s="3"/>
      <c r="P57" s="4" t="s">
        <v>194</v>
      </c>
      <c r="Q57" s="3"/>
      <c r="R57" s="3"/>
      <c r="S57" s="6"/>
      <c r="T57" s="6"/>
      <c r="U57" s="6"/>
    </row>
    <row r="58" ht="15.75" customHeight="1">
      <c r="A58" s="4" t="s">
        <v>268</v>
      </c>
      <c r="B58" s="4" t="s">
        <v>269</v>
      </c>
      <c r="C58" s="4" t="s">
        <v>39</v>
      </c>
      <c r="D58" s="6"/>
      <c r="E58" s="3" t="str">
        <f t="shared" si="1"/>
        <v>現存</v>
      </c>
      <c r="F58" s="3" t="s">
        <v>270</v>
      </c>
      <c r="G58" s="6"/>
      <c r="H58" s="3" t="str">
        <f t="shared" si="2"/>
        <v>4,5,6,7,8,9,10</v>
      </c>
      <c r="I58" s="3" t="s">
        <v>271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130</v>
      </c>
      <c r="O58" s="3"/>
      <c r="P58" s="4" t="s">
        <v>194</v>
      </c>
      <c r="Q58" s="3"/>
      <c r="R58" s="3"/>
      <c r="S58" s="6"/>
      <c r="T58" s="6"/>
      <c r="U58" s="6"/>
    </row>
    <row r="59" ht="15.75" customHeight="1">
      <c r="A59" s="4" t="s">
        <v>272</v>
      </c>
      <c r="B59" s="4" t="s">
        <v>273</v>
      </c>
      <c r="C59" s="4" t="s">
        <v>39</v>
      </c>
      <c r="D59" s="6"/>
      <c r="E59" s="3" t="str">
        <f t="shared" si="1"/>
        <v>現存</v>
      </c>
      <c r="F59" s="3" t="s">
        <v>148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156</v>
      </c>
      <c r="O59" s="3"/>
      <c r="P59" s="4" t="s">
        <v>194</v>
      </c>
      <c r="Q59" s="3"/>
      <c r="R59" s="3"/>
      <c r="S59" s="6"/>
      <c r="T59" s="6"/>
      <c r="U59" s="6"/>
    </row>
    <row r="60" ht="15.75" customHeight="1">
      <c r="A60" s="4" t="s">
        <v>274</v>
      </c>
      <c r="B60" s="4" t="s">
        <v>275</v>
      </c>
      <c r="C60" s="4" t="s">
        <v>39</v>
      </c>
      <c r="D60" s="6"/>
      <c r="E60" s="3" t="str">
        <f t="shared" si="1"/>
        <v>現存</v>
      </c>
      <c r="F60" s="3" t="s">
        <v>148</v>
      </c>
      <c r="G60" s="6"/>
      <c r="H60" s="3" t="str">
        <f t="shared" si="2"/>
        <v>4,5</v>
      </c>
      <c r="I60" s="3" t="s">
        <v>276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156</v>
      </c>
      <c r="O60" s="3"/>
      <c r="P60" s="4" t="s">
        <v>194</v>
      </c>
      <c r="Q60" s="3"/>
      <c r="R60" s="3"/>
      <c r="S60" s="6"/>
      <c r="T60" s="6"/>
      <c r="U60" s="8" t="s">
        <v>277</v>
      </c>
    </row>
    <row r="61" ht="15.75" customHeight="1">
      <c r="A61" s="4" t="s">
        <v>278</v>
      </c>
      <c r="B61" s="4" t="s">
        <v>279</v>
      </c>
      <c r="C61" s="4" t="s">
        <v>39</v>
      </c>
      <c r="D61" s="8" t="s">
        <v>170</v>
      </c>
      <c r="E61" s="3" t="str">
        <f t="shared" si="1"/>
        <v>近年未見</v>
      </c>
      <c r="F61" s="3" t="s">
        <v>156</v>
      </c>
      <c r="G61" s="6"/>
      <c r="H61" s="3" t="str">
        <f t="shared" si="2"/>
        <v>4</v>
      </c>
      <c r="I61" s="3" t="s">
        <v>280</v>
      </c>
      <c r="J61" s="3" t="s">
        <v>181</v>
      </c>
      <c r="K61" s="3">
        <v>1.0</v>
      </c>
      <c r="L61" s="3">
        <v>1.0</v>
      </c>
      <c r="M61" s="9" t="s">
        <v>236</v>
      </c>
      <c r="N61" s="3" t="s">
        <v>156</v>
      </c>
      <c r="O61" s="3"/>
      <c r="P61" s="4" t="s">
        <v>194</v>
      </c>
      <c r="Q61" s="3"/>
      <c r="R61" s="3"/>
      <c r="S61" s="6"/>
      <c r="T61" s="6"/>
      <c r="U61" s="6"/>
    </row>
    <row r="62" ht="15.75" customHeight="1">
      <c r="A62" s="4" t="s">
        <v>281</v>
      </c>
      <c r="B62" s="4" t="s">
        <v>282</v>
      </c>
      <c r="C62" s="4" t="s">
        <v>39</v>
      </c>
      <c r="D62" s="6"/>
      <c r="E62" s="3" t="str">
        <f t="shared" si="1"/>
        <v>現存</v>
      </c>
      <c r="F62" s="3" t="s">
        <v>283</v>
      </c>
      <c r="G62" s="6"/>
      <c r="H62" s="3" t="str">
        <f t="shared" si="2"/>
        <v>5,6,8</v>
      </c>
      <c r="I62" s="3" t="s">
        <v>271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156</v>
      </c>
      <c r="O62" s="3"/>
      <c r="P62" s="4" t="s">
        <v>194</v>
      </c>
      <c r="Q62" s="3"/>
      <c r="R62" s="3"/>
      <c r="S62" s="6"/>
      <c r="T62" s="6"/>
      <c r="U62" s="8" t="s">
        <v>284</v>
      </c>
    </row>
    <row r="63" ht="15.75" customHeight="1">
      <c r="A63" s="4" t="s">
        <v>285</v>
      </c>
      <c r="B63" s="4" t="s">
        <v>286</v>
      </c>
      <c r="C63" s="4" t="s">
        <v>39</v>
      </c>
      <c r="D63" s="6"/>
      <c r="E63" s="3" t="str">
        <f t="shared" si="1"/>
        <v>現存</v>
      </c>
      <c r="F63" s="3" t="s">
        <v>287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156</v>
      </c>
      <c r="O63" s="3"/>
      <c r="P63" s="4" t="s">
        <v>194</v>
      </c>
      <c r="Q63" s="3"/>
      <c r="R63" s="3"/>
      <c r="S63" s="6"/>
      <c r="T63" s="6"/>
      <c r="U63" s="6"/>
    </row>
    <row r="64" ht="15.75" customHeight="1">
      <c r="A64" s="4" t="s">
        <v>288</v>
      </c>
      <c r="B64" s="4" t="s">
        <v>289</v>
      </c>
      <c r="C64" s="4" t="s">
        <v>39</v>
      </c>
      <c r="D64" s="6"/>
      <c r="E64" s="3" t="str">
        <f t="shared" si="1"/>
        <v>現存</v>
      </c>
      <c r="F64" s="3" t="s">
        <v>287</v>
      </c>
      <c r="G64" s="8" t="s">
        <v>290</v>
      </c>
      <c r="H64" s="3" t="str">
        <f t="shared" si="2"/>
        <v>5,6,7,8,9,10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156</v>
      </c>
      <c r="O64" s="3"/>
      <c r="P64" s="4" t="s">
        <v>194</v>
      </c>
      <c r="Q64" s="3"/>
      <c r="R64" s="3"/>
      <c r="S64" s="6"/>
      <c r="T64" s="6"/>
      <c r="U64" s="8" t="s">
        <v>291</v>
      </c>
    </row>
    <row r="65" ht="15.75" customHeight="1">
      <c r="A65" s="4" t="s">
        <v>292</v>
      </c>
      <c r="B65" s="4" t="s">
        <v>293</v>
      </c>
      <c r="C65" s="4" t="s">
        <v>39</v>
      </c>
      <c r="D65" s="6"/>
      <c r="E65" s="3" t="str">
        <f t="shared" si="1"/>
        <v>現存</v>
      </c>
      <c r="F65" s="3" t="s">
        <v>294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156</v>
      </c>
      <c r="O65" s="3"/>
      <c r="P65" s="4" t="s">
        <v>194</v>
      </c>
      <c r="Q65" s="3"/>
      <c r="R65" s="3"/>
      <c r="S65" s="6"/>
      <c r="T65" s="6"/>
      <c r="U65" s="6"/>
    </row>
    <row r="66" ht="15.75" customHeight="1">
      <c r="A66" s="4" t="s">
        <v>295</v>
      </c>
      <c r="B66" s="4" t="s">
        <v>296</v>
      </c>
      <c r="C66" s="4" t="s">
        <v>39</v>
      </c>
      <c r="D66" s="6"/>
      <c r="E66" s="3" t="str">
        <f t="shared" si="1"/>
        <v>現存</v>
      </c>
      <c r="F66" s="3" t="s">
        <v>171</v>
      </c>
      <c r="G66" s="6"/>
      <c r="H66" s="3" t="str">
        <f t="shared" si="2"/>
        <v>5,6</v>
      </c>
      <c r="I66" s="3" t="s">
        <v>160</v>
      </c>
      <c r="J66" s="3" t="s">
        <v>125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194</v>
      </c>
      <c r="Q66" s="3"/>
      <c r="R66" s="3"/>
      <c r="S66" s="6"/>
      <c r="T66" s="6"/>
      <c r="U66" s="6"/>
    </row>
    <row r="67" ht="15.75" customHeight="1">
      <c r="A67" s="4" t="s">
        <v>297</v>
      </c>
      <c r="B67" s="4" t="s">
        <v>298</v>
      </c>
      <c r="C67" s="4" t="s">
        <v>39</v>
      </c>
      <c r="D67" s="6"/>
      <c r="E67" s="3" t="str">
        <f t="shared" si="1"/>
        <v>現存</v>
      </c>
      <c r="F67" s="3" t="s">
        <v>299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156</v>
      </c>
      <c r="O67" s="3"/>
      <c r="P67" s="4" t="s">
        <v>194</v>
      </c>
      <c r="Q67" s="3"/>
      <c r="R67" s="3"/>
      <c r="S67" s="6"/>
      <c r="T67" s="6"/>
      <c r="U67" s="6"/>
    </row>
    <row r="68" ht="15.75" customHeight="1">
      <c r="A68" s="4" t="s">
        <v>300</v>
      </c>
      <c r="B68" s="4" t="s">
        <v>301</v>
      </c>
      <c r="C68" s="4" t="s">
        <v>39</v>
      </c>
      <c r="D68" s="6"/>
      <c r="E68" s="3" t="str">
        <f t="shared" si="1"/>
        <v>現存</v>
      </c>
      <c r="F68" s="3" t="s">
        <v>302</v>
      </c>
      <c r="G68" s="6"/>
      <c r="H68" s="3" t="str">
        <f t="shared" si="2"/>
        <v>5,7,8</v>
      </c>
      <c r="I68" s="3" t="s">
        <v>303</v>
      </c>
      <c r="J68" s="3" t="s">
        <v>135</v>
      </c>
      <c r="K68" s="3">
        <v>10.0</v>
      </c>
      <c r="L68" s="3">
        <v>1.0</v>
      </c>
      <c r="M68" s="4" t="s">
        <v>43</v>
      </c>
      <c r="N68" s="3" t="s">
        <v>156</v>
      </c>
      <c r="O68" s="3"/>
      <c r="P68" s="4" t="s">
        <v>194</v>
      </c>
      <c r="Q68" s="3"/>
      <c r="R68" s="3"/>
      <c r="S68" s="6"/>
      <c r="T68" s="6"/>
      <c r="U68" s="8" t="s">
        <v>304</v>
      </c>
    </row>
    <row r="69" ht="15.75" customHeight="1">
      <c r="A69" s="4" t="s">
        <v>305</v>
      </c>
      <c r="B69" s="4" t="s">
        <v>306</v>
      </c>
      <c r="C69" s="4" t="s">
        <v>39</v>
      </c>
      <c r="D69" s="6"/>
      <c r="E69" s="3" t="str">
        <f t="shared" si="1"/>
        <v>現存</v>
      </c>
      <c r="F69" s="3" t="s">
        <v>307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156</v>
      </c>
      <c r="O69" s="3"/>
      <c r="P69" s="4" t="s">
        <v>194</v>
      </c>
      <c r="Q69" s="3"/>
      <c r="R69" s="3"/>
      <c r="S69" s="6"/>
      <c r="T69" s="6"/>
      <c r="U69" s="6"/>
    </row>
    <row r="70" ht="15.75" customHeight="1">
      <c r="A70" s="4" t="s">
        <v>308</v>
      </c>
      <c r="B70" s="4" t="s">
        <v>309</v>
      </c>
      <c r="C70" s="4" t="s">
        <v>39</v>
      </c>
      <c r="D70" s="8" t="s">
        <v>170</v>
      </c>
      <c r="E70" s="3" t="str">
        <f t="shared" si="1"/>
        <v>近年未見</v>
      </c>
      <c r="F70" s="3" t="s">
        <v>310</v>
      </c>
      <c r="G70" s="6"/>
      <c r="H70" s="3" t="str">
        <f t="shared" si="2"/>
        <v>6</v>
      </c>
      <c r="I70" s="3" t="s">
        <v>311</v>
      </c>
      <c r="J70" s="3" t="s">
        <v>181</v>
      </c>
      <c r="K70" s="3">
        <v>1.0</v>
      </c>
      <c r="L70" s="3">
        <v>1.0</v>
      </c>
      <c r="M70" s="9" t="s">
        <v>236</v>
      </c>
      <c r="N70" s="3" t="s">
        <v>156</v>
      </c>
      <c r="O70" s="3"/>
      <c r="P70" s="4" t="s">
        <v>194</v>
      </c>
      <c r="Q70" s="3"/>
      <c r="R70" s="3"/>
      <c r="S70" s="6"/>
      <c r="T70" s="6"/>
      <c r="U70" s="6"/>
    </row>
    <row r="71" ht="15.75" customHeight="1">
      <c r="A71" s="4" t="s">
        <v>312</v>
      </c>
      <c r="B71" s="4" t="s">
        <v>313</v>
      </c>
      <c r="C71" s="4" t="s">
        <v>39</v>
      </c>
      <c r="D71" s="6"/>
      <c r="E71" s="3" t="str">
        <f t="shared" si="1"/>
        <v>現存</v>
      </c>
      <c r="F71" s="3" t="s">
        <v>314</v>
      </c>
      <c r="G71" s="6"/>
      <c r="H71" s="3" t="str">
        <f t="shared" si="2"/>
        <v>7</v>
      </c>
      <c r="I71" s="3" t="s">
        <v>315</v>
      </c>
      <c r="J71" s="3" t="s">
        <v>181</v>
      </c>
      <c r="K71" s="3">
        <v>1.0</v>
      </c>
      <c r="L71" s="3">
        <v>1.0</v>
      </c>
      <c r="M71" s="4" t="s">
        <v>43</v>
      </c>
      <c r="N71" s="3" t="s">
        <v>156</v>
      </c>
      <c r="O71" s="3"/>
      <c r="P71" s="4" t="s">
        <v>194</v>
      </c>
      <c r="Q71" s="3"/>
      <c r="R71" s="3"/>
      <c r="S71" s="6"/>
      <c r="T71" s="6"/>
      <c r="U71" s="6"/>
    </row>
    <row r="72" ht="15.75" customHeight="1">
      <c r="A72" s="4" t="s">
        <v>316</v>
      </c>
      <c r="B72" s="4" t="s">
        <v>317</v>
      </c>
      <c r="C72" s="4" t="s">
        <v>39</v>
      </c>
      <c r="D72" s="6"/>
      <c r="E72" s="3" t="str">
        <f t="shared" si="1"/>
        <v>現存</v>
      </c>
      <c r="F72" s="3" t="s">
        <v>318</v>
      </c>
      <c r="G72" s="6"/>
      <c r="H72" s="3" t="str">
        <f t="shared" si="2"/>
        <v>8,11</v>
      </c>
      <c r="I72" s="3" t="s">
        <v>319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156</v>
      </c>
      <c r="O72" s="3"/>
      <c r="P72" s="4" t="s">
        <v>194</v>
      </c>
      <c r="Q72" s="3"/>
      <c r="R72" s="3"/>
      <c r="S72" s="6"/>
      <c r="T72" s="6"/>
      <c r="U72" s="6"/>
    </row>
    <row r="73" ht="15.75" customHeight="1">
      <c r="A73" s="4" t="s">
        <v>320</v>
      </c>
      <c r="B73" s="4" t="s">
        <v>321</v>
      </c>
      <c r="C73" s="4" t="s">
        <v>39</v>
      </c>
      <c r="D73" s="6"/>
      <c r="E73" s="3" t="str">
        <f t="shared" si="1"/>
        <v>現存</v>
      </c>
      <c r="F73" s="3" t="s">
        <v>175</v>
      </c>
      <c r="G73" s="6"/>
      <c r="H73" s="3" t="str">
        <f t="shared" si="2"/>
        <v>8,9</v>
      </c>
      <c r="I73" s="3" t="s">
        <v>322</v>
      </c>
      <c r="J73" s="3" t="s">
        <v>253</v>
      </c>
      <c r="K73" s="3">
        <v>3.0</v>
      </c>
      <c r="L73" s="3">
        <v>1.0</v>
      </c>
      <c r="M73" s="4" t="s">
        <v>43</v>
      </c>
      <c r="N73" s="3" t="s">
        <v>156</v>
      </c>
      <c r="O73" s="3"/>
      <c r="P73" s="4" t="s">
        <v>194</v>
      </c>
      <c r="Q73" s="3"/>
      <c r="R73" s="3"/>
      <c r="S73" s="6"/>
      <c r="T73" s="6"/>
      <c r="U73" s="8" t="s">
        <v>323</v>
      </c>
    </row>
    <row r="74" ht="15.75" customHeight="1">
      <c r="A74" s="4" t="s">
        <v>324</v>
      </c>
      <c r="B74" s="4" t="s">
        <v>325</v>
      </c>
      <c r="C74" s="4" t="s">
        <v>39</v>
      </c>
      <c r="D74" s="6"/>
      <c r="E74" s="3" t="str">
        <f t="shared" si="1"/>
        <v>現存</v>
      </c>
      <c r="F74" s="3" t="s">
        <v>326</v>
      </c>
      <c r="G74" s="6"/>
      <c r="H74" s="3" t="str">
        <f t="shared" si="2"/>
        <v>9</v>
      </c>
      <c r="I74" s="3" t="s">
        <v>327</v>
      </c>
      <c r="J74" s="3" t="s">
        <v>181</v>
      </c>
      <c r="K74" s="3">
        <v>1.0</v>
      </c>
      <c r="L74" s="3">
        <v>1.0</v>
      </c>
      <c r="M74" s="4" t="s">
        <v>43</v>
      </c>
      <c r="N74" s="3" t="s">
        <v>156</v>
      </c>
      <c r="O74" s="3"/>
      <c r="P74" s="4" t="s">
        <v>194</v>
      </c>
      <c r="Q74" s="3"/>
      <c r="R74" s="3"/>
      <c r="S74" s="6"/>
      <c r="T74" s="6"/>
      <c r="U74" s="6"/>
    </row>
    <row r="75" ht="15.75" customHeight="1">
      <c r="A75" s="4" t="s">
        <v>328</v>
      </c>
      <c r="B75" s="4" t="s">
        <v>329</v>
      </c>
      <c r="C75" s="4" t="s">
        <v>39</v>
      </c>
      <c r="D75" s="8" t="s">
        <v>39</v>
      </c>
      <c r="E75" s="3" t="str">
        <f t="shared" si="1"/>
        <v>現存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236</v>
      </c>
      <c r="N75" s="3" t="s">
        <v>56</v>
      </c>
      <c r="O75" s="3"/>
      <c r="P75" s="4" t="s">
        <v>330</v>
      </c>
      <c r="Q75" s="3"/>
      <c r="R75" s="3"/>
      <c r="S75" s="6"/>
      <c r="T75" s="6"/>
      <c r="U75" s="8" t="s">
        <v>331</v>
      </c>
    </row>
    <row r="76" ht="15.75" customHeight="1">
      <c r="A76" s="4" t="s">
        <v>332</v>
      </c>
      <c r="B76" s="4" t="s">
        <v>333</v>
      </c>
      <c r="C76" s="4" t="s">
        <v>39</v>
      </c>
      <c r="D76" s="6"/>
      <c r="E76" s="3" t="str">
        <f t="shared" si="1"/>
        <v>現存</v>
      </c>
      <c r="F76" s="3" t="s">
        <v>334</v>
      </c>
      <c r="G76" s="6"/>
      <c r="H76" s="3" t="str">
        <f t="shared" si="2"/>
        <v>1,3,4</v>
      </c>
      <c r="I76" s="3" t="s">
        <v>335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330</v>
      </c>
      <c r="Q76" s="3"/>
      <c r="R76" s="3"/>
      <c r="S76" s="6"/>
      <c r="T76" s="6"/>
      <c r="U76" s="6"/>
    </row>
    <row r="77" ht="15.75" customHeight="1">
      <c r="A77" s="4" t="s">
        <v>336</v>
      </c>
      <c r="B77" s="4" t="s">
        <v>337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338</v>
      </c>
      <c r="J77" s="3" t="s">
        <v>193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330</v>
      </c>
      <c r="Q77" s="3"/>
      <c r="R77" s="3"/>
      <c r="S77" s="6"/>
      <c r="T77" s="6"/>
      <c r="U77" s="6"/>
    </row>
    <row r="78" ht="15.75" customHeight="1">
      <c r="A78" s="4" t="s">
        <v>339</v>
      </c>
      <c r="B78" s="4" t="s">
        <v>340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193</v>
      </c>
      <c r="K78" s="3">
        <v>6.0</v>
      </c>
      <c r="L78" s="3">
        <v>2.0</v>
      </c>
      <c r="M78" s="4" t="s">
        <v>43</v>
      </c>
      <c r="N78" s="3" t="s">
        <v>341</v>
      </c>
      <c r="O78" s="3"/>
      <c r="P78" s="4" t="s">
        <v>330</v>
      </c>
      <c r="Q78" s="3"/>
      <c r="R78" s="3"/>
      <c r="S78" s="6"/>
      <c r="T78" s="6"/>
      <c r="U78" s="6"/>
    </row>
    <row r="79" ht="15.75" customHeight="1">
      <c r="A79" s="4" t="s">
        <v>342</v>
      </c>
      <c r="B79" s="4" t="s">
        <v>343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135</v>
      </c>
      <c r="K79" s="3">
        <v>3.0</v>
      </c>
      <c r="L79" s="3">
        <v>1.0</v>
      </c>
      <c r="M79" s="4" t="s">
        <v>43</v>
      </c>
      <c r="N79" s="3" t="s">
        <v>130</v>
      </c>
      <c r="O79" s="3"/>
      <c r="P79" s="4" t="s">
        <v>330</v>
      </c>
      <c r="Q79" s="3"/>
      <c r="R79" s="3"/>
      <c r="S79" s="6"/>
      <c r="T79" s="6"/>
      <c r="U79" s="6"/>
    </row>
    <row r="80" ht="15.75" customHeight="1">
      <c r="A80" s="4" t="s">
        <v>344</v>
      </c>
      <c r="B80" s="9" t="s">
        <v>345</v>
      </c>
      <c r="C80" s="4" t="s">
        <v>39</v>
      </c>
      <c r="D80" s="6"/>
      <c r="E80" s="3" t="str">
        <f t="shared" si="1"/>
        <v>現存</v>
      </c>
      <c r="F80" s="3" t="s">
        <v>130</v>
      </c>
      <c r="G80" s="6"/>
      <c r="H80" s="3" t="str">
        <f t="shared" si="2"/>
        <v>1</v>
      </c>
      <c r="I80" s="3" t="s">
        <v>346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330</v>
      </c>
      <c r="Q80" s="3"/>
      <c r="R80" s="3"/>
      <c r="S80" s="6"/>
      <c r="T80" s="6"/>
      <c r="U80" s="6"/>
    </row>
    <row r="81" ht="15.75" customHeight="1">
      <c r="A81" s="4" t="s">
        <v>347</v>
      </c>
      <c r="B81" s="4" t="s">
        <v>348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198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330</v>
      </c>
      <c r="Q81" s="3"/>
      <c r="R81" s="3"/>
      <c r="S81" s="6"/>
      <c r="T81" s="6"/>
      <c r="U81" s="6"/>
    </row>
    <row r="82" ht="15.75" customHeight="1">
      <c r="A82" s="4" t="s">
        <v>349</v>
      </c>
      <c r="B82" s="4" t="s">
        <v>350</v>
      </c>
      <c r="C82" s="4" t="s">
        <v>39</v>
      </c>
      <c r="D82" s="6"/>
      <c r="E82" s="3" t="str">
        <f t="shared" si="1"/>
        <v>現存</v>
      </c>
      <c r="F82" s="3" t="s">
        <v>351</v>
      </c>
      <c r="G82" s="6"/>
      <c r="H82" s="3" t="str">
        <f t="shared" si="2"/>
        <v>1,5</v>
      </c>
      <c r="I82" s="3" t="s">
        <v>149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130</v>
      </c>
      <c r="O82" s="3"/>
      <c r="P82" s="4" t="s">
        <v>330</v>
      </c>
      <c r="Q82" s="3"/>
      <c r="R82" s="3"/>
      <c r="S82" s="6"/>
      <c r="T82" s="6"/>
      <c r="U82" s="6"/>
    </row>
    <row r="83" ht="15.75" customHeight="1">
      <c r="A83" s="4" t="s">
        <v>352</v>
      </c>
      <c r="B83" s="4" t="s">
        <v>353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354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330</v>
      </c>
      <c r="Q83" s="3"/>
      <c r="R83" s="3"/>
      <c r="S83" s="6"/>
      <c r="T83" s="6"/>
      <c r="U83" s="6"/>
    </row>
    <row r="84" ht="15.75" customHeight="1">
      <c r="A84" s="4" t="s">
        <v>355</v>
      </c>
      <c r="B84" s="4" t="s">
        <v>356</v>
      </c>
      <c r="C84" s="4" t="s">
        <v>39</v>
      </c>
      <c r="D84" s="6"/>
      <c r="E84" s="3" t="str">
        <f t="shared" si="1"/>
        <v>現存</v>
      </c>
      <c r="F84" s="3" t="s">
        <v>357</v>
      </c>
      <c r="G84" s="6"/>
      <c r="H84" s="3" t="str">
        <f t="shared" si="2"/>
        <v>2,3,7</v>
      </c>
      <c r="I84" s="3" t="s">
        <v>112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330</v>
      </c>
      <c r="Q84" s="3"/>
      <c r="R84" s="3"/>
      <c r="S84" s="6"/>
      <c r="T84" s="6"/>
      <c r="U84" s="6"/>
    </row>
    <row r="85" ht="15.75" customHeight="1">
      <c r="A85" s="4" t="s">
        <v>358</v>
      </c>
      <c r="B85" s="4" t="s">
        <v>359</v>
      </c>
      <c r="C85" s="4" t="s">
        <v>39</v>
      </c>
      <c r="D85" s="6"/>
      <c r="E85" s="3" t="str">
        <f t="shared" si="1"/>
        <v>現存</v>
      </c>
      <c r="F85" s="3" t="s">
        <v>218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360</v>
      </c>
      <c r="O85" s="3"/>
      <c r="P85" s="4" t="s">
        <v>330</v>
      </c>
      <c r="Q85" s="3"/>
      <c r="R85" s="3"/>
      <c r="S85" s="6"/>
      <c r="T85" s="6"/>
      <c r="U85" s="6"/>
    </row>
    <row r="86" ht="15.75" customHeight="1">
      <c r="A86" s="4" t="s">
        <v>361</v>
      </c>
      <c r="B86" s="4" t="s">
        <v>362</v>
      </c>
      <c r="C86" s="4" t="s">
        <v>39</v>
      </c>
      <c r="D86" s="6"/>
      <c r="E86" s="3" t="str">
        <f t="shared" si="1"/>
        <v>現存</v>
      </c>
      <c r="F86" s="3" t="s">
        <v>363</v>
      </c>
      <c r="G86" s="6"/>
      <c r="H86" s="3" t="str">
        <f t="shared" si="2"/>
        <v>2,5,6,7,11</v>
      </c>
      <c r="I86" s="3" t="s">
        <v>364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130</v>
      </c>
      <c r="O86" s="3"/>
      <c r="P86" s="4" t="s">
        <v>330</v>
      </c>
      <c r="Q86" s="3"/>
      <c r="R86" s="3"/>
      <c r="S86" s="6"/>
      <c r="T86" s="6"/>
      <c r="U86" s="6"/>
    </row>
    <row r="87" ht="15.75" customHeight="1">
      <c r="A87" s="4" t="s">
        <v>365</v>
      </c>
      <c r="B87" s="4" t="s">
        <v>366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367</v>
      </c>
      <c r="J87" s="3" t="s">
        <v>181</v>
      </c>
      <c r="K87" s="3">
        <v>1.0</v>
      </c>
      <c r="L87" s="3">
        <v>1.0</v>
      </c>
      <c r="M87" s="4" t="s">
        <v>43</v>
      </c>
      <c r="N87" s="3" t="s">
        <v>130</v>
      </c>
      <c r="O87" s="3"/>
      <c r="P87" s="4" t="s">
        <v>330</v>
      </c>
      <c r="Q87" s="3"/>
      <c r="R87" s="3"/>
      <c r="S87" s="6"/>
      <c r="T87" s="6"/>
      <c r="U87" s="8" t="s">
        <v>368</v>
      </c>
    </row>
    <row r="88" ht="15.75" customHeight="1">
      <c r="A88" s="4" t="s">
        <v>369</v>
      </c>
      <c r="B88" s="4" t="s">
        <v>370</v>
      </c>
      <c r="C88" s="4" t="s">
        <v>39</v>
      </c>
      <c r="D88" s="6"/>
      <c r="E88" s="3" t="str">
        <f t="shared" si="1"/>
        <v>現存</v>
      </c>
      <c r="F88" s="3" t="s">
        <v>371</v>
      </c>
      <c r="G88" s="6"/>
      <c r="H88" s="3" t="str">
        <f t="shared" si="2"/>
        <v>2,8</v>
      </c>
      <c r="I88" s="3" t="s">
        <v>372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330</v>
      </c>
      <c r="Q88" s="3"/>
      <c r="R88" s="3"/>
      <c r="S88" s="6"/>
      <c r="T88" s="6"/>
      <c r="U88" s="6"/>
    </row>
    <row r="89" ht="15.75" customHeight="1">
      <c r="A89" s="4" t="s">
        <v>373</v>
      </c>
      <c r="B89" s="4" t="s">
        <v>374</v>
      </c>
      <c r="C89" s="4" t="s">
        <v>39</v>
      </c>
      <c r="D89" s="6"/>
      <c r="E89" s="3" t="str">
        <f t="shared" si="1"/>
        <v>現存</v>
      </c>
      <c r="F89" s="3" t="s">
        <v>375</v>
      </c>
      <c r="G89" s="6"/>
      <c r="H89" s="3" t="str">
        <f t="shared" si="2"/>
        <v>2,5,8</v>
      </c>
      <c r="I89" s="3" t="s">
        <v>319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330</v>
      </c>
      <c r="Q89" s="3"/>
      <c r="R89" s="3"/>
      <c r="S89" s="6"/>
      <c r="T89" s="6"/>
      <c r="U89" s="6"/>
    </row>
    <row r="90" ht="15.75" customHeight="1">
      <c r="A90" s="4" t="s">
        <v>376</v>
      </c>
      <c r="B90" s="4" t="s">
        <v>377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378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330</v>
      </c>
      <c r="Q90" s="3"/>
      <c r="R90" s="3"/>
      <c r="S90" s="6"/>
      <c r="T90" s="6"/>
      <c r="U90" s="6"/>
    </row>
    <row r="91" ht="15.75" customHeight="1">
      <c r="A91" s="4" t="s">
        <v>379</v>
      </c>
      <c r="B91" s="4" t="s">
        <v>380</v>
      </c>
      <c r="C91" s="4" t="s">
        <v>39</v>
      </c>
      <c r="D91" s="8" t="s">
        <v>381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382</v>
      </c>
      <c r="J91" s="3" t="s">
        <v>181</v>
      </c>
      <c r="K91" s="3">
        <v>1.0</v>
      </c>
      <c r="L91" s="3">
        <v>1.0</v>
      </c>
      <c r="M91" s="9" t="s">
        <v>236</v>
      </c>
      <c r="N91" s="3" t="s">
        <v>44</v>
      </c>
      <c r="O91" s="3"/>
      <c r="P91" s="4" t="s">
        <v>330</v>
      </c>
      <c r="Q91" s="3"/>
      <c r="R91" s="3"/>
      <c r="S91" s="6"/>
      <c r="T91" s="6"/>
      <c r="U91" s="6"/>
    </row>
    <row r="92" ht="15.75" customHeight="1">
      <c r="A92" s="4" t="s">
        <v>383</v>
      </c>
      <c r="B92" s="4" t="s">
        <v>384</v>
      </c>
      <c r="C92" s="4" t="s">
        <v>39</v>
      </c>
      <c r="D92" s="6"/>
      <c r="E92" s="3" t="str">
        <f t="shared" si="1"/>
        <v>現存</v>
      </c>
      <c r="F92" s="3" t="s">
        <v>385</v>
      </c>
      <c r="G92" s="6"/>
      <c r="H92" s="3" t="str">
        <f t="shared" si="2"/>
        <v>3,8,10,12</v>
      </c>
      <c r="I92" s="3" t="s">
        <v>386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330</v>
      </c>
      <c r="Q92" s="3"/>
      <c r="R92" s="3"/>
      <c r="S92" s="6"/>
      <c r="T92" s="6"/>
      <c r="U92" s="6"/>
    </row>
    <row r="93" ht="15.75" customHeight="1">
      <c r="A93" s="4" t="s">
        <v>387</v>
      </c>
      <c r="B93" s="4" t="s">
        <v>388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135</v>
      </c>
      <c r="K93" s="3">
        <v>1.0</v>
      </c>
      <c r="L93" s="3">
        <v>1.0</v>
      </c>
      <c r="M93" s="4" t="s">
        <v>43</v>
      </c>
      <c r="N93" s="3" t="s">
        <v>130</v>
      </c>
      <c r="O93" s="3"/>
      <c r="P93" s="4" t="s">
        <v>330</v>
      </c>
      <c r="Q93" s="3"/>
      <c r="R93" s="3"/>
      <c r="S93" s="6"/>
      <c r="T93" s="6"/>
      <c r="U93" s="6"/>
    </row>
    <row r="94" ht="15.75" customHeight="1">
      <c r="A94" s="4" t="s">
        <v>389</v>
      </c>
      <c r="B94" s="4" t="s">
        <v>390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391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330</v>
      </c>
      <c r="Q94" s="3"/>
      <c r="R94" s="3"/>
      <c r="S94" s="6"/>
      <c r="T94" s="6"/>
      <c r="U94" s="6"/>
    </row>
    <row r="95" ht="15.75" customHeight="1">
      <c r="A95" s="4" t="s">
        <v>392</v>
      </c>
      <c r="B95" s="4" t="s">
        <v>393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330</v>
      </c>
      <c r="Q95" s="3"/>
      <c r="R95" s="3"/>
      <c r="S95" s="6"/>
      <c r="T95" s="6"/>
      <c r="U95" s="6"/>
    </row>
    <row r="96" ht="15.75" customHeight="1">
      <c r="A96" s="4" t="s">
        <v>394</v>
      </c>
      <c r="B96" s="4" t="s">
        <v>395</v>
      </c>
      <c r="C96" s="4" t="s">
        <v>39</v>
      </c>
      <c r="D96" s="6"/>
      <c r="E96" s="3" t="str">
        <f t="shared" si="1"/>
        <v>現存</v>
      </c>
      <c r="F96" s="3" t="s">
        <v>156</v>
      </c>
      <c r="G96" s="6"/>
      <c r="H96" s="3" t="str">
        <f t="shared" si="2"/>
        <v>4</v>
      </c>
      <c r="I96" s="3" t="s">
        <v>139</v>
      </c>
      <c r="J96" s="3" t="s">
        <v>125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330</v>
      </c>
      <c r="Q96" s="3"/>
      <c r="R96" s="3"/>
      <c r="S96" s="6"/>
      <c r="T96" s="6"/>
      <c r="U96" s="6"/>
    </row>
    <row r="97" ht="15.75" customHeight="1">
      <c r="A97" s="4" t="s">
        <v>396</v>
      </c>
      <c r="B97" s="4" t="s">
        <v>397</v>
      </c>
      <c r="C97" s="4" t="s">
        <v>39</v>
      </c>
      <c r="D97" s="6"/>
      <c r="E97" s="3" t="str">
        <f t="shared" si="1"/>
        <v>現存</v>
      </c>
      <c r="F97" s="3" t="s">
        <v>398</v>
      </c>
      <c r="G97" s="6"/>
      <c r="H97" s="3" t="str">
        <f t="shared" si="2"/>
        <v>4,5,10</v>
      </c>
      <c r="I97" s="3" t="s">
        <v>160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330</v>
      </c>
      <c r="Q97" s="3"/>
      <c r="R97" s="3"/>
      <c r="S97" s="6"/>
      <c r="T97" s="6"/>
      <c r="U97" s="8" t="s">
        <v>399</v>
      </c>
    </row>
    <row r="98" ht="15.75" customHeight="1">
      <c r="A98" s="4" t="s">
        <v>400</v>
      </c>
      <c r="B98" s="4" t="s">
        <v>401</v>
      </c>
      <c r="C98" s="4" t="s">
        <v>39</v>
      </c>
      <c r="D98" s="6"/>
      <c r="E98" s="3" t="str">
        <f t="shared" si="1"/>
        <v>現存</v>
      </c>
      <c r="F98" s="3" t="s">
        <v>156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330</v>
      </c>
      <c r="Q98" s="3"/>
      <c r="R98" s="3"/>
      <c r="S98" s="6"/>
      <c r="T98" s="6"/>
      <c r="U98" s="6"/>
    </row>
    <row r="99" ht="15.75" customHeight="1">
      <c r="A99" s="4" t="s">
        <v>402</v>
      </c>
      <c r="B99" s="4" t="s">
        <v>403</v>
      </c>
      <c r="C99" s="4" t="s">
        <v>39</v>
      </c>
      <c r="D99" s="8" t="s">
        <v>170</v>
      </c>
      <c r="E99" s="3" t="str">
        <f t="shared" si="1"/>
        <v>近年未見</v>
      </c>
      <c r="F99" s="3" t="s">
        <v>156</v>
      </c>
      <c r="G99" s="6"/>
      <c r="H99" s="3" t="str">
        <f t="shared" si="2"/>
        <v>4</v>
      </c>
      <c r="I99" s="3" t="s">
        <v>404</v>
      </c>
      <c r="J99" s="3" t="s">
        <v>181</v>
      </c>
      <c r="K99" s="3">
        <v>1.0</v>
      </c>
      <c r="L99" s="3">
        <v>1.0</v>
      </c>
      <c r="M99" s="9" t="s">
        <v>236</v>
      </c>
      <c r="N99" s="3" t="s">
        <v>44</v>
      </c>
      <c r="O99" s="3"/>
      <c r="P99" s="4" t="s">
        <v>330</v>
      </c>
      <c r="Q99" s="3"/>
      <c r="R99" s="3"/>
      <c r="S99" s="6"/>
      <c r="T99" s="6"/>
      <c r="U99" s="6"/>
    </row>
    <row r="100" ht="15.75" customHeight="1">
      <c r="A100" s="4" t="s">
        <v>405</v>
      </c>
      <c r="B100" s="4" t="s">
        <v>406</v>
      </c>
      <c r="C100" s="4" t="s">
        <v>39</v>
      </c>
      <c r="D100" s="6"/>
      <c r="E100" s="3" t="str">
        <f t="shared" si="1"/>
        <v>現存</v>
      </c>
      <c r="F100" s="3" t="s">
        <v>407</v>
      </c>
      <c r="G100" s="6"/>
      <c r="H100" s="3" t="str">
        <f t="shared" si="2"/>
        <v>4,7,8</v>
      </c>
      <c r="I100" s="3" t="s">
        <v>303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330</v>
      </c>
      <c r="Q100" s="3"/>
      <c r="R100" s="3"/>
      <c r="S100" s="6"/>
      <c r="T100" s="6"/>
      <c r="U100" s="6"/>
    </row>
    <row r="101" ht="15.75" customHeight="1">
      <c r="A101" s="4" t="s">
        <v>408</v>
      </c>
      <c r="B101" s="4" t="s">
        <v>409</v>
      </c>
      <c r="C101" s="4" t="s">
        <v>39</v>
      </c>
      <c r="D101" s="6"/>
      <c r="E101" s="3" t="str">
        <f t="shared" si="1"/>
        <v>現存</v>
      </c>
      <c r="F101" s="3" t="s">
        <v>148</v>
      </c>
      <c r="G101" s="6"/>
      <c r="H101" s="3" t="str">
        <f t="shared" si="2"/>
        <v>4,5</v>
      </c>
      <c r="I101" s="3" t="s">
        <v>410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330</v>
      </c>
      <c r="Q101" s="3"/>
      <c r="R101" s="3"/>
      <c r="S101" s="6"/>
      <c r="T101" s="6"/>
      <c r="U101" s="6"/>
    </row>
    <row r="102" ht="15.75" customHeight="1">
      <c r="A102" s="4" t="s">
        <v>411</v>
      </c>
      <c r="B102" s="4" t="s">
        <v>412</v>
      </c>
      <c r="C102" s="4" t="s">
        <v>39</v>
      </c>
      <c r="D102" s="6"/>
      <c r="E102" s="3" t="str">
        <f t="shared" si="1"/>
        <v>現存</v>
      </c>
      <c r="F102" s="3" t="s">
        <v>148</v>
      </c>
      <c r="G102" s="6"/>
      <c r="H102" s="3" t="str">
        <f t="shared" si="2"/>
        <v>4,5</v>
      </c>
      <c r="I102" s="3" t="s">
        <v>160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130</v>
      </c>
      <c r="O102" s="3"/>
      <c r="P102" s="4" t="s">
        <v>330</v>
      </c>
      <c r="Q102" s="3"/>
      <c r="R102" s="3"/>
      <c r="S102" s="6"/>
      <c r="T102" s="6"/>
      <c r="U102" s="6"/>
    </row>
    <row r="103" ht="15.75" customHeight="1">
      <c r="A103" s="4" t="s">
        <v>413</v>
      </c>
      <c r="B103" s="4" t="s">
        <v>414</v>
      </c>
      <c r="C103" s="4" t="s">
        <v>39</v>
      </c>
      <c r="D103" s="6"/>
      <c r="E103" s="3" t="str">
        <f t="shared" si="1"/>
        <v>現存</v>
      </c>
      <c r="F103" s="3" t="s">
        <v>156</v>
      </c>
      <c r="G103" s="6"/>
      <c r="H103" s="3" t="str">
        <f t="shared" si="2"/>
        <v>4</v>
      </c>
      <c r="I103" s="3" t="s">
        <v>415</v>
      </c>
      <c r="J103" s="3" t="s">
        <v>181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330</v>
      </c>
      <c r="Q103" s="3"/>
      <c r="R103" s="3"/>
      <c r="S103" s="6"/>
      <c r="T103" s="6"/>
      <c r="U103" s="6"/>
    </row>
    <row r="104" ht="15.75" customHeight="1">
      <c r="A104" s="4" t="s">
        <v>416</v>
      </c>
      <c r="B104" s="4" t="s">
        <v>417</v>
      </c>
      <c r="C104" s="4" t="s">
        <v>39</v>
      </c>
      <c r="D104" s="8" t="s">
        <v>170</v>
      </c>
      <c r="E104" s="3" t="str">
        <f t="shared" si="1"/>
        <v>近年未見</v>
      </c>
      <c r="F104" s="3" t="s">
        <v>418</v>
      </c>
      <c r="G104" s="6"/>
      <c r="H104" s="3" t="str">
        <f t="shared" si="2"/>
        <v>4,6</v>
      </c>
      <c r="I104" s="3" t="s">
        <v>139</v>
      </c>
      <c r="J104" s="3" t="s">
        <v>125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419</v>
      </c>
      <c r="Q104" s="3"/>
      <c r="R104" s="3"/>
      <c r="S104" s="6"/>
      <c r="T104" s="6"/>
      <c r="U104" s="6"/>
    </row>
    <row r="105" ht="15.75" customHeight="1">
      <c r="A105" s="4" t="s">
        <v>420</v>
      </c>
      <c r="B105" s="4" t="s">
        <v>421</v>
      </c>
      <c r="C105" s="4" t="s">
        <v>39</v>
      </c>
      <c r="D105" s="6"/>
      <c r="E105" s="3" t="str">
        <f t="shared" si="1"/>
        <v>現存</v>
      </c>
      <c r="F105" s="3" t="s">
        <v>148</v>
      </c>
      <c r="G105" s="6"/>
      <c r="H105" s="3" t="str">
        <f t="shared" si="2"/>
        <v>4,5</v>
      </c>
      <c r="I105" s="3" t="s">
        <v>160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330</v>
      </c>
      <c r="Q105" s="3"/>
      <c r="R105" s="3"/>
      <c r="S105" s="6"/>
      <c r="T105" s="6"/>
      <c r="U105" s="8" t="s">
        <v>422</v>
      </c>
    </row>
    <row r="106" ht="15.75" customHeight="1">
      <c r="A106" s="4" t="s">
        <v>423</v>
      </c>
      <c r="B106" s="4" t="s">
        <v>424</v>
      </c>
      <c r="C106" s="4" t="s">
        <v>39</v>
      </c>
      <c r="D106" s="6"/>
      <c r="E106" s="3" t="str">
        <f t="shared" si="1"/>
        <v>現存</v>
      </c>
      <c r="F106" s="3" t="s">
        <v>418</v>
      </c>
      <c r="G106" s="8" t="s">
        <v>425</v>
      </c>
      <c r="H106" s="3" t="str">
        <f t="shared" si="2"/>
        <v>4,5,6</v>
      </c>
      <c r="I106" s="3" t="s">
        <v>426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330</v>
      </c>
      <c r="Q106" s="3"/>
      <c r="R106" s="3"/>
      <c r="S106" s="6"/>
      <c r="T106" s="6"/>
      <c r="U106" s="8" t="s">
        <v>427</v>
      </c>
    </row>
    <row r="107" ht="15.75" customHeight="1">
      <c r="A107" s="4" t="s">
        <v>428</v>
      </c>
      <c r="B107" s="4" t="s">
        <v>429</v>
      </c>
      <c r="C107" s="4" t="s">
        <v>39</v>
      </c>
      <c r="D107" s="6"/>
      <c r="E107" s="3" t="str">
        <f t="shared" si="1"/>
        <v>現存</v>
      </c>
      <c r="F107" s="3" t="s">
        <v>418</v>
      </c>
      <c r="G107" s="6"/>
      <c r="H107" s="3" t="str">
        <f t="shared" si="2"/>
        <v>4,6</v>
      </c>
      <c r="I107" s="3" t="s">
        <v>430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130</v>
      </c>
      <c r="O107" s="3"/>
      <c r="P107" s="4" t="s">
        <v>330</v>
      </c>
      <c r="Q107" s="3"/>
      <c r="R107" s="3"/>
      <c r="S107" s="6"/>
      <c r="T107" s="6"/>
      <c r="U107" s="6"/>
    </row>
    <row r="108" ht="15.75" customHeight="1">
      <c r="A108" s="4" t="s">
        <v>431</v>
      </c>
      <c r="B108" s="4" t="s">
        <v>432</v>
      </c>
      <c r="C108" s="4" t="s">
        <v>39</v>
      </c>
      <c r="D108" s="8" t="s">
        <v>170</v>
      </c>
      <c r="E108" s="3" t="str">
        <f t="shared" si="1"/>
        <v>近年未見</v>
      </c>
      <c r="F108" s="3" t="s">
        <v>156</v>
      </c>
      <c r="G108" s="6"/>
      <c r="H108" s="3" t="str">
        <f t="shared" si="2"/>
        <v>4</v>
      </c>
      <c r="I108" s="3" t="s">
        <v>433</v>
      </c>
      <c r="J108" s="3" t="s">
        <v>181</v>
      </c>
      <c r="K108" s="3">
        <v>1.0</v>
      </c>
      <c r="L108" s="3">
        <v>1.0</v>
      </c>
      <c r="M108" s="9" t="s">
        <v>236</v>
      </c>
      <c r="N108" s="3" t="s">
        <v>130</v>
      </c>
      <c r="O108" s="3"/>
      <c r="P108" s="4" t="s">
        <v>330</v>
      </c>
      <c r="Q108" s="3"/>
      <c r="R108" s="3"/>
      <c r="S108" s="6"/>
      <c r="T108" s="6"/>
      <c r="U108" s="8" t="s">
        <v>434</v>
      </c>
    </row>
    <row r="109" ht="15.75" customHeight="1">
      <c r="A109" s="4" t="s">
        <v>435</v>
      </c>
      <c r="B109" s="4" t="s">
        <v>436</v>
      </c>
      <c r="C109" s="4" t="s">
        <v>39</v>
      </c>
      <c r="D109" s="6"/>
      <c r="E109" s="3" t="str">
        <f t="shared" si="1"/>
        <v>現存</v>
      </c>
      <c r="F109" s="3" t="s">
        <v>156</v>
      </c>
      <c r="G109" s="6"/>
      <c r="H109" s="3" t="str">
        <f t="shared" si="2"/>
        <v>4</v>
      </c>
      <c r="I109" s="3" t="s">
        <v>437</v>
      </c>
      <c r="J109" s="3" t="s">
        <v>181</v>
      </c>
      <c r="K109" s="3">
        <v>1.0</v>
      </c>
      <c r="L109" s="3">
        <v>1.0</v>
      </c>
      <c r="M109" s="4" t="s">
        <v>43</v>
      </c>
      <c r="N109" s="3" t="s">
        <v>130</v>
      </c>
      <c r="O109" s="3"/>
      <c r="P109" s="4" t="s">
        <v>330</v>
      </c>
      <c r="Q109" s="3"/>
      <c r="R109" s="3"/>
      <c r="S109" s="6"/>
      <c r="T109" s="6"/>
      <c r="U109" s="6"/>
    </row>
    <row r="110" ht="15.75" customHeight="1">
      <c r="A110" s="4" t="s">
        <v>438</v>
      </c>
      <c r="B110" s="4" t="s">
        <v>439</v>
      </c>
      <c r="C110" s="4" t="s">
        <v>39</v>
      </c>
      <c r="D110" s="6"/>
      <c r="E110" s="3" t="str">
        <f t="shared" si="1"/>
        <v>現存</v>
      </c>
      <c r="F110" s="3" t="s">
        <v>440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330</v>
      </c>
      <c r="Q110" s="3"/>
      <c r="R110" s="3"/>
      <c r="S110" s="6"/>
      <c r="T110" s="6"/>
      <c r="U110" s="6"/>
    </row>
    <row r="111" ht="15.75" customHeight="1">
      <c r="A111" s="4" t="s">
        <v>441</v>
      </c>
      <c r="B111" s="4" t="s">
        <v>442</v>
      </c>
      <c r="C111" s="4" t="s">
        <v>39</v>
      </c>
      <c r="D111" s="6"/>
      <c r="E111" s="3" t="str">
        <f t="shared" si="1"/>
        <v>現存</v>
      </c>
      <c r="F111" s="3" t="s">
        <v>443</v>
      </c>
      <c r="G111" s="6"/>
      <c r="H111" s="3" t="str">
        <f t="shared" si="2"/>
        <v>5,6,7</v>
      </c>
      <c r="I111" s="3" t="s">
        <v>444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330</v>
      </c>
      <c r="Q111" s="3"/>
      <c r="R111" s="3"/>
      <c r="S111" s="6"/>
      <c r="T111" s="6"/>
      <c r="U111" s="6"/>
    </row>
    <row r="112" ht="15.75" customHeight="1">
      <c r="A112" s="4" t="s">
        <v>445</v>
      </c>
      <c r="B112" s="4" t="s">
        <v>446</v>
      </c>
      <c r="C112" s="4" t="s">
        <v>39</v>
      </c>
      <c r="D112" s="6"/>
      <c r="E112" s="3" t="str">
        <f t="shared" si="1"/>
        <v>現存</v>
      </c>
      <c r="F112" s="3" t="s">
        <v>171</v>
      </c>
      <c r="G112" s="6"/>
      <c r="H112" s="3" t="str">
        <f t="shared" si="2"/>
        <v>5,6</v>
      </c>
      <c r="I112" s="3" t="s">
        <v>447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130</v>
      </c>
      <c r="O112" s="3"/>
      <c r="P112" s="4" t="s">
        <v>330</v>
      </c>
      <c r="Q112" s="3"/>
      <c r="R112" s="3"/>
      <c r="S112" s="6"/>
      <c r="T112" s="6"/>
      <c r="U112" s="6"/>
    </row>
    <row r="113" ht="15.75" customHeight="1">
      <c r="A113" s="4" t="s">
        <v>448</v>
      </c>
      <c r="B113" s="4" t="s">
        <v>449</v>
      </c>
      <c r="C113" s="4" t="s">
        <v>39</v>
      </c>
      <c r="D113" s="6"/>
      <c r="E113" s="3" t="str">
        <f t="shared" si="1"/>
        <v>現存</v>
      </c>
      <c r="F113" s="3" t="s">
        <v>450</v>
      </c>
      <c r="G113" s="6"/>
      <c r="H113" s="3" t="str">
        <f t="shared" si="2"/>
        <v>5</v>
      </c>
      <c r="I113" s="3" t="s">
        <v>451</v>
      </c>
      <c r="J113" s="3" t="s">
        <v>181</v>
      </c>
      <c r="K113" s="3">
        <v>1.0</v>
      </c>
      <c r="L113" s="3">
        <v>1.0</v>
      </c>
      <c r="M113" s="4" t="s">
        <v>43</v>
      </c>
      <c r="N113" s="3" t="s">
        <v>130</v>
      </c>
      <c r="O113" s="3"/>
      <c r="P113" s="4" t="s">
        <v>330</v>
      </c>
      <c r="Q113" s="3"/>
      <c r="R113" s="3"/>
      <c r="S113" s="6"/>
      <c r="T113" s="6"/>
      <c r="U113" s="6"/>
    </row>
    <row r="114" ht="15.75" customHeight="1">
      <c r="A114" s="4" t="s">
        <v>452</v>
      </c>
      <c r="B114" s="4" t="s">
        <v>453</v>
      </c>
      <c r="C114" s="4" t="s">
        <v>39</v>
      </c>
      <c r="D114" s="6"/>
      <c r="E114" s="3" t="str">
        <f t="shared" si="1"/>
        <v>現存</v>
      </c>
      <c r="F114" s="3" t="s">
        <v>171</v>
      </c>
      <c r="G114" s="6"/>
      <c r="H114" s="3" t="str">
        <f t="shared" si="2"/>
        <v>5,6</v>
      </c>
      <c r="I114" s="3" t="s">
        <v>430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130</v>
      </c>
      <c r="O114" s="3"/>
      <c r="P114" s="4" t="s">
        <v>330</v>
      </c>
      <c r="Q114" s="3"/>
      <c r="R114" s="3"/>
      <c r="S114" s="6"/>
      <c r="T114" s="6"/>
      <c r="U114" s="6"/>
    </row>
    <row r="115" ht="15.75" customHeight="1">
      <c r="A115" s="4" t="s">
        <v>454</v>
      </c>
      <c r="B115" s="4" t="s">
        <v>455</v>
      </c>
      <c r="C115" s="4" t="s">
        <v>39</v>
      </c>
      <c r="D115" s="6"/>
      <c r="E115" s="3" t="str">
        <f t="shared" si="1"/>
        <v>現存</v>
      </c>
      <c r="F115" s="3" t="s">
        <v>450</v>
      </c>
      <c r="G115" s="6"/>
      <c r="H115" s="3" t="str">
        <f t="shared" si="2"/>
        <v>5</v>
      </c>
      <c r="I115" s="3" t="s">
        <v>456</v>
      </c>
      <c r="J115" s="3" t="s">
        <v>181</v>
      </c>
      <c r="K115" s="3">
        <v>1.0</v>
      </c>
      <c r="L115" s="3">
        <v>1.0</v>
      </c>
      <c r="M115" s="4" t="s">
        <v>43</v>
      </c>
      <c r="N115" s="3" t="s">
        <v>130</v>
      </c>
      <c r="O115" s="3"/>
      <c r="P115" s="4" t="s">
        <v>330</v>
      </c>
      <c r="Q115" s="3"/>
      <c r="R115" s="3"/>
      <c r="S115" s="6"/>
      <c r="T115" s="6"/>
      <c r="U115" s="6"/>
    </row>
    <row r="116" ht="15.75" customHeight="1">
      <c r="A116" s="4" t="s">
        <v>457</v>
      </c>
      <c r="B116" s="4" t="s">
        <v>458</v>
      </c>
      <c r="C116" s="4" t="s">
        <v>39</v>
      </c>
      <c r="D116" s="6"/>
      <c r="E116" s="3" t="str">
        <f t="shared" si="1"/>
        <v>現存</v>
      </c>
      <c r="F116" s="3" t="s">
        <v>459</v>
      </c>
      <c r="G116" s="6"/>
      <c r="H116" s="3" t="str">
        <f t="shared" si="2"/>
        <v>5,10</v>
      </c>
      <c r="I116" s="3" t="s">
        <v>460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330</v>
      </c>
      <c r="Q116" s="3"/>
      <c r="R116" s="3"/>
      <c r="S116" s="6"/>
      <c r="T116" s="6"/>
      <c r="U116" s="6"/>
    </row>
    <row r="117" ht="15.75" customHeight="1">
      <c r="A117" s="4" t="s">
        <v>461</v>
      </c>
      <c r="B117" s="4" t="s">
        <v>462</v>
      </c>
      <c r="C117" s="4" t="s">
        <v>39</v>
      </c>
      <c r="D117" s="6"/>
      <c r="E117" s="3" t="str">
        <f t="shared" si="1"/>
        <v>現存</v>
      </c>
      <c r="F117" s="3" t="s">
        <v>450</v>
      </c>
      <c r="G117" s="6"/>
      <c r="H117" s="3" t="str">
        <f t="shared" si="2"/>
        <v>5</v>
      </c>
      <c r="I117" s="3" t="s">
        <v>160</v>
      </c>
      <c r="J117" s="3" t="s">
        <v>135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330</v>
      </c>
      <c r="Q117" s="3"/>
      <c r="R117" s="3"/>
      <c r="S117" s="6"/>
      <c r="T117" s="6"/>
      <c r="U117" s="6"/>
    </row>
    <row r="118" ht="15.75" customHeight="1">
      <c r="A118" s="4" t="s">
        <v>463</v>
      </c>
      <c r="B118" s="4" t="s">
        <v>464</v>
      </c>
      <c r="C118" s="4" t="s">
        <v>39</v>
      </c>
      <c r="D118" s="6"/>
      <c r="E118" s="3" t="str">
        <f t="shared" si="1"/>
        <v>現存</v>
      </c>
      <c r="F118" s="3" t="s">
        <v>465</v>
      </c>
      <c r="G118" s="6"/>
      <c r="H118" s="3" t="str">
        <f t="shared" si="2"/>
        <v>5,6,7,9</v>
      </c>
      <c r="I118" s="3" t="s">
        <v>364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466</v>
      </c>
      <c r="O118" s="3"/>
      <c r="P118" s="4" t="s">
        <v>330</v>
      </c>
      <c r="Q118" s="3"/>
      <c r="R118" s="3"/>
      <c r="S118" s="6"/>
      <c r="T118" s="6"/>
      <c r="U118" s="6"/>
    </row>
    <row r="119" ht="15.75" customHeight="1">
      <c r="A119" s="4" t="s">
        <v>467</v>
      </c>
      <c r="B119" s="4" t="s">
        <v>468</v>
      </c>
      <c r="C119" s="4" t="s">
        <v>39</v>
      </c>
      <c r="D119" s="6"/>
      <c r="E119" s="3" t="str">
        <f t="shared" si="1"/>
        <v>現存</v>
      </c>
      <c r="F119" s="3" t="s">
        <v>469</v>
      </c>
      <c r="G119" s="6"/>
      <c r="H119" s="3" t="str">
        <f t="shared" si="2"/>
        <v>5,6,12</v>
      </c>
      <c r="I119" s="3" t="s">
        <v>149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330</v>
      </c>
      <c r="Q119" s="3"/>
      <c r="R119" s="3"/>
      <c r="S119" s="6"/>
      <c r="T119" s="6"/>
      <c r="U119" s="6"/>
    </row>
    <row r="120" ht="15.75" customHeight="1">
      <c r="A120" s="4" t="s">
        <v>470</v>
      </c>
      <c r="B120" s="4" t="s">
        <v>471</v>
      </c>
      <c r="C120" s="4" t="s">
        <v>39</v>
      </c>
      <c r="D120" s="8" t="s">
        <v>381</v>
      </c>
      <c r="E120" s="3" t="str">
        <f t="shared" si="1"/>
        <v>不收錄</v>
      </c>
      <c r="F120" s="3" t="s">
        <v>310</v>
      </c>
      <c r="G120" s="6"/>
      <c r="H120" s="3" t="str">
        <f t="shared" si="2"/>
        <v>6</v>
      </c>
      <c r="I120" s="3" t="s">
        <v>472</v>
      </c>
      <c r="J120" s="3" t="s">
        <v>42</v>
      </c>
      <c r="K120" s="3">
        <v>1.0</v>
      </c>
      <c r="L120" s="3">
        <v>1.0</v>
      </c>
      <c r="M120" s="9" t="s">
        <v>236</v>
      </c>
      <c r="N120" s="3" t="s">
        <v>44</v>
      </c>
      <c r="O120" s="3"/>
      <c r="P120" s="4" t="s">
        <v>330</v>
      </c>
      <c r="Q120" s="3"/>
      <c r="R120" s="3"/>
      <c r="S120" s="6"/>
      <c r="T120" s="6"/>
      <c r="U120" s="6"/>
    </row>
    <row r="121" ht="15.75" customHeight="1">
      <c r="A121" s="4" t="s">
        <v>473</v>
      </c>
      <c r="B121" s="4" t="s">
        <v>474</v>
      </c>
      <c r="C121" s="4" t="s">
        <v>39</v>
      </c>
      <c r="D121" s="6"/>
      <c r="E121" s="3" t="str">
        <f t="shared" si="1"/>
        <v>現存</v>
      </c>
      <c r="F121" s="3" t="s">
        <v>310</v>
      </c>
      <c r="G121" s="6"/>
      <c r="H121" s="3" t="str">
        <f t="shared" si="2"/>
        <v>6</v>
      </c>
      <c r="I121" s="3" t="s">
        <v>475</v>
      </c>
      <c r="J121" s="3" t="s">
        <v>181</v>
      </c>
      <c r="K121" s="3">
        <v>1.0</v>
      </c>
      <c r="L121" s="3">
        <v>1.0</v>
      </c>
      <c r="M121" s="4" t="s">
        <v>43</v>
      </c>
      <c r="N121" s="3" t="s">
        <v>130</v>
      </c>
      <c r="O121" s="3"/>
      <c r="P121" s="4" t="s">
        <v>330</v>
      </c>
      <c r="Q121" s="3"/>
      <c r="R121" s="3"/>
      <c r="S121" s="6"/>
      <c r="T121" s="6"/>
      <c r="U121" s="6"/>
    </row>
    <row r="122" ht="15.75" customHeight="1">
      <c r="A122" s="4" t="s">
        <v>476</v>
      </c>
      <c r="B122" s="4" t="s">
        <v>477</v>
      </c>
      <c r="C122" s="4" t="s">
        <v>39</v>
      </c>
      <c r="D122" s="6"/>
      <c r="E122" s="3" t="str">
        <f t="shared" si="1"/>
        <v>現存</v>
      </c>
      <c r="F122" s="3" t="s">
        <v>478</v>
      </c>
      <c r="G122" s="6"/>
      <c r="H122" s="3" t="str">
        <f t="shared" si="2"/>
        <v>7,8</v>
      </c>
      <c r="I122" s="3" t="s">
        <v>386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330</v>
      </c>
      <c r="Q122" s="3"/>
      <c r="R122" s="3"/>
      <c r="S122" s="6"/>
      <c r="T122" s="6"/>
      <c r="U122" s="6"/>
    </row>
    <row r="123" ht="15.75" customHeight="1">
      <c r="A123" s="4" t="s">
        <v>479</v>
      </c>
      <c r="B123" s="4" t="s">
        <v>480</v>
      </c>
      <c r="C123" s="4" t="s">
        <v>39</v>
      </c>
      <c r="D123" s="6"/>
      <c r="E123" s="3" t="str">
        <f t="shared" si="1"/>
        <v>現存</v>
      </c>
      <c r="F123" s="3" t="s">
        <v>478</v>
      </c>
      <c r="G123" s="6"/>
      <c r="H123" s="3" t="str">
        <f t="shared" si="2"/>
        <v>7,8</v>
      </c>
      <c r="I123" s="3" t="s">
        <v>481</v>
      </c>
      <c r="J123" s="3" t="s">
        <v>482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330</v>
      </c>
      <c r="Q123" s="3"/>
      <c r="R123" s="3"/>
      <c r="S123" s="6"/>
      <c r="T123" s="6"/>
      <c r="U123" s="6"/>
    </row>
    <row r="124" ht="15.75" customHeight="1">
      <c r="A124" s="4" t="s">
        <v>483</v>
      </c>
      <c r="B124" s="4" t="s">
        <v>484</v>
      </c>
      <c r="C124" s="4" t="s">
        <v>39</v>
      </c>
      <c r="D124" s="6"/>
      <c r="E124" s="3" t="str">
        <f t="shared" si="1"/>
        <v>現存</v>
      </c>
      <c r="F124" s="3" t="s">
        <v>485</v>
      </c>
      <c r="G124" s="6"/>
      <c r="H124" s="3" t="str">
        <f t="shared" si="2"/>
        <v>7,8,10,11,12</v>
      </c>
      <c r="I124" s="3" t="s">
        <v>486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330</v>
      </c>
      <c r="Q124" s="3"/>
      <c r="R124" s="3"/>
      <c r="S124" s="6"/>
      <c r="T124" s="6"/>
      <c r="U124" s="6"/>
    </row>
    <row r="125" ht="15.75" customHeight="1">
      <c r="A125" s="4" t="s">
        <v>487</v>
      </c>
      <c r="B125" s="4" t="s">
        <v>488</v>
      </c>
      <c r="C125" s="4" t="s">
        <v>39</v>
      </c>
      <c r="D125" s="8" t="s">
        <v>381</v>
      </c>
      <c r="E125" s="3" t="str">
        <f t="shared" si="1"/>
        <v>不收錄</v>
      </c>
      <c r="F125" s="3" t="s">
        <v>179</v>
      </c>
      <c r="G125" s="6"/>
      <c r="H125" s="3" t="str">
        <f t="shared" si="2"/>
        <v>8</v>
      </c>
      <c r="I125" s="3" t="s">
        <v>489</v>
      </c>
      <c r="J125" s="3" t="s">
        <v>181</v>
      </c>
      <c r="K125" s="3">
        <v>1.0</v>
      </c>
      <c r="L125" s="3">
        <v>1.0</v>
      </c>
      <c r="M125" s="9" t="s">
        <v>236</v>
      </c>
      <c r="N125" s="3" t="s">
        <v>130</v>
      </c>
      <c r="O125" s="3"/>
      <c r="P125" s="4" t="s">
        <v>330</v>
      </c>
      <c r="Q125" s="3"/>
      <c r="R125" s="3"/>
      <c r="S125" s="6"/>
      <c r="T125" s="6"/>
      <c r="U125" s="6"/>
    </row>
    <row r="126" ht="15.75" customHeight="1">
      <c r="A126" s="4" t="s">
        <v>490</v>
      </c>
      <c r="B126" s="4" t="s">
        <v>491</v>
      </c>
      <c r="C126" s="4" t="s">
        <v>39</v>
      </c>
      <c r="D126" s="8" t="s">
        <v>170</v>
      </c>
      <c r="E126" s="3" t="str">
        <f t="shared" si="1"/>
        <v>近年未見</v>
      </c>
      <c r="F126" s="3" t="s">
        <v>179</v>
      </c>
      <c r="G126" s="6"/>
      <c r="H126" s="3" t="str">
        <f t="shared" si="2"/>
        <v>8</v>
      </c>
      <c r="I126" s="3" t="s">
        <v>492</v>
      </c>
      <c r="J126" s="3" t="s">
        <v>181</v>
      </c>
      <c r="K126" s="3">
        <v>1.0</v>
      </c>
      <c r="L126" s="3">
        <v>1.0</v>
      </c>
      <c r="M126" s="9" t="s">
        <v>236</v>
      </c>
      <c r="N126" s="3" t="s">
        <v>130</v>
      </c>
      <c r="O126" s="3"/>
      <c r="P126" s="4" t="s">
        <v>330</v>
      </c>
      <c r="Q126" s="3"/>
      <c r="R126" s="3"/>
      <c r="S126" s="6"/>
      <c r="T126" s="6"/>
      <c r="U126" s="6"/>
    </row>
    <row r="127" ht="15.75" customHeight="1">
      <c r="A127" s="4" t="s">
        <v>493</v>
      </c>
      <c r="B127" s="4" t="s">
        <v>494</v>
      </c>
      <c r="C127" s="4" t="s">
        <v>39</v>
      </c>
      <c r="D127" s="6"/>
      <c r="E127" s="3" t="str">
        <f t="shared" si="1"/>
        <v>現存</v>
      </c>
      <c r="F127" s="3" t="s">
        <v>326</v>
      </c>
      <c r="G127" s="6"/>
      <c r="H127" s="3" t="str">
        <f t="shared" si="2"/>
        <v>9</v>
      </c>
      <c r="I127" s="3" t="s">
        <v>495</v>
      </c>
      <c r="J127" s="3" t="s">
        <v>181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330</v>
      </c>
      <c r="Q127" s="3"/>
      <c r="R127" s="3"/>
      <c r="S127" s="6"/>
      <c r="T127" s="6"/>
      <c r="U127" s="6"/>
    </row>
    <row r="128" ht="15.75" customHeight="1">
      <c r="A128" s="4" t="s">
        <v>496</v>
      </c>
      <c r="B128" s="4" t="s">
        <v>497</v>
      </c>
      <c r="C128" s="4" t="s">
        <v>39</v>
      </c>
      <c r="D128" s="6"/>
      <c r="E128" s="3" t="str">
        <f t="shared" si="1"/>
        <v>現存</v>
      </c>
      <c r="F128" s="3" t="s">
        <v>498</v>
      </c>
      <c r="G128" s="6"/>
      <c r="H128" s="3" t="str">
        <f t="shared" si="2"/>
        <v>9,10</v>
      </c>
      <c r="I128" s="3" t="s">
        <v>499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330</v>
      </c>
      <c r="Q128" s="3"/>
      <c r="R128" s="3"/>
      <c r="S128" s="6"/>
      <c r="T128" s="6"/>
      <c r="U128" s="6"/>
    </row>
    <row r="129" ht="15.75" customHeight="1">
      <c r="A129" s="4" t="s">
        <v>500</v>
      </c>
      <c r="B129" s="4" t="s">
        <v>501</v>
      </c>
      <c r="C129" s="4" t="s">
        <v>39</v>
      </c>
      <c r="D129" s="6"/>
      <c r="E129" s="3" t="str">
        <f t="shared" si="1"/>
        <v>現存</v>
      </c>
      <c r="F129" s="3" t="s">
        <v>498</v>
      </c>
      <c r="G129" s="6"/>
      <c r="H129" s="3" t="str">
        <f t="shared" si="2"/>
        <v>9,10</v>
      </c>
      <c r="I129" s="3" t="s">
        <v>502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330</v>
      </c>
      <c r="Q129" s="3"/>
      <c r="R129" s="3"/>
      <c r="S129" s="6"/>
      <c r="T129" s="6"/>
      <c r="U129" s="6"/>
    </row>
    <row r="130" ht="15.75" customHeight="1">
      <c r="A130" s="4" t="s">
        <v>503</v>
      </c>
      <c r="B130" s="4" t="s">
        <v>504</v>
      </c>
      <c r="C130" s="4" t="s">
        <v>39</v>
      </c>
      <c r="D130" s="6"/>
      <c r="E130" s="3" t="str">
        <f t="shared" si="1"/>
        <v>現存</v>
      </c>
      <c r="F130" s="3" t="s">
        <v>188</v>
      </c>
      <c r="G130" s="6"/>
      <c r="H130" s="3" t="str">
        <f t="shared" si="2"/>
        <v>10</v>
      </c>
      <c r="I130" s="3" t="s">
        <v>505</v>
      </c>
      <c r="J130" s="3" t="s">
        <v>181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330</v>
      </c>
      <c r="Q130" s="3"/>
      <c r="R130" s="3"/>
      <c r="S130" s="6"/>
      <c r="T130" s="6"/>
      <c r="U130" s="6"/>
    </row>
    <row r="131" ht="15.75" customHeight="1">
      <c r="A131" s="4" t="s">
        <v>506</v>
      </c>
      <c r="B131" s="4" t="s">
        <v>507</v>
      </c>
      <c r="C131" s="4" t="s">
        <v>39</v>
      </c>
      <c r="D131" s="6"/>
      <c r="E131" s="3" t="str">
        <f t="shared" si="1"/>
        <v>現存</v>
      </c>
      <c r="F131" s="3" t="s">
        <v>508</v>
      </c>
      <c r="G131" s="6"/>
      <c r="H131" s="3" t="str">
        <f t="shared" si="2"/>
        <v>10,12</v>
      </c>
      <c r="I131" s="3" t="s">
        <v>509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330</v>
      </c>
      <c r="Q131" s="3"/>
      <c r="R131" s="3"/>
      <c r="S131" s="6"/>
      <c r="T131" s="6"/>
      <c r="U131" s="8" t="s">
        <v>510</v>
      </c>
    </row>
    <row r="132" ht="15.75" customHeight="1">
      <c r="A132" s="4" t="s">
        <v>511</v>
      </c>
      <c r="B132" s="4" t="s">
        <v>512</v>
      </c>
      <c r="C132" s="4" t="s">
        <v>39</v>
      </c>
      <c r="D132" s="6"/>
      <c r="E132" s="3" t="str">
        <f t="shared" si="1"/>
        <v>現存</v>
      </c>
      <c r="F132" s="3" t="s">
        <v>188</v>
      </c>
      <c r="G132" s="6"/>
      <c r="H132" s="3" t="str">
        <f t="shared" si="2"/>
        <v>10</v>
      </c>
      <c r="I132" s="3" t="s">
        <v>189</v>
      </c>
      <c r="J132" s="3" t="s">
        <v>181</v>
      </c>
      <c r="K132" s="3">
        <v>1.0</v>
      </c>
      <c r="L132" s="3">
        <v>1.0</v>
      </c>
      <c r="M132" s="9" t="s">
        <v>236</v>
      </c>
      <c r="N132" s="3" t="s">
        <v>44</v>
      </c>
      <c r="O132" s="3"/>
      <c r="P132" s="4" t="s">
        <v>330</v>
      </c>
      <c r="Q132" s="3"/>
      <c r="R132" s="3"/>
      <c r="S132" s="6"/>
      <c r="T132" s="6"/>
      <c r="U132" s="6"/>
    </row>
    <row r="133" ht="15.75" customHeight="1">
      <c r="A133" s="4" t="s">
        <v>513</v>
      </c>
      <c r="B133" s="4" t="s">
        <v>514</v>
      </c>
      <c r="C133" s="4" t="s">
        <v>39</v>
      </c>
      <c r="D133" s="8" t="s">
        <v>381</v>
      </c>
      <c r="E133" s="3" t="str">
        <f t="shared" si="1"/>
        <v>不收錄</v>
      </c>
      <c r="F133" s="3" t="s">
        <v>515</v>
      </c>
      <c r="G133" s="6"/>
      <c r="H133" s="3" t="str">
        <f t="shared" si="2"/>
        <v>11</v>
      </c>
      <c r="I133" s="3" t="s">
        <v>516</v>
      </c>
      <c r="J133" s="3" t="s">
        <v>42</v>
      </c>
      <c r="K133" s="3">
        <v>1.0</v>
      </c>
      <c r="L133" s="3">
        <v>0.0</v>
      </c>
      <c r="M133" s="4" t="s">
        <v>236</v>
      </c>
      <c r="N133" s="3"/>
      <c r="O133" s="3"/>
      <c r="P133" s="4" t="s">
        <v>330</v>
      </c>
      <c r="Q133" s="3"/>
      <c r="R133" s="3"/>
      <c r="S133" s="6"/>
      <c r="T133" s="6"/>
      <c r="U133" s="6"/>
    </row>
    <row r="134" ht="15.75" customHeight="1">
      <c r="A134" s="4" t="s">
        <v>517</v>
      </c>
      <c r="B134" s="4" t="s">
        <v>518</v>
      </c>
      <c r="C134" s="4" t="s">
        <v>39</v>
      </c>
      <c r="D134" s="6"/>
      <c r="E134" s="3" t="str">
        <f t="shared" si="1"/>
        <v>現存</v>
      </c>
      <c r="F134" s="3" t="s">
        <v>519</v>
      </c>
      <c r="G134" s="6"/>
      <c r="H134" s="3" t="str">
        <f t="shared" si="2"/>
        <v>1,7,10</v>
      </c>
      <c r="I134" s="3" t="s">
        <v>520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521</v>
      </c>
      <c r="Q134" s="3"/>
      <c r="R134" s="3"/>
      <c r="S134" s="6"/>
      <c r="T134" s="6"/>
      <c r="U134" s="6"/>
    </row>
    <row r="135" ht="15.75" customHeight="1">
      <c r="A135" s="4" t="s">
        <v>522</v>
      </c>
      <c r="B135" s="4" t="s">
        <v>523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391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156</v>
      </c>
      <c r="O135" s="3"/>
      <c r="P135" s="4" t="s">
        <v>524</v>
      </c>
      <c r="Q135" s="3"/>
      <c r="R135" s="3"/>
      <c r="S135" s="6"/>
      <c r="T135" s="6"/>
      <c r="U135" s="6"/>
    </row>
    <row r="136" ht="15.75" customHeight="1">
      <c r="A136" s="4" t="s">
        <v>525</v>
      </c>
      <c r="B136" s="4" t="s">
        <v>526</v>
      </c>
      <c r="C136" s="4" t="s">
        <v>39</v>
      </c>
      <c r="D136" s="6"/>
      <c r="E136" s="3" t="str">
        <f t="shared" si="1"/>
        <v>現存</v>
      </c>
      <c r="F136" s="3" t="s">
        <v>130</v>
      </c>
      <c r="G136" s="6"/>
      <c r="H136" s="3" t="str">
        <f t="shared" si="2"/>
        <v>1</v>
      </c>
      <c r="I136" s="3" t="s">
        <v>527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156</v>
      </c>
      <c r="O136" s="3"/>
      <c r="P136" s="4" t="s">
        <v>524</v>
      </c>
      <c r="Q136" s="3"/>
      <c r="R136" s="3"/>
      <c r="S136" s="6"/>
      <c r="T136" s="6"/>
      <c r="U136" s="6"/>
    </row>
    <row r="137" ht="15.75" customHeight="1">
      <c r="A137" s="4" t="s">
        <v>528</v>
      </c>
      <c r="B137" s="4" t="s">
        <v>529</v>
      </c>
      <c r="C137" s="4" t="s">
        <v>39</v>
      </c>
      <c r="D137" s="8" t="s">
        <v>381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530</v>
      </c>
      <c r="J137" s="3" t="s">
        <v>65</v>
      </c>
      <c r="K137" s="3">
        <v>2.0</v>
      </c>
      <c r="L137" s="3">
        <v>1.0</v>
      </c>
      <c r="M137" s="9" t="s">
        <v>236</v>
      </c>
      <c r="N137" s="3" t="s">
        <v>44</v>
      </c>
      <c r="O137" s="3"/>
      <c r="P137" s="4" t="s">
        <v>531</v>
      </c>
      <c r="Q137" s="3"/>
      <c r="R137" s="3"/>
      <c r="S137" s="6"/>
      <c r="T137" s="6"/>
      <c r="U137" s="6"/>
    </row>
    <row r="138" ht="15.75" customHeight="1">
      <c r="A138" s="4" t="s">
        <v>532</v>
      </c>
      <c r="B138" s="4" t="s">
        <v>533</v>
      </c>
      <c r="C138" s="4" t="s">
        <v>39</v>
      </c>
      <c r="D138" s="6"/>
      <c r="E138" s="3" t="str">
        <f t="shared" si="1"/>
        <v>現存</v>
      </c>
      <c r="F138" s="3" t="s">
        <v>130</v>
      </c>
      <c r="G138" s="6"/>
      <c r="H138" s="3" t="str">
        <f t="shared" si="2"/>
        <v>1</v>
      </c>
      <c r="I138" s="3" t="s">
        <v>534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130</v>
      </c>
      <c r="O138" s="3"/>
      <c r="P138" s="4" t="s">
        <v>330</v>
      </c>
      <c r="Q138" s="3"/>
      <c r="R138" s="3"/>
      <c r="S138" s="6"/>
      <c r="T138" s="6"/>
      <c r="U138" s="6"/>
    </row>
    <row r="139" ht="15.75" customHeight="1">
      <c r="A139" s="4" t="s">
        <v>535</v>
      </c>
      <c r="B139" s="4" t="s">
        <v>536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537</v>
      </c>
      <c r="J139" s="3" t="s">
        <v>42</v>
      </c>
      <c r="K139" s="3">
        <v>1.0</v>
      </c>
      <c r="L139" s="3">
        <v>1.0</v>
      </c>
      <c r="M139" s="9" t="s">
        <v>236</v>
      </c>
      <c r="N139" s="3" t="s">
        <v>130</v>
      </c>
      <c r="O139" s="3"/>
      <c r="P139" s="4" t="s">
        <v>330</v>
      </c>
      <c r="Q139" s="3"/>
      <c r="R139" s="3"/>
      <c r="S139" s="6"/>
      <c r="T139" s="6"/>
      <c r="U139" s="6"/>
    </row>
    <row r="140" ht="15.75" customHeight="1">
      <c r="A140" s="4" t="s">
        <v>538</v>
      </c>
      <c r="B140" s="9" t="s">
        <v>53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539</v>
      </c>
      <c r="J140" s="3" t="s">
        <v>42</v>
      </c>
      <c r="K140" s="3">
        <v>1.0</v>
      </c>
      <c r="L140" s="3">
        <v>1.0</v>
      </c>
      <c r="M140" s="9" t="s">
        <v>236</v>
      </c>
      <c r="N140" s="3" t="s">
        <v>156</v>
      </c>
      <c r="O140" s="3"/>
      <c r="P140" s="4" t="s">
        <v>524</v>
      </c>
      <c r="Q140" s="3"/>
      <c r="R140" s="3"/>
      <c r="S140" s="6"/>
      <c r="T140" s="6"/>
      <c r="U140" s="6"/>
    </row>
    <row r="141" ht="15.75" customHeight="1">
      <c r="A141" s="4" t="s">
        <v>540</v>
      </c>
      <c r="B141" s="4" t="s">
        <v>541</v>
      </c>
      <c r="C141" s="4" t="s">
        <v>39</v>
      </c>
      <c r="D141" s="6"/>
      <c r="E141" s="3" t="str">
        <f t="shared" si="1"/>
        <v>現存</v>
      </c>
      <c r="F141" s="3" t="s">
        <v>542</v>
      </c>
      <c r="G141" s="6"/>
      <c r="H141" s="3" t="str">
        <f t="shared" si="2"/>
        <v>2,5</v>
      </c>
      <c r="I141" s="3" t="s">
        <v>543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130</v>
      </c>
      <c r="O141" s="3"/>
      <c r="P141" s="4" t="s">
        <v>330</v>
      </c>
      <c r="Q141" s="3"/>
      <c r="R141" s="3"/>
      <c r="S141" s="6"/>
      <c r="T141" s="6"/>
      <c r="U141" s="8" t="s">
        <v>544</v>
      </c>
    </row>
    <row r="142" ht="15.75" customHeight="1">
      <c r="A142" s="4" t="s">
        <v>545</v>
      </c>
      <c r="B142" s="4" t="s">
        <v>546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547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548</v>
      </c>
      <c r="Q142" s="3"/>
      <c r="R142" s="3"/>
      <c r="S142" s="6"/>
      <c r="T142" s="6"/>
      <c r="U142" s="6"/>
    </row>
    <row r="143" ht="15.75" customHeight="1">
      <c r="A143" s="4" t="s">
        <v>549</v>
      </c>
      <c r="B143" s="4" t="s">
        <v>550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236</v>
      </c>
      <c r="N143" s="3" t="s">
        <v>130</v>
      </c>
      <c r="O143" s="3"/>
      <c r="P143" s="4" t="s">
        <v>330</v>
      </c>
      <c r="Q143" s="3"/>
      <c r="R143" s="3"/>
      <c r="S143" s="6"/>
      <c r="T143" s="6"/>
      <c r="U143" s="6"/>
    </row>
    <row r="144" ht="15.75" customHeight="1">
      <c r="A144" s="4" t="s">
        <v>551</v>
      </c>
      <c r="B144" s="4" t="s">
        <v>552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553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548</v>
      </c>
      <c r="Q144" s="3"/>
      <c r="R144" s="3"/>
      <c r="S144" s="6"/>
      <c r="T144" s="6"/>
      <c r="U144" s="6"/>
    </row>
    <row r="145" ht="15.75" customHeight="1">
      <c r="A145" s="4" t="s">
        <v>554</v>
      </c>
      <c r="B145" s="4" t="s">
        <v>555</v>
      </c>
      <c r="C145" s="4" t="s">
        <v>39</v>
      </c>
      <c r="D145" s="6"/>
      <c r="E145" s="3" t="str">
        <f t="shared" si="1"/>
        <v>現存</v>
      </c>
      <c r="F145" s="3" t="s">
        <v>556</v>
      </c>
      <c r="G145" s="6"/>
      <c r="H145" s="3" t="str">
        <f t="shared" si="2"/>
        <v>3,7</v>
      </c>
      <c r="I145" s="3" t="s">
        <v>557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156</v>
      </c>
      <c r="O145" s="3"/>
      <c r="P145" s="4" t="s">
        <v>524</v>
      </c>
      <c r="Q145" s="3"/>
      <c r="R145" s="3"/>
      <c r="S145" s="6"/>
      <c r="T145" s="6"/>
      <c r="U145" s="6"/>
    </row>
    <row r="146" ht="15.75" customHeight="1">
      <c r="A146" s="4" t="s">
        <v>558</v>
      </c>
      <c r="B146" s="9" t="s">
        <v>559</v>
      </c>
      <c r="C146" s="4" t="s">
        <v>39</v>
      </c>
      <c r="D146" s="6"/>
      <c r="E146" s="3" t="str">
        <f t="shared" si="1"/>
        <v>現存</v>
      </c>
      <c r="F146" s="3" t="s">
        <v>156</v>
      </c>
      <c r="G146" s="6"/>
      <c r="H146" s="3" t="str">
        <f t="shared" si="2"/>
        <v>4</v>
      </c>
      <c r="I146" s="3" t="s">
        <v>560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156</v>
      </c>
      <c r="O146" s="3"/>
      <c r="P146" s="4" t="s">
        <v>524</v>
      </c>
      <c r="Q146" s="3"/>
      <c r="R146" s="3"/>
      <c r="S146" s="6"/>
      <c r="T146" s="6"/>
      <c r="U146" s="6"/>
    </row>
    <row r="147" ht="15.75" customHeight="1">
      <c r="A147" s="4" t="s">
        <v>561</v>
      </c>
      <c r="B147" s="4" t="s">
        <v>562</v>
      </c>
      <c r="C147" s="4" t="s">
        <v>170</v>
      </c>
      <c r="D147" s="8" t="s">
        <v>39</v>
      </c>
      <c r="E147" s="3" t="str">
        <f t="shared" si="1"/>
        <v>現存</v>
      </c>
      <c r="F147" s="3" t="s">
        <v>156</v>
      </c>
      <c r="G147" s="6"/>
      <c r="H147" s="3" t="str">
        <f t="shared" si="2"/>
        <v>4</v>
      </c>
      <c r="I147" s="3" t="s">
        <v>563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156</v>
      </c>
      <c r="O147" s="3"/>
      <c r="P147" s="4" t="s">
        <v>524</v>
      </c>
      <c r="Q147" s="3"/>
      <c r="R147" s="3"/>
      <c r="S147" s="6"/>
      <c r="T147" s="6"/>
      <c r="U147" s="6"/>
    </row>
    <row r="148" ht="15.75" customHeight="1">
      <c r="A148" s="4" t="s">
        <v>564</v>
      </c>
      <c r="B148" s="4" t="s">
        <v>565</v>
      </c>
      <c r="C148" s="4" t="s">
        <v>39</v>
      </c>
      <c r="D148" s="6"/>
      <c r="E148" s="3" t="str">
        <f t="shared" si="1"/>
        <v>現存</v>
      </c>
      <c r="F148" s="3" t="s">
        <v>566</v>
      </c>
      <c r="G148" s="6"/>
      <c r="H148" s="3" t="str">
        <f t="shared" si="2"/>
        <v>4,8</v>
      </c>
      <c r="I148" s="3" t="s">
        <v>567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548</v>
      </c>
      <c r="Q148" s="3"/>
      <c r="R148" s="3"/>
      <c r="S148" s="6"/>
      <c r="T148" s="6"/>
      <c r="U148" s="6"/>
    </row>
    <row r="149" ht="15.75" customHeight="1">
      <c r="A149" s="4" t="s">
        <v>568</v>
      </c>
      <c r="B149" s="4" t="s">
        <v>569</v>
      </c>
      <c r="C149" s="4" t="s">
        <v>39</v>
      </c>
      <c r="D149" s="6"/>
      <c r="E149" s="3" t="str">
        <f t="shared" si="1"/>
        <v>現存</v>
      </c>
      <c r="F149" s="3" t="s">
        <v>450</v>
      </c>
      <c r="G149" s="6"/>
      <c r="H149" s="3" t="str">
        <f t="shared" si="2"/>
        <v>5</v>
      </c>
      <c r="I149" s="3" t="s">
        <v>410</v>
      </c>
      <c r="J149" s="3" t="s">
        <v>42</v>
      </c>
      <c r="K149" s="3">
        <v>1.0</v>
      </c>
      <c r="L149" s="3">
        <v>1.0</v>
      </c>
      <c r="M149" s="9" t="s">
        <v>236</v>
      </c>
      <c r="N149" s="3" t="s">
        <v>130</v>
      </c>
      <c r="O149" s="3"/>
      <c r="P149" s="4" t="s">
        <v>330</v>
      </c>
      <c r="Q149" s="3"/>
      <c r="R149" s="3"/>
      <c r="S149" s="6"/>
      <c r="T149" s="6"/>
      <c r="U149" s="6"/>
    </row>
    <row r="150" ht="15.75" customHeight="1">
      <c r="A150" s="4" t="s">
        <v>570</v>
      </c>
      <c r="B150" s="4" t="s">
        <v>571</v>
      </c>
      <c r="C150" s="4" t="s">
        <v>39</v>
      </c>
      <c r="D150" s="6"/>
      <c r="E150" s="3" t="str">
        <f t="shared" si="1"/>
        <v>現存</v>
      </c>
      <c r="F150" s="3" t="s">
        <v>450</v>
      </c>
      <c r="G150" s="6"/>
      <c r="H150" s="3" t="str">
        <f t="shared" si="2"/>
        <v>5</v>
      </c>
      <c r="I150" s="3" t="s">
        <v>572</v>
      </c>
      <c r="J150" s="3" t="s">
        <v>42</v>
      </c>
      <c r="K150" s="3">
        <v>1.0</v>
      </c>
      <c r="L150" s="3">
        <v>1.0</v>
      </c>
      <c r="M150" s="9" t="s">
        <v>236</v>
      </c>
      <c r="N150" s="3" t="s">
        <v>130</v>
      </c>
      <c r="O150" s="3"/>
      <c r="P150" s="4" t="s">
        <v>330</v>
      </c>
      <c r="Q150" s="3"/>
      <c r="R150" s="3"/>
      <c r="S150" s="6"/>
      <c r="T150" s="6"/>
      <c r="U150" s="6"/>
    </row>
    <row r="151" ht="15.75" customHeight="1">
      <c r="A151" s="4" t="s">
        <v>573</v>
      </c>
      <c r="B151" s="4" t="s">
        <v>574</v>
      </c>
      <c r="C151" s="4" t="s">
        <v>39</v>
      </c>
      <c r="D151" s="6"/>
      <c r="E151" s="3" t="str">
        <f t="shared" si="1"/>
        <v>現存</v>
      </c>
      <c r="F151" s="3" t="s">
        <v>450</v>
      </c>
      <c r="G151" s="6"/>
      <c r="H151" s="3" t="str">
        <f t="shared" si="2"/>
        <v>5</v>
      </c>
      <c r="I151" s="3" t="s">
        <v>276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156</v>
      </c>
      <c r="O151" s="3"/>
      <c r="P151" s="4" t="s">
        <v>194</v>
      </c>
      <c r="Q151" s="3"/>
      <c r="R151" s="3"/>
      <c r="S151" s="6"/>
      <c r="T151" s="6"/>
      <c r="U151" s="6"/>
    </row>
    <row r="152" ht="15.75" customHeight="1">
      <c r="A152" s="4" t="s">
        <v>575</v>
      </c>
      <c r="B152" s="4" t="s">
        <v>576</v>
      </c>
      <c r="C152" s="4" t="s">
        <v>39</v>
      </c>
      <c r="D152" s="6"/>
      <c r="E152" s="3" t="str">
        <f t="shared" si="1"/>
        <v>現存</v>
      </c>
      <c r="F152" s="3" t="s">
        <v>459</v>
      </c>
      <c r="G152" s="6"/>
      <c r="H152" s="3" t="str">
        <f t="shared" si="2"/>
        <v>5,10</v>
      </c>
      <c r="I152" s="3" t="s">
        <v>577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330</v>
      </c>
      <c r="Q152" s="3"/>
      <c r="R152" s="3"/>
      <c r="S152" s="6"/>
      <c r="T152" s="6"/>
      <c r="U152" s="6"/>
    </row>
    <row r="153" ht="15.75" customHeight="1">
      <c r="A153" s="4" t="s">
        <v>578</v>
      </c>
      <c r="B153" s="4" t="s">
        <v>579</v>
      </c>
      <c r="C153" s="4" t="s">
        <v>39</v>
      </c>
      <c r="D153" s="6"/>
      <c r="E153" s="3" t="str">
        <f t="shared" si="1"/>
        <v>現存</v>
      </c>
      <c r="F153" s="3" t="s">
        <v>450</v>
      </c>
      <c r="G153" s="6"/>
      <c r="H153" s="3" t="str">
        <f t="shared" si="2"/>
        <v>5</v>
      </c>
      <c r="I153" s="3" t="s">
        <v>580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130</v>
      </c>
      <c r="O153" s="3"/>
      <c r="P153" s="4" t="s">
        <v>330</v>
      </c>
      <c r="Q153" s="3"/>
      <c r="R153" s="3"/>
      <c r="S153" s="6"/>
      <c r="T153" s="6"/>
      <c r="U153" s="6"/>
    </row>
    <row r="154" ht="15.75" customHeight="1">
      <c r="A154" s="4" t="s">
        <v>581</v>
      </c>
      <c r="B154" s="4" t="s">
        <v>582</v>
      </c>
      <c r="C154" s="4" t="s">
        <v>39</v>
      </c>
      <c r="D154" s="6"/>
      <c r="E154" s="3" t="str">
        <f t="shared" si="1"/>
        <v>現存</v>
      </c>
      <c r="F154" s="3" t="s">
        <v>310</v>
      </c>
      <c r="G154" s="6"/>
      <c r="H154" s="3" t="str">
        <f t="shared" si="2"/>
        <v>6</v>
      </c>
      <c r="I154" s="3" t="s">
        <v>430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156</v>
      </c>
      <c r="O154" s="3"/>
      <c r="P154" s="4" t="s">
        <v>194</v>
      </c>
      <c r="Q154" s="3"/>
      <c r="R154" s="3"/>
      <c r="S154" s="6"/>
      <c r="T154" s="6"/>
      <c r="U154" s="6"/>
    </row>
    <row r="155" ht="15.75" customHeight="1">
      <c r="A155" s="4" t="s">
        <v>583</v>
      </c>
      <c r="B155" s="4" t="s">
        <v>584</v>
      </c>
      <c r="C155" s="4" t="s">
        <v>39</v>
      </c>
      <c r="D155" s="6"/>
      <c r="E155" s="3" t="str">
        <f t="shared" si="1"/>
        <v>現存</v>
      </c>
      <c r="F155" s="3" t="s">
        <v>310</v>
      </c>
      <c r="G155" s="6"/>
      <c r="H155" s="3" t="str">
        <f t="shared" si="2"/>
        <v>6</v>
      </c>
      <c r="I155" s="3" t="s">
        <v>585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130</v>
      </c>
      <c r="O155" s="3"/>
      <c r="P155" s="4" t="s">
        <v>330</v>
      </c>
      <c r="Q155" s="3"/>
      <c r="R155" s="3"/>
      <c r="S155" s="6"/>
      <c r="T155" s="6"/>
      <c r="U155" s="6"/>
    </row>
    <row r="156" ht="15.75" customHeight="1">
      <c r="A156" s="4" t="s">
        <v>586</v>
      </c>
      <c r="B156" s="4" t="s">
        <v>587</v>
      </c>
      <c r="C156" s="4" t="s">
        <v>39</v>
      </c>
      <c r="D156" s="8" t="s">
        <v>381</v>
      </c>
      <c r="E156" s="3" t="str">
        <f t="shared" si="1"/>
        <v>不收錄</v>
      </c>
      <c r="F156" s="3" t="s">
        <v>588</v>
      </c>
      <c r="G156" s="6"/>
      <c r="H156" s="3" t="str">
        <f t="shared" si="2"/>
        <v>6,7</v>
      </c>
      <c r="I156" s="3" t="s">
        <v>589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156</v>
      </c>
      <c r="O156" s="3"/>
      <c r="P156" s="4" t="s">
        <v>531</v>
      </c>
      <c r="Q156" s="3"/>
      <c r="R156" s="3"/>
      <c r="S156" s="6"/>
      <c r="T156" s="6"/>
      <c r="U156" s="6"/>
    </row>
    <row r="157" ht="15.75" customHeight="1">
      <c r="A157" s="4" t="s">
        <v>590</v>
      </c>
      <c r="B157" s="4" t="s">
        <v>591</v>
      </c>
      <c r="C157" s="4" t="s">
        <v>39</v>
      </c>
      <c r="D157" s="6"/>
      <c r="E157" s="3" t="str">
        <f t="shared" si="1"/>
        <v>現存</v>
      </c>
      <c r="F157" s="3" t="s">
        <v>478</v>
      </c>
      <c r="G157" s="6"/>
      <c r="H157" s="3" t="str">
        <f t="shared" si="2"/>
        <v>7,8</v>
      </c>
      <c r="I157" s="3" t="s">
        <v>592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156</v>
      </c>
      <c r="O157" s="3"/>
      <c r="P157" s="4" t="s">
        <v>194</v>
      </c>
      <c r="Q157" s="3"/>
      <c r="R157" s="3"/>
      <c r="S157" s="6"/>
      <c r="T157" s="6"/>
      <c r="U157" s="6"/>
    </row>
    <row r="158" ht="15.75" customHeight="1">
      <c r="A158" s="4" t="s">
        <v>593</v>
      </c>
      <c r="B158" s="4" t="s">
        <v>594</v>
      </c>
      <c r="C158" s="4" t="s">
        <v>39</v>
      </c>
      <c r="D158" s="6"/>
      <c r="E158" s="3" t="str">
        <f t="shared" si="1"/>
        <v>現存</v>
      </c>
      <c r="F158" s="3" t="s">
        <v>595</v>
      </c>
      <c r="G158" s="6"/>
      <c r="H158" s="3" t="str">
        <f t="shared" si="2"/>
        <v>7,8,9,10</v>
      </c>
      <c r="I158" s="3" t="s">
        <v>303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130</v>
      </c>
      <c r="O158" s="3"/>
      <c r="P158" s="4" t="s">
        <v>330</v>
      </c>
      <c r="Q158" s="3"/>
      <c r="R158" s="3"/>
      <c r="S158" s="6"/>
      <c r="T158" s="6"/>
      <c r="U158" s="6"/>
    </row>
    <row r="159" ht="15.75" customHeight="1">
      <c r="A159" s="4" t="s">
        <v>596</v>
      </c>
      <c r="B159" s="4" t="s">
        <v>597</v>
      </c>
      <c r="C159" s="4" t="s">
        <v>39</v>
      </c>
      <c r="D159" s="6"/>
      <c r="E159" s="3" t="str">
        <f t="shared" si="1"/>
        <v>現存</v>
      </c>
      <c r="F159" s="3" t="s">
        <v>175</v>
      </c>
      <c r="G159" s="6"/>
      <c r="H159" s="3" t="str">
        <f t="shared" si="2"/>
        <v>8,9</v>
      </c>
      <c r="I159" s="3" t="s">
        <v>598</v>
      </c>
      <c r="J159" s="3" t="s">
        <v>42</v>
      </c>
      <c r="K159" s="3">
        <v>2.0</v>
      </c>
      <c r="L159" s="3">
        <v>1.0</v>
      </c>
      <c r="M159" s="9" t="s">
        <v>236</v>
      </c>
      <c r="N159" s="3" t="s">
        <v>130</v>
      </c>
      <c r="O159" s="3"/>
      <c r="P159" s="4" t="s">
        <v>330</v>
      </c>
      <c r="Q159" s="3"/>
      <c r="R159" s="3"/>
      <c r="S159" s="6"/>
      <c r="T159" s="6"/>
      <c r="U159" s="6"/>
    </row>
    <row r="160" ht="15.75" customHeight="1">
      <c r="A160" s="4" t="s">
        <v>599</v>
      </c>
      <c r="B160" s="4" t="s">
        <v>600</v>
      </c>
      <c r="C160" s="4" t="s">
        <v>39</v>
      </c>
      <c r="D160" s="6"/>
      <c r="E160" s="3" t="str">
        <f t="shared" si="1"/>
        <v>現存</v>
      </c>
      <c r="F160" s="3" t="s">
        <v>179</v>
      </c>
      <c r="G160" s="6"/>
      <c r="H160" s="3" t="str">
        <f t="shared" si="2"/>
        <v>8</v>
      </c>
      <c r="I160" s="3" t="s">
        <v>601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130</v>
      </c>
      <c r="O160" s="3"/>
      <c r="P160" s="4" t="s">
        <v>330</v>
      </c>
      <c r="Q160" s="3"/>
      <c r="R160" s="3"/>
      <c r="S160" s="6"/>
      <c r="T160" s="6"/>
      <c r="U160" s="6"/>
    </row>
    <row r="161" ht="15.75" customHeight="1">
      <c r="A161" s="4" t="s">
        <v>602</v>
      </c>
      <c r="B161" s="4" t="s">
        <v>603</v>
      </c>
      <c r="C161" s="4" t="s">
        <v>39</v>
      </c>
      <c r="D161" s="6"/>
      <c r="E161" s="3" t="str">
        <f t="shared" si="1"/>
        <v>現存</v>
      </c>
      <c r="F161" s="3" t="s">
        <v>179</v>
      </c>
      <c r="G161" s="6"/>
      <c r="H161" s="3" t="str">
        <f t="shared" si="2"/>
        <v>8</v>
      </c>
      <c r="I161" s="3" t="s">
        <v>481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330</v>
      </c>
      <c r="Q161" s="3"/>
      <c r="R161" s="3"/>
      <c r="S161" s="6"/>
      <c r="T161" s="6"/>
      <c r="U161" s="6"/>
    </row>
    <row r="162" ht="15.75" customHeight="1">
      <c r="A162" s="4" t="s">
        <v>604</v>
      </c>
      <c r="B162" s="4" t="s">
        <v>605</v>
      </c>
      <c r="C162" s="4" t="s">
        <v>39</v>
      </c>
      <c r="D162" s="6"/>
      <c r="E162" s="3" t="str">
        <f t="shared" si="1"/>
        <v>現存</v>
      </c>
      <c r="F162" s="3" t="s">
        <v>326</v>
      </c>
      <c r="G162" s="6"/>
      <c r="H162" s="3" t="str">
        <f t="shared" si="2"/>
        <v>9</v>
      </c>
      <c r="I162" s="3" t="s">
        <v>92</v>
      </c>
      <c r="J162" s="3" t="s">
        <v>135</v>
      </c>
      <c r="K162" s="3">
        <v>1.0</v>
      </c>
      <c r="L162" s="3">
        <v>1.0</v>
      </c>
      <c r="M162" s="4" t="s">
        <v>43</v>
      </c>
      <c r="N162" s="3" t="s">
        <v>130</v>
      </c>
      <c r="O162" s="3"/>
      <c r="P162" s="4" t="s">
        <v>330</v>
      </c>
      <c r="Q162" s="3"/>
      <c r="R162" s="3"/>
      <c r="S162" s="6"/>
      <c r="T162" s="6"/>
      <c r="U162" s="6"/>
    </row>
    <row r="163" ht="15.75" customHeight="1">
      <c r="A163" s="4" t="s">
        <v>606</v>
      </c>
      <c r="B163" s="4" t="s">
        <v>607</v>
      </c>
      <c r="C163" s="4" t="s">
        <v>39</v>
      </c>
      <c r="D163" s="6"/>
      <c r="E163" s="3" t="str">
        <f t="shared" si="1"/>
        <v>現存</v>
      </c>
      <c r="F163" s="3" t="s">
        <v>498</v>
      </c>
      <c r="G163" s="6"/>
      <c r="H163" s="3" t="str">
        <f t="shared" si="2"/>
        <v>9,10</v>
      </c>
      <c r="I163" s="3" t="s">
        <v>322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330</v>
      </c>
      <c r="Q163" s="3"/>
      <c r="R163" s="3"/>
      <c r="S163" s="6"/>
      <c r="T163" s="6"/>
      <c r="U163" s="6"/>
    </row>
    <row r="164" ht="15.75" customHeight="1">
      <c r="A164" s="4" t="s">
        <v>608</v>
      </c>
      <c r="B164" s="4" t="s">
        <v>609</v>
      </c>
      <c r="C164" s="4" t="s">
        <v>39</v>
      </c>
      <c r="D164" s="6"/>
      <c r="E164" s="3" t="str">
        <f t="shared" si="1"/>
        <v>現存</v>
      </c>
      <c r="F164" s="3" t="s">
        <v>326</v>
      </c>
      <c r="G164" s="6"/>
      <c r="H164" s="3" t="str">
        <f t="shared" si="2"/>
        <v>9</v>
      </c>
      <c r="I164" s="3" t="s">
        <v>598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130</v>
      </c>
      <c r="O164" s="3"/>
      <c r="P164" s="4" t="s">
        <v>330</v>
      </c>
      <c r="Q164" s="3"/>
      <c r="R164" s="3"/>
      <c r="S164" s="6"/>
      <c r="T164" s="6"/>
      <c r="U164" s="6"/>
    </row>
    <row r="165" ht="15.75" customHeight="1">
      <c r="A165" s="4" t="s">
        <v>610</v>
      </c>
      <c r="B165" s="4" t="s">
        <v>611</v>
      </c>
      <c r="C165" s="4" t="s">
        <v>39</v>
      </c>
      <c r="D165" s="6"/>
      <c r="E165" s="3" t="str">
        <f t="shared" si="1"/>
        <v>現存</v>
      </c>
      <c r="F165" s="3" t="s">
        <v>326</v>
      </c>
      <c r="G165" s="6"/>
      <c r="H165" s="3" t="str">
        <f t="shared" si="2"/>
        <v>9</v>
      </c>
      <c r="I165" s="3" t="s">
        <v>92</v>
      </c>
      <c r="J165" s="3" t="s">
        <v>135</v>
      </c>
      <c r="K165" s="3">
        <v>1.0</v>
      </c>
      <c r="L165" s="3">
        <v>1.0</v>
      </c>
      <c r="M165" s="4" t="s">
        <v>43</v>
      </c>
      <c r="N165" s="3" t="s">
        <v>156</v>
      </c>
      <c r="O165" s="3"/>
      <c r="P165" s="4" t="s">
        <v>524</v>
      </c>
      <c r="Q165" s="3"/>
      <c r="R165" s="3"/>
      <c r="S165" s="6"/>
      <c r="T165" s="6"/>
      <c r="U165" s="6"/>
    </row>
    <row r="166" ht="15.75" customHeight="1">
      <c r="A166" s="4" t="s">
        <v>612</v>
      </c>
      <c r="B166" s="4" t="s">
        <v>613</v>
      </c>
      <c r="C166" s="4" t="s">
        <v>39</v>
      </c>
      <c r="D166" s="8" t="s">
        <v>39</v>
      </c>
      <c r="E166" s="3" t="str">
        <f t="shared" si="1"/>
        <v>現存</v>
      </c>
      <c r="F166" s="3" t="s">
        <v>326</v>
      </c>
      <c r="G166" s="6"/>
      <c r="H166" s="3" t="str">
        <f t="shared" si="2"/>
        <v>9</v>
      </c>
      <c r="I166" s="3" t="s">
        <v>88</v>
      </c>
      <c r="J166" s="3" t="s">
        <v>135</v>
      </c>
      <c r="K166" s="3">
        <v>1.0</v>
      </c>
      <c r="L166" s="3">
        <v>1.0</v>
      </c>
      <c r="M166" s="4" t="s">
        <v>43</v>
      </c>
      <c r="N166" s="3" t="s">
        <v>130</v>
      </c>
      <c r="O166" s="3"/>
      <c r="P166" s="4" t="s">
        <v>330</v>
      </c>
      <c r="Q166" s="3"/>
      <c r="R166" s="3"/>
      <c r="S166" s="6"/>
      <c r="T166" s="6"/>
      <c r="U166" s="6"/>
    </row>
    <row r="167" ht="15.75" customHeight="1">
      <c r="A167" s="4" t="s">
        <v>614</v>
      </c>
      <c r="B167" s="4" t="s">
        <v>615</v>
      </c>
      <c r="C167" s="4" t="s">
        <v>39</v>
      </c>
      <c r="D167" s="6"/>
      <c r="E167" s="3" t="str">
        <f t="shared" si="1"/>
        <v>現存</v>
      </c>
      <c r="F167" s="3" t="s">
        <v>616</v>
      </c>
      <c r="G167" s="6"/>
      <c r="H167" s="3" t="str">
        <f t="shared" si="2"/>
        <v>10,11</v>
      </c>
      <c r="I167" s="3" t="s">
        <v>617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156</v>
      </c>
      <c r="O167" s="3"/>
      <c r="P167" s="9" t="s">
        <v>194</v>
      </c>
      <c r="Q167" s="3"/>
      <c r="R167" s="3"/>
      <c r="S167" s="6"/>
      <c r="T167" s="6"/>
      <c r="U167" s="6"/>
    </row>
    <row r="168" ht="15.75" customHeight="1">
      <c r="A168" s="4" t="s">
        <v>618</v>
      </c>
      <c r="B168" s="4" t="s">
        <v>619</v>
      </c>
      <c r="C168" s="4" t="s">
        <v>39</v>
      </c>
      <c r="D168" s="8" t="s">
        <v>170</v>
      </c>
      <c r="E168" s="3" t="str">
        <f t="shared" si="1"/>
        <v>近年未見</v>
      </c>
      <c r="F168" s="3" t="s">
        <v>188</v>
      </c>
      <c r="G168" s="6"/>
      <c r="H168" s="3" t="str">
        <f t="shared" si="2"/>
        <v>10</v>
      </c>
      <c r="I168" s="3" t="s">
        <v>620</v>
      </c>
      <c r="J168" s="3" t="s">
        <v>181</v>
      </c>
      <c r="K168" s="3">
        <v>1.0</v>
      </c>
      <c r="L168" s="3">
        <v>1.0</v>
      </c>
      <c r="M168" s="9" t="s">
        <v>236</v>
      </c>
      <c r="N168" s="3" t="s">
        <v>130</v>
      </c>
      <c r="O168" s="3"/>
      <c r="P168" s="4" t="s">
        <v>330</v>
      </c>
      <c r="Q168" s="3"/>
      <c r="R168" s="3"/>
      <c r="S168" s="6"/>
      <c r="T168" s="6"/>
      <c r="U168" s="6"/>
    </row>
    <row r="169" ht="15.75" customHeight="1">
      <c r="A169" s="4" t="s">
        <v>621</v>
      </c>
      <c r="B169" s="4" t="s">
        <v>622</v>
      </c>
      <c r="C169" s="4" t="s">
        <v>39</v>
      </c>
      <c r="D169" s="6"/>
      <c r="E169" s="3" t="str">
        <f t="shared" si="1"/>
        <v>現存</v>
      </c>
      <c r="F169" s="3" t="s">
        <v>515</v>
      </c>
      <c r="G169" s="6"/>
      <c r="H169" s="3" t="str">
        <f t="shared" si="2"/>
        <v>11</v>
      </c>
      <c r="I169" s="3" t="s">
        <v>623</v>
      </c>
      <c r="J169" s="3" t="s">
        <v>181</v>
      </c>
      <c r="K169" s="3">
        <v>3.0</v>
      </c>
      <c r="L169" s="3">
        <v>1.0</v>
      </c>
      <c r="M169" s="9" t="s">
        <v>236</v>
      </c>
      <c r="N169" s="3" t="s">
        <v>130</v>
      </c>
      <c r="O169" s="3"/>
      <c r="P169" s="4" t="s">
        <v>330</v>
      </c>
      <c r="Q169" s="3"/>
      <c r="R169" s="3"/>
      <c r="S169" s="6"/>
      <c r="T169" s="6"/>
      <c r="U169" s="6"/>
    </row>
    <row r="170" ht="15.75" customHeight="1">
      <c r="A170" s="4" t="s">
        <v>624</v>
      </c>
      <c r="B170" s="4" t="s">
        <v>625</v>
      </c>
      <c r="C170" s="4" t="s">
        <v>39</v>
      </c>
      <c r="D170" s="6"/>
      <c r="E170" s="3" t="str">
        <f t="shared" si="1"/>
        <v>現存</v>
      </c>
      <c r="F170" s="3" t="s">
        <v>515</v>
      </c>
      <c r="G170" s="6"/>
      <c r="H170" s="3" t="str">
        <f t="shared" si="2"/>
        <v>11</v>
      </c>
      <c r="I170" s="3" t="s">
        <v>626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156</v>
      </c>
      <c r="O170" s="3"/>
      <c r="P170" s="4" t="s">
        <v>524</v>
      </c>
      <c r="Q170" s="3"/>
      <c r="R170" s="3"/>
      <c r="S170" s="6"/>
      <c r="T170" s="6"/>
      <c r="U170" s="6"/>
    </row>
    <row r="171" ht="15.75" customHeight="1">
      <c r="A171" s="4" t="s">
        <v>627</v>
      </c>
      <c r="B171" s="4" t="s">
        <v>628</v>
      </c>
      <c r="C171" s="4" t="s">
        <v>39</v>
      </c>
      <c r="D171" s="6"/>
      <c r="E171" s="3" t="str">
        <f t="shared" si="1"/>
        <v>現存</v>
      </c>
      <c r="F171" s="3" t="s">
        <v>515</v>
      </c>
      <c r="G171" s="6"/>
      <c r="H171" s="3" t="str">
        <f t="shared" si="2"/>
        <v>11</v>
      </c>
      <c r="I171" s="3" t="s">
        <v>629</v>
      </c>
      <c r="J171" s="3" t="s">
        <v>181</v>
      </c>
      <c r="K171" s="3">
        <v>1.0</v>
      </c>
      <c r="L171" s="3">
        <v>1.0</v>
      </c>
      <c r="M171" s="4" t="s">
        <v>43</v>
      </c>
      <c r="N171" s="3" t="s">
        <v>156</v>
      </c>
      <c r="O171" s="3"/>
      <c r="P171" s="4" t="s">
        <v>524</v>
      </c>
      <c r="Q171" s="3"/>
      <c r="R171" s="3"/>
      <c r="S171" s="6"/>
      <c r="T171" s="6"/>
      <c r="U171" s="6"/>
    </row>
    <row r="172" ht="15.75" customHeight="1">
      <c r="A172" s="4" t="s">
        <v>630</v>
      </c>
      <c r="B172" s="9" t="s">
        <v>631</v>
      </c>
      <c r="C172" s="4" t="s">
        <v>39</v>
      </c>
      <c r="D172" s="8" t="s">
        <v>381</v>
      </c>
      <c r="E172" s="3" t="str">
        <f t="shared" si="1"/>
        <v>不收錄</v>
      </c>
      <c r="F172" s="3" t="s">
        <v>515</v>
      </c>
      <c r="G172" s="6"/>
      <c r="H172" s="3" t="str">
        <f t="shared" si="2"/>
        <v>11</v>
      </c>
      <c r="I172" s="3" t="s">
        <v>623</v>
      </c>
      <c r="J172" s="3" t="s">
        <v>181</v>
      </c>
      <c r="K172" s="3">
        <v>1.0</v>
      </c>
      <c r="L172" s="3">
        <v>1.0</v>
      </c>
      <c r="M172" s="4" t="s">
        <v>43</v>
      </c>
      <c r="N172" s="3" t="s">
        <v>156</v>
      </c>
      <c r="O172" s="3"/>
      <c r="P172" s="4" t="s">
        <v>194</v>
      </c>
      <c r="Q172" s="3"/>
      <c r="R172" s="3"/>
      <c r="S172" s="6"/>
      <c r="T172" s="6"/>
      <c r="U172" s="6"/>
    </row>
    <row r="173" ht="15.75" customHeight="1">
      <c r="A173" s="4" t="s">
        <v>632</v>
      </c>
      <c r="B173" s="4" t="s">
        <v>633</v>
      </c>
      <c r="C173" s="4" t="s">
        <v>39</v>
      </c>
      <c r="D173" s="6"/>
      <c r="E173" s="3" t="str">
        <f t="shared" si="1"/>
        <v>現存</v>
      </c>
      <c r="F173" s="3" t="s">
        <v>634</v>
      </c>
      <c r="G173" s="6"/>
      <c r="H173" s="3" t="str">
        <f t="shared" si="2"/>
        <v>12</v>
      </c>
      <c r="I173" s="3" t="s">
        <v>635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130</v>
      </c>
      <c r="O173" s="3"/>
      <c r="P173" s="4" t="s">
        <v>330</v>
      </c>
      <c r="Q173" s="3"/>
      <c r="R173" s="3"/>
      <c r="S173" s="6"/>
      <c r="T173" s="6"/>
      <c r="U173" s="6"/>
    </row>
    <row r="174" ht="15.75" customHeight="1">
      <c r="A174" s="4" t="s">
        <v>636</v>
      </c>
      <c r="B174" s="4" t="s">
        <v>637</v>
      </c>
      <c r="C174" s="4" t="s">
        <v>39</v>
      </c>
      <c r="D174" s="6"/>
      <c r="E174" s="3" t="str">
        <f t="shared" si="1"/>
        <v>現存</v>
      </c>
      <c r="F174" s="3" t="s">
        <v>634</v>
      </c>
      <c r="G174" s="6"/>
      <c r="H174" s="3" t="str">
        <f t="shared" si="2"/>
        <v>12</v>
      </c>
      <c r="I174" s="3" t="s">
        <v>638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330</v>
      </c>
      <c r="Q174" s="3"/>
      <c r="R174" s="3"/>
      <c r="S174" s="6"/>
      <c r="T174" s="6"/>
      <c r="U174" s="6"/>
    </row>
    <row r="175" ht="15.75" customHeight="1">
      <c r="A175" s="4" t="s">
        <v>639</v>
      </c>
      <c r="B175" s="4" t="s">
        <v>640</v>
      </c>
      <c r="C175" s="4" t="s">
        <v>39</v>
      </c>
      <c r="D175" s="6"/>
      <c r="E175" s="3" t="str">
        <f t="shared" si="1"/>
        <v>現存</v>
      </c>
      <c r="F175" s="3" t="s">
        <v>634</v>
      </c>
      <c r="G175" s="6"/>
      <c r="H175" s="3" t="str">
        <f t="shared" si="2"/>
        <v>12</v>
      </c>
      <c r="I175" s="3" t="s">
        <v>638</v>
      </c>
      <c r="J175" s="3" t="s">
        <v>42</v>
      </c>
      <c r="K175" s="3">
        <v>2.0</v>
      </c>
      <c r="L175" s="3">
        <v>1.0</v>
      </c>
      <c r="M175" s="9" t="s">
        <v>236</v>
      </c>
      <c r="N175" s="3" t="s">
        <v>130</v>
      </c>
      <c r="O175" s="3"/>
      <c r="P175" s="4" t="s">
        <v>330</v>
      </c>
      <c r="Q175" s="3"/>
      <c r="R175" s="3"/>
      <c r="S175" s="6"/>
      <c r="T175" s="6"/>
      <c r="U175" s="6"/>
    </row>
    <row r="176" ht="15.75" customHeight="1">
      <c r="A176" s="4" t="s">
        <v>641</v>
      </c>
      <c r="B176" s="4" t="s">
        <v>642</v>
      </c>
      <c r="C176" s="4" t="s">
        <v>39</v>
      </c>
      <c r="D176" s="6"/>
      <c r="E176" s="3" t="str">
        <f t="shared" si="1"/>
        <v>現存</v>
      </c>
      <c r="F176" s="3" t="s">
        <v>643</v>
      </c>
      <c r="G176" s="6"/>
      <c r="H176" s="3" t="str">
        <f t="shared" si="2"/>
        <v>1,5,7</v>
      </c>
      <c r="I176" s="3" t="s">
        <v>644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156</v>
      </c>
      <c r="O176" s="3"/>
      <c r="P176" s="4" t="s">
        <v>524</v>
      </c>
      <c r="Q176" s="3"/>
      <c r="R176" s="3"/>
      <c r="S176" s="6"/>
      <c r="T176" s="6"/>
      <c r="U176" s="6"/>
    </row>
    <row r="177" ht="15.75" customHeight="1">
      <c r="A177" s="4" t="s">
        <v>645</v>
      </c>
      <c r="B177" s="4" t="s">
        <v>646</v>
      </c>
      <c r="C177" s="4" t="s">
        <v>39</v>
      </c>
      <c r="D177" s="8" t="s">
        <v>381</v>
      </c>
      <c r="E177" s="3" t="str">
        <f t="shared" si="1"/>
        <v>不收錄</v>
      </c>
      <c r="F177" s="3" t="s">
        <v>207</v>
      </c>
      <c r="G177" s="6"/>
      <c r="H177" s="3" t="str">
        <f t="shared" si="2"/>
        <v>1,2,3,4</v>
      </c>
      <c r="I177" s="3" t="s">
        <v>55</v>
      </c>
      <c r="J177" s="3" t="s">
        <v>125</v>
      </c>
      <c r="K177" s="3">
        <v>4.0</v>
      </c>
      <c r="L177" s="3">
        <v>1.0</v>
      </c>
      <c r="M177" s="9" t="s">
        <v>236</v>
      </c>
      <c r="N177" s="3" t="s">
        <v>130</v>
      </c>
      <c r="O177" s="3"/>
      <c r="P177" s="4" t="s">
        <v>524</v>
      </c>
      <c r="Q177" s="3"/>
      <c r="R177" s="3"/>
      <c r="S177" s="6"/>
      <c r="T177" s="6"/>
      <c r="U177" s="6"/>
    </row>
    <row r="178" ht="15.75" customHeight="1">
      <c r="A178" s="4" t="s">
        <v>647</v>
      </c>
      <c r="B178" s="4" t="s">
        <v>648</v>
      </c>
      <c r="C178" s="4" t="s">
        <v>39</v>
      </c>
      <c r="D178" s="6"/>
      <c r="E178" s="3" t="str">
        <f t="shared" si="1"/>
        <v>現存</v>
      </c>
      <c r="F178" s="3" t="s">
        <v>649</v>
      </c>
      <c r="G178" s="6"/>
      <c r="H178" s="3" t="str">
        <f t="shared" si="2"/>
        <v>1,7,10,11,12</v>
      </c>
      <c r="I178" s="3" t="s">
        <v>644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650</v>
      </c>
      <c r="O178" s="3"/>
      <c r="P178" s="4" t="s">
        <v>524</v>
      </c>
      <c r="Q178" s="3"/>
      <c r="R178" s="3"/>
      <c r="S178" s="6"/>
      <c r="T178" s="6"/>
      <c r="U178" s="6"/>
    </row>
    <row r="179" ht="15.75" customHeight="1">
      <c r="A179" s="4" t="s">
        <v>651</v>
      </c>
      <c r="B179" s="4" t="s">
        <v>652</v>
      </c>
      <c r="C179" s="4" t="s">
        <v>39</v>
      </c>
      <c r="D179" s="6"/>
      <c r="E179" s="3" t="str">
        <f t="shared" si="1"/>
        <v>現存</v>
      </c>
      <c r="F179" s="3" t="s">
        <v>653</v>
      </c>
      <c r="G179" s="6"/>
      <c r="H179" s="3" t="str">
        <f t="shared" si="2"/>
        <v>1,6,8</v>
      </c>
      <c r="I179" s="3" t="s">
        <v>447</v>
      </c>
      <c r="J179" s="3" t="s">
        <v>125</v>
      </c>
      <c r="K179" s="3">
        <v>3.0</v>
      </c>
      <c r="L179" s="3">
        <v>1.0</v>
      </c>
      <c r="M179" s="4" t="s">
        <v>43</v>
      </c>
      <c r="N179" s="3" t="s">
        <v>156</v>
      </c>
      <c r="O179" s="3"/>
      <c r="P179" s="4" t="s">
        <v>524</v>
      </c>
      <c r="Q179" s="3"/>
      <c r="R179" s="3"/>
      <c r="S179" s="6"/>
      <c r="T179" s="6"/>
      <c r="U179" s="6"/>
    </row>
    <row r="180" ht="15.75" customHeight="1">
      <c r="A180" s="4" t="s">
        <v>654</v>
      </c>
      <c r="B180" s="4" t="s">
        <v>655</v>
      </c>
      <c r="C180" s="4" t="s">
        <v>39</v>
      </c>
      <c r="D180" s="6"/>
      <c r="E180" s="3" t="str">
        <f t="shared" si="1"/>
        <v>現存</v>
      </c>
      <c r="F180" s="3" t="s">
        <v>656</v>
      </c>
      <c r="G180" s="6"/>
      <c r="H180" s="3" t="str">
        <f t="shared" si="2"/>
        <v>1,4,5,12</v>
      </c>
      <c r="I180" s="3" t="s">
        <v>160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156</v>
      </c>
      <c r="O180" s="3"/>
      <c r="P180" s="4" t="s">
        <v>524</v>
      </c>
      <c r="Q180" s="3"/>
      <c r="R180" s="3"/>
      <c r="S180" s="6"/>
      <c r="T180" s="6"/>
      <c r="U180" s="6"/>
    </row>
    <row r="181" ht="15.75" customHeight="1">
      <c r="A181" s="4" t="s">
        <v>657</v>
      </c>
      <c r="B181" s="4" t="s">
        <v>658</v>
      </c>
      <c r="C181" s="4" t="s">
        <v>39</v>
      </c>
      <c r="D181" s="6"/>
      <c r="E181" s="3" t="str">
        <f t="shared" si="1"/>
        <v>現存</v>
      </c>
      <c r="F181" s="3" t="s">
        <v>659</v>
      </c>
      <c r="G181" s="6"/>
      <c r="H181" s="3" t="str">
        <f t="shared" si="2"/>
        <v>1,6,7,8,9,11</v>
      </c>
      <c r="I181" s="3" t="s">
        <v>660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156</v>
      </c>
      <c r="O181" s="3"/>
      <c r="P181" s="4" t="s">
        <v>524</v>
      </c>
      <c r="Q181" s="3"/>
      <c r="R181" s="3"/>
      <c r="S181" s="6"/>
      <c r="T181" s="6"/>
      <c r="U181" s="6"/>
    </row>
    <row r="182" ht="15.75" customHeight="1">
      <c r="A182" s="4" t="s">
        <v>661</v>
      </c>
      <c r="B182" s="4" t="s">
        <v>662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156</v>
      </c>
      <c r="O182" s="3"/>
      <c r="P182" s="4" t="s">
        <v>524</v>
      </c>
      <c r="Q182" s="3"/>
      <c r="R182" s="3"/>
      <c r="S182" s="6"/>
      <c r="T182" s="6"/>
      <c r="U182" s="6"/>
    </row>
    <row r="183" ht="15.75" customHeight="1">
      <c r="A183" s="4" t="s">
        <v>663</v>
      </c>
      <c r="B183" s="4" t="s">
        <v>664</v>
      </c>
      <c r="C183" s="4" t="s">
        <v>39</v>
      </c>
      <c r="D183" s="6"/>
      <c r="E183" s="3" t="str">
        <f t="shared" si="1"/>
        <v>現存</v>
      </c>
      <c r="F183" s="3" t="s">
        <v>202</v>
      </c>
      <c r="G183" s="6"/>
      <c r="H183" s="3" t="str">
        <f t="shared" si="2"/>
        <v>1,2,3,12</v>
      </c>
      <c r="I183" s="3" t="s">
        <v>665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156</v>
      </c>
      <c r="O183" s="3"/>
      <c r="P183" s="4" t="s">
        <v>524</v>
      </c>
      <c r="Q183" s="3"/>
      <c r="R183" s="3"/>
      <c r="S183" s="6"/>
      <c r="T183" s="6"/>
      <c r="U183" s="6"/>
    </row>
    <row r="184" ht="15.75" customHeight="1">
      <c r="A184" s="4" t="s">
        <v>666</v>
      </c>
      <c r="B184" s="4" t="s">
        <v>667</v>
      </c>
      <c r="C184" s="4" t="s">
        <v>39</v>
      </c>
      <c r="D184" s="6"/>
      <c r="E184" s="3" t="str">
        <f t="shared" si="1"/>
        <v>現存</v>
      </c>
      <c r="F184" s="3" t="s">
        <v>668</v>
      </c>
      <c r="G184" s="6"/>
      <c r="H184" s="3" t="str">
        <f t="shared" si="2"/>
        <v>1,2,3,5,11</v>
      </c>
      <c r="I184" s="3" t="s">
        <v>145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524</v>
      </c>
      <c r="Q184" s="3"/>
      <c r="R184" s="3"/>
      <c r="S184" s="6"/>
      <c r="T184" s="6"/>
      <c r="U184" s="6"/>
    </row>
    <row r="185" ht="15.75" customHeight="1">
      <c r="A185" s="4" t="s">
        <v>669</v>
      </c>
      <c r="B185" s="4" t="s">
        <v>670</v>
      </c>
      <c r="C185" s="4" t="s">
        <v>39</v>
      </c>
      <c r="D185" s="6"/>
      <c r="E185" s="3" t="str">
        <f t="shared" si="1"/>
        <v>現存</v>
      </c>
      <c r="F185" s="3" t="s">
        <v>671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156</v>
      </c>
      <c r="O185" s="3"/>
      <c r="P185" s="4" t="s">
        <v>524</v>
      </c>
      <c r="Q185" s="3"/>
      <c r="R185" s="3"/>
      <c r="S185" s="6"/>
      <c r="T185" s="6"/>
      <c r="U185" s="6"/>
    </row>
    <row r="186" ht="15.75" customHeight="1">
      <c r="A186" s="4" t="s">
        <v>672</v>
      </c>
      <c r="B186" s="4" t="s">
        <v>673</v>
      </c>
      <c r="C186" s="4" t="s">
        <v>39</v>
      </c>
      <c r="D186" s="8" t="s">
        <v>170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674</v>
      </c>
      <c r="J186" s="3" t="s">
        <v>98</v>
      </c>
      <c r="K186" s="3">
        <v>2.0</v>
      </c>
      <c r="L186" s="3">
        <v>1.0</v>
      </c>
      <c r="M186" s="9" t="s">
        <v>236</v>
      </c>
      <c r="N186" s="3" t="s">
        <v>156</v>
      </c>
      <c r="O186" s="3"/>
      <c r="P186" s="4" t="s">
        <v>524</v>
      </c>
      <c r="Q186" s="3"/>
      <c r="R186" s="3"/>
      <c r="S186" s="6"/>
      <c r="T186" s="6"/>
      <c r="U186" s="6"/>
    </row>
    <row r="187" ht="15.75" customHeight="1">
      <c r="A187" s="4" t="s">
        <v>675</v>
      </c>
      <c r="B187" s="4" t="s">
        <v>676</v>
      </c>
      <c r="C187" s="4" t="s">
        <v>170</v>
      </c>
      <c r="D187" s="8" t="s">
        <v>381</v>
      </c>
      <c r="E187" s="3" t="str">
        <f t="shared" si="1"/>
        <v>不收錄</v>
      </c>
      <c r="F187" s="3" t="s">
        <v>677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236</v>
      </c>
      <c r="N187" s="3"/>
      <c r="O187" s="3"/>
      <c r="P187" s="4" t="s">
        <v>524</v>
      </c>
      <c r="Q187" s="3"/>
      <c r="R187" s="3"/>
      <c r="S187" s="6"/>
      <c r="T187" s="6"/>
      <c r="U187" s="6"/>
    </row>
    <row r="188" ht="15.75" customHeight="1">
      <c r="A188" s="4" t="s">
        <v>678</v>
      </c>
      <c r="B188" s="4" t="s">
        <v>679</v>
      </c>
      <c r="C188" s="4" t="s">
        <v>39</v>
      </c>
      <c r="D188" s="6"/>
      <c r="E188" s="3" t="str">
        <f t="shared" si="1"/>
        <v>現存</v>
      </c>
      <c r="F188" s="3" t="s">
        <v>218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156</v>
      </c>
      <c r="O188" s="3"/>
      <c r="P188" s="4" t="s">
        <v>524</v>
      </c>
      <c r="Q188" s="3"/>
      <c r="R188" s="3"/>
      <c r="S188" s="6"/>
      <c r="T188" s="6"/>
      <c r="U188" s="6"/>
    </row>
    <row r="189" ht="15.75" customHeight="1">
      <c r="A189" s="4" t="s">
        <v>680</v>
      </c>
      <c r="B189" s="4" t="s">
        <v>53</v>
      </c>
      <c r="C189" s="4" t="s">
        <v>39</v>
      </c>
      <c r="D189" s="6"/>
      <c r="E189" s="3" t="str">
        <f t="shared" si="1"/>
        <v>現存</v>
      </c>
      <c r="F189" s="3" t="s">
        <v>542</v>
      </c>
      <c r="G189" s="6"/>
      <c r="H189" s="3" t="str">
        <f t="shared" si="2"/>
        <v>2,5</v>
      </c>
      <c r="I189" s="3" t="s">
        <v>681</v>
      </c>
      <c r="J189" s="3" t="s">
        <v>181</v>
      </c>
      <c r="K189" s="3">
        <v>2.0</v>
      </c>
      <c r="L189" s="3">
        <v>1.0</v>
      </c>
      <c r="M189" s="4" t="s">
        <v>43</v>
      </c>
      <c r="N189" s="3" t="s">
        <v>156</v>
      </c>
      <c r="O189" s="3"/>
      <c r="P189" s="4" t="s">
        <v>524</v>
      </c>
      <c r="Q189" s="3"/>
      <c r="R189" s="3"/>
      <c r="S189" s="6"/>
      <c r="T189" s="6"/>
      <c r="U189" s="6"/>
    </row>
    <row r="190" ht="15.75" customHeight="1">
      <c r="A190" s="4" t="s">
        <v>682</v>
      </c>
      <c r="B190" s="4" t="s">
        <v>683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135</v>
      </c>
      <c r="K190" s="3">
        <v>2.0</v>
      </c>
      <c r="L190" s="3">
        <v>1.0</v>
      </c>
      <c r="M190" s="4" t="s">
        <v>43</v>
      </c>
      <c r="N190" s="3" t="s">
        <v>156</v>
      </c>
      <c r="O190" s="3"/>
      <c r="P190" s="4" t="s">
        <v>524</v>
      </c>
      <c r="Q190" s="3"/>
      <c r="R190" s="3"/>
      <c r="S190" s="6"/>
      <c r="T190" s="6"/>
      <c r="U190" s="6"/>
    </row>
    <row r="191" ht="15.75" customHeight="1">
      <c r="A191" s="4" t="s">
        <v>684</v>
      </c>
      <c r="B191" s="4" t="s">
        <v>685</v>
      </c>
      <c r="C191" s="4" t="s">
        <v>39</v>
      </c>
      <c r="D191" s="6"/>
      <c r="E191" s="3" t="str">
        <f t="shared" si="1"/>
        <v>現存</v>
      </c>
      <c r="F191" s="3" t="s">
        <v>686</v>
      </c>
      <c r="G191" s="6"/>
      <c r="H191" s="3" t="str">
        <f t="shared" si="2"/>
        <v>2,3,4,5</v>
      </c>
      <c r="I191" s="3" t="s">
        <v>149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687</v>
      </c>
      <c r="O191" s="3"/>
      <c r="P191" s="4" t="s">
        <v>524</v>
      </c>
      <c r="Q191" s="3"/>
      <c r="R191" s="3"/>
      <c r="S191" s="6"/>
      <c r="T191" s="6"/>
      <c r="U191" s="6"/>
    </row>
    <row r="192" ht="15.75" customHeight="1">
      <c r="A192" s="4" t="s">
        <v>688</v>
      </c>
      <c r="B192" s="4" t="s">
        <v>689</v>
      </c>
      <c r="C192" s="4" t="s">
        <v>39</v>
      </c>
      <c r="D192" s="6"/>
      <c r="E192" s="3" t="str">
        <f t="shared" si="1"/>
        <v>現存</v>
      </c>
      <c r="F192" s="3" t="s">
        <v>542</v>
      </c>
      <c r="G192" s="6"/>
      <c r="H192" s="3" t="str">
        <f t="shared" si="2"/>
        <v>2,5</v>
      </c>
      <c r="I192" s="3" t="s">
        <v>55</v>
      </c>
      <c r="J192" s="3" t="s">
        <v>125</v>
      </c>
      <c r="K192" s="3">
        <v>2.0</v>
      </c>
      <c r="L192" s="3">
        <v>1.0</v>
      </c>
      <c r="M192" s="4" t="s">
        <v>43</v>
      </c>
      <c r="N192" s="3" t="s">
        <v>156</v>
      </c>
      <c r="O192" s="3"/>
      <c r="P192" s="4" t="s">
        <v>524</v>
      </c>
      <c r="Q192" s="3"/>
      <c r="R192" s="3"/>
      <c r="S192" s="6"/>
      <c r="T192" s="6"/>
      <c r="U192" s="6"/>
    </row>
    <row r="193" ht="15.75" customHeight="1">
      <c r="A193" s="4" t="s">
        <v>690</v>
      </c>
      <c r="B193" s="4" t="s">
        <v>691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135</v>
      </c>
      <c r="K193" s="3">
        <v>1.0</v>
      </c>
      <c r="L193" s="3">
        <v>1.0</v>
      </c>
      <c r="M193" s="4" t="s">
        <v>43</v>
      </c>
      <c r="N193" s="3" t="s">
        <v>156</v>
      </c>
      <c r="O193" s="3"/>
      <c r="P193" s="4" t="s">
        <v>524</v>
      </c>
      <c r="Q193" s="3"/>
      <c r="R193" s="3"/>
      <c r="S193" s="6"/>
      <c r="T193" s="6"/>
      <c r="U193" s="6"/>
    </row>
    <row r="194" ht="15.75" customHeight="1">
      <c r="A194" s="4" t="s">
        <v>692</v>
      </c>
      <c r="B194" s="4" t="s">
        <v>693</v>
      </c>
      <c r="C194" s="4" t="s">
        <v>39</v>
      </c>
      <c r="D194" s="6"/>
      <c r="E194" s="3" t="str">
        <f t="shared" si="1"/>
        <v>現存</v>
      </c>
      <c r="F194" s="3" t="s">
        <v>694</v>
      </c>
      <c r="G194" s="6"/>
      <c r="H194" s="3" t="str">
        <f t="shared" si="2"/>
        <v>2,4,5,6,7,9</v>
      </c>
      <c r="I194" s="3" t="s">
        <v>644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156</v>
      </c>
      <c r="O194" s="3"/>
      <c r="P194" s="4" t="s">
        <v>524</v>
      </c>
      <c r="Q194" s="3"/>
      <c r="R194" s="3"/>
      <c r="S194" s="6"/>
      <c r="T194" s="6"/>
      <c r="U194" s="6"/>
    </row>
    <row r="195" ht="15.75" customHeight="1">
      <c r="A195" s="4" t="s">
        <v>695</v>
      </c>
      <c r="B195" s="4" t="s">
        <v>696</v>
      </c>
      <c r="C195" s="4" t="s">
        <v>39</v>
      </c>
      <c r="D195" s="6"/>
      <c r="E195" s="3" t="str">
        <f t="shared" si="1"/>
        <v>現存</v>
      </c>
      <c r="F195" s="3" t="s">
        <v>116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156</v>
      </c>
      <c r="O195" s="3"/>
      <c r="P195" s="4" t="s">
        <v>524</v>
      </c>
      <c r="Q195" s="3"/>
      <c r="R195" s="3"/>
      <c r="S195" s="6"/>
      <c r="T195" s="6"/>
      <c r="U195" s="6"/>
    </row>
    <row r="196" ht="15.75" customHeight="1">
      <c r="A196" s="4" t="s">
        <v>697</v>
      </c>
      <c r="B196" s="4" t="s">
        <v>698</v>
      </c>
      <c r="C196" s="4" t="s">
        <v>39</v>
      </c>
      <c r="D196" s="8" t="s">
        <v>170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699</v>
      </c>
      <c r="J196" s="3" t="s">
        <v>42</v>
      </c>
      <c r="K196" s="3">
        <v>2.0</v>
      </c>
      <c r="L196" s="3">
        <v>1.0</v>
      </c>
      <c r="M196" s="9" t="s">
        <v>236</v>
      </c>
      <c r="N196" s="3" t="s">
        <v>156</v>
      </c>
      <c r="O196" s="3"/>
      <c r="P196" s="4" t="s">
        <v>524</v>
      </c>
      <c r="Q196" s="3"/>
      <c r="R196" s="3"/>
      <c r="S196" s="6"/>
      <c r="T196" s="6"/>
      <c r="U196" s="6"/>
    </row>
    <row r="197" ht="15.75" customHeight="1">
      <c r="A197" s="4" t="s">
        <v>700</v>
      </c>
      <c r="B197" s="4" t="s">
        <v>701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547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156</v>
      </c>
      <c r="O197" s="3"/>
      <c r="P197" s="4" t="s">
        <v>524</v>
      </c>
      <c r="Q197" s="3"/>
      <c r="R197" s="3"/>
      <c r="S197" s="6"/>
      <c r="T197" s="6"/>
      <c r="U197" s="6"/>
    </row>
    <row r="198" ht="15.75" customHeight="1">
      <c r="A198" s="4" t="s">
        <v>702</v>
      </c>
      <c r="B198" s="4" t="s">
        <v>703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382</v>
      </c>
      <c r="J198" s="3" t="s">
        <v>181</v>
      </c>
      <c r="K198" s="3">
        <v>1.0</v>
      </c>
      <c r="L198" s="3">
        <v>1.0</v>
      </c>
      <c r="M198" s="4" t="s">
        <v>43</v>
      </c>
      <c r="N198" s="3" t="s">
        <v>156</v>
      </c>
      <c r="O198" s="3"/>
      <c r="P198" s="4" t="s">
        <v>524</v>
      </c>
      <c r="Q198" s="3"/>
      <c r="R198" s="3"/>
      <c r="S198" s="6"/>
      <c r="T198" s="6"/>
      <c r="U198" s="6"/>
    </row>
    <row r="199" ht="15.75" customHeight="1">
      <c r="A199" s="4" t="s">
        <v>704</v>
      </c>
      <c r="B199" s="4" t="s">
        <v>705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706</v>
      </c>
      <c r="J199" s="3" t="s">
        <v>181</v>
      </c>
      <c r="K199" s="3">
        <v>1.0</v>
      </c>
      <c r="L199" s="3">
        <v>1.0</v>
      </c>
      <c r="M199" s="4" t="s">
        <v>43</v>
      </c>
      <c r="N199" s="3" t="s">
        <v>156</v>
      </c>
      <c r="O199" s="3"/>
      <c r="P199" s="4" t="s">
        <v>524</v>
      </c>
      <c r="Q199" s="3"/>
      <c r="R199" s="3"/>
      <c r="S199" s="6"/>
      <c r="T199" s="6"/>
      <c r="U199" s="6"/>
    </row>
    <row r="200" ht="15.75" customHeight="1">
      <c r="A200" s="4" t="s">
        <v>707</v>
      </c>
      <c r="B200" s="4" t="s">
        <v>708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709</v>
      </c>
      <c r="J200" s="3" t="s">
        <v>125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524</v>
      </c>
      <c r="Q200" s="3"/>
      <c r="R200" s="3"/>
      <c r="S200" s="6"/>
      <c r="T200" s="6"/>
      <c r="U200" s="6"/>
    </row>
    <row r="201" ht="15.75" customHeight="1">
      <c r="A201" s="4" t="s">
        <v>710</v>
      </c>
      <c r="B201" s="4" t="s">
        <v>711</v>
      </c>
      <c r="C201" s="4" t="s">
        <v>39</v>
      </c>
      <c r="D201" s="6"/>
      <c r="E201" s="3" t="str">
        <f t="shared" si="1"/>
        <v>現存</v>
      </c>
      <c r="F201" s="3" t="s">
        <v>116</v>
      </c>
      <c r="G201" s="6"/>
      <c r="H201" s="3" t="str">
        <f t="shared" si="2"/>
        <v>3,4</v>
      </c>
      <c r="I201" s="3" t="s">
        <v>142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156</v>
      </c>
      <c r="O201" s="3"/>
      <c r="P201" s="4" t="s">
        <v>524</v>
      </c>
      <c r="Q201" s="3"/>
      <c r="R201" s="3"/>
      <c r="S201" s="6"/>
      <c r="T201" s="6"/>
      <c r="U201" s="6"/>
    </row>
    <row r="202" ht="15.75" customHeight="1">
      <c r="A202" s="4" t="s">
        <v>712</v>
      </c>
      <c r="B202" s="4" t="s">
        <v>713</v>
      </c>
      <c r="C202" s="4" t="s">
        <v>39</v>
      </c>
      <c r="D202" s="6"/>
      <c r="E202" s="3" t="str">
        <f t="shared" si="1"/>
        <v>現存</v>
      </c>
      <c r="F202" s="3" t="s">
        <v>156</v>
      </c>
      <c r="G202" s="6"/>
      <c r="H202" s="3" t="str">
        <f t="shared" si="2"/>
        <v>4</v>
      </c>
      <c r="I202" s="3" t="s">
        <v>714</v>
      </c>
      <c r="J202" s="3" t="s">
        <v>181</v>
      </c>
      <c r="K202" s="3">
        <v>1.0</v>
      </c>
      <c r="L202" s="3">
        <v>1.0</v>
      </c>
      <c r="M202" s="4" t="s">
        <v>43</v>
      </c>
      <c r="N202" s="3" t="s">
        <v>156</v>
      </c>
      <c r="O202" s="3"/>
      <c r="P202" s="4" t="s">
        <v>524</v>
      </c>
      <c r="Q202" s="3"/>
      <c r="R202" s="3"/>
      <c r="S202" s="6"/>
      <c r="T202" s="6"/>
      <c r="U202" s="6"/>
    </row>
    <row r="203" ht="15.75" customHeight="1">
      <c r="A203" s="4" t="s">
        <v>715</v>
      </c>
      <c r="B203" s="4" t="s">
        <v>716</v>
      </c>
      <c r="C203" s="4" t="s">
        <v>39</v>
      </c>
      <c r="D203" s="6"/>
      <c r="E203" s="3" t="str">
        <f t="shared" si="1"/>
        <v>現存</v>
      </c>
      <c r="F203" s="3" t="s">
        <v>717</v>
      </c>
      <c r="G203" s="6"/>
      <c r="H203" s="3" t="str">
        <f t="shared" si="2"/>
        <v>4,9</v>
      </c>
      <c r="I203" s="3" t="s">
        <v>92</v>
      </c>
      <c r="J203" s="3" t="s">
        <v>125</v>
      </c>
      <c r="K203" s="3">
        <v>2.0</v>
      </c>
      <c r="L203" s="3">
        <v>1.0</v>
      </c>
      <c r="M203" s="9" t="s">
        <v>236</v>
      </c>
      <c r="N203" s="3" t="s">
        <v>156</v>
      </c>
      <c r="O203" s="3"/>
      <c r="P203" s="9" t="s">
        <v>718</v>
      </c>
      <c r="Q203" s="3"/>
      <c r="R203" s="3"/>
      <c r="S203" s="6"/>
      <c r="T203" s="6"/>
      <c r="U203" s="6"/>
    </row>
    <row r="204" ht="15.75" customHeight="1">
      <c r="A204" s="4" t="s">
        <v>719</v>
      </c>
      <c r="B204" s="4" t="s">
        <v>720</v>
      </c>
      <c r="C204" s="4" t="s">
        <v>39</v>
      </c>
      <c r="D204" s="6"/>
      <c r="E204" s="3" t="str">
        <f t="shared" si="1"/>
        <v>現存</v>
      </c>
      <c r="F204" s="3" t="s">
        <v>156</v>
      </c>
      <c r="G204" s="6"/>
      <c r="H204" s="3" t="str">
        <f t="shared" si="2"/>
        <v>4</v>
      </c>
      <c r="I204" s="3" t="s">
        <v>139</v>
      </c>
      <c r="J204" s="3" t="s">
        <v>125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524</v>
      </c>
      <c r="Q204" s="3"/>
      <c r="R204" s="3"/>
      <c r="S204" s="6"/>
      <c r="T204" s="6"/>
      <c r="U204" s="6"/>
    </row>
    <row r="205" ht="15.75" customHeight="1">
      <c r="A205" s="4" t="s">
        <v>721</v>
      </c>
      <c r="B205" s="4" t="s">
        <v>722</v>
      </c>
      <c r="C205" s="4" t="s">
        <v>39</v>
      </c>
      <c r="D205" s="6"/>
      <c r="E205" s="3" t="str">
        <f t="shared" si="1"/>
        <v>現存</v>
      </c>
      <c r="F205" s="3" t="s">
        <v>723</v>
      </c>
      <c r="G205" s="6"/>
      <c r="H205" s="3" t="str">
        <f t="shared" si="2"/>
        <v>4,5,9</v>
      </c>
      <c r="I205" s="3" t="s">
        <v>160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156</v>
      </c>
      <c r="O205" s="3"/>
      <c r="P205" s="4" t="s">
        <v>524</v>
      </c>
      <c r="Q205" s="3"/>
      <c r="R205" s="3"/>
      <c r="S205" s="6"/>
      <c r="T205" s="6"/>
      <c r="U205" s="6"/>
    </row>
    <row r="206" ht="15.75" customHeight="1">
      <c r="A206" s="4" t="s">
        <v>724</v>
      </c>
      <c r="B206" s="4" t="s">
        <v>725</v>
      </c>
      <c r="C206" s="4" t="s">
        <v>39</v>
      </c>
      <c r="D206" s="6"/>
      <c r="E206" s="3" t="str">
        <f t="shared" si="1"/>
        <v>現存</v>
      </c>
      <c r="F206" s="3" t="s">
        <v>156</v>
      </c>
      <c r="G206" s="6"/>
      <c r="H206" s="3" t="str">
        <f t="shared" si="2"/>
        <v>4</v>
      </c>
      <c r="I206" s="3" t="s">
        <v>726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156</v>
      </c>
      <c r="O206" s="3"/>
      <c r="P206" s="4" t="s">
        <v>524</v>
      </c>
      <c r="Q206" s="3"/>
      <c r="R206" s="3"/>
      <c r="S206" s="6"/>
      <c r="T206" s="6"/>
      <c r="U206" s="6"/>
    </row>
    <row r="207" ht="15.75" customHeight="1">
      <c r="A207" s="4" t="s">
        <v>727</v>
      </c>
      <c r="B207" s="9" t="s">
        <v>562</v>
      </c>
      <c r="C207" s="4" t="s">
        <v>39</v>
      </c>
      <c r="D207" s="6"/>
      <c r="E207" s="3" t="str">
        <f t="shared" si="1"/>
        <v>現存</v>
      </c>
      <c r="F207" s="3" t="s">
        <v>156</v>
      </c>
      <c r="G207" s="6"/>
      <c r="H207" s="3" t="str">
        <f t="shared" si="2"/>
        <v>4</v>
      </c>
      <c r="I207" s="3" t="s">
        <v>139</v>
      </c>
      <c r="J207" s="3" t="s">
        <v>135</v>
      </c>
      <c r="K207" s="3">
        <v>1.0</v>
      </c>
      <c r="L207" s="3">
        <v>1.0</v>
      </c>
      <c r="M207" s="4" t="s">
        <v>43</v>
      </c>
      <c r="N207" s="3" t="s">
        <v>156</v>
      </c>
      <c r="O207" s="3"/>
      <c r="P207" s="4" t="s">
        <v>524</v>
      </c>
      <c r="Q207" s="3"/>
      <c r="R207" s="3"/>
      <c r="S207" s="6"/>
      <c r="T207" s="6"/>
      <c r="U207" s="6"/>
    </row>
    <row r="208" ht="15.75" customHeight="1">
      <c r="A208" s="4" t="s">
        <v>728</v>
      </c>
      <c r="B208" s="9" t="s">
        <v>729</v>
      </c>
      <c r="C208" s="4" t="s">
        <v>39</v>
      </c>
      <c r="D208" s="6"/>
      <c r="E208" s="3" t="str">
        <f t="shared" si="1"/>
        <v>現存</v>
      </c>
      <c r="F208" s="3" t="s">
        <v>156</v>
      </c>
      <c r="G208" s="6"/>
      <c r="H208" s="3" t="str">
        <f t="shared" si="2"/>
        <v>4</v>
      </c>
      <c r="I208" s="3" t="s">
        <v>730</v>
      </c>
      <c r="J208" s="3" t="s">
        <v>181</v>
      </c>
      <c r="K208" s="3">
        <v>1.0</v>
      </c>
      <c r="L208" s="3">
        <v>1.0</v>
      </c>
      <c r="M208" s="4" t="s">
        <v>43</v>
      </c>
      <c r="N208" s="3" t="s">
        <v>156</v>
      </c>
      <c r="O208" s="3"/>
      <c r="P208" s="4" t="s">
        <v>524</v>
      </c>
      <c r="Q208" s="3"/>
      <c r="R208" s="3"/>
      <c r="S208" s="6"/>
      <c r="T208" s="6"/>
      <c r="U208" s="6"/>
    </row>
    <row r="209" ht="15.75" customHeight="1">
      <c r="A209" s="4" t="s">
        <v>731</v>
      </c>
      <c r="B209" s="4" t="s">
        <v>732</v>
      </c>
      <c r="C209" s="4" t="s">
        <v>39</v>
      </c>
      <c r="D209" s="6"/>
      <c r="E209" s="3" t="str">
        <f t="shared" si="1"/>
        <v>現存</v>
      </c>
      <c r="F209" s="3" t="s">
        <v>450</v>
      </c>
      <c r="G209" s="6"/>
      <c r="H209" s="3" t="str">
        <f t="shared" si="2"/>
        <v>5</v>
      </c>
      <c r="I209" s="3" t="s">
        <v>681</v>
      </c>
      <c r="J209" s="3" t="s">
        <v>181</v>
      </c>
      <c r="K209" s="3">
        <v>1.0</v>
      </c>
      <c r="L209" s="3">
        <v>1.0</v>
      </c>
      <c r="M209" s="4" t="s">
        <v>43</v>
      </c>
      <c r="N209" s="3" t="s">
        <v>156</v>
      </c>
      <c r="O209" s="3"/>
      <c r="P209" s="4" t="s">
        <v>524</v>
      </c>
      <c r="Q209" s="3"/>
      <c r="R209" s="3"/>
      <c r="S209" s="6"/>
      <c r="T209" s="6"/>
      <c r="U209" s="6"/>
    </row>
    <row r="210" ht="15.75" customHeight="1">
      <c r="A210" s="4" t="s">
        <v>733</v>
      </c>
      <c r="B210" s="9" t="s">
        <v>658</v>
      </c>
      <c r="C210" s="4" t="s">
        <v>39</v>
      </c>
      <c r="D210" s="8" t="s">
        <v>170</v>
      </c>
      <c r="E210" s="3" t="str">
        <f t="shared" si="1"/>
        <v>近年未見</v>
      </c>
      <c r="F210" s="3" t="s">
        <v>450</v>
      </c>
      <c r="G210" s="6"/>
      <c r="H210" s="3" t="str">
        <f t="shared" si="2"/>
        <v>5</v>
      </c>
      <c r="I210" s="3" t="s">
        <v>681</v>
      </c>
      <c r="J210" s="3" t="s">
        <v>181</v>
      </c>
      <c r="K210" s="3">
        <v>1.0</v>
      </c>
      <c r="L210" s="3">
        <v>1.0</v>
      </c>
      <c r="M210" s="9" t="s">
        <v>236</v>
      </c>
      <c r="N210" s="3" t="s">
        <v>156</v>
      </c>
      <c r="O210" s="3"/>
      <c r="P210" s="4" t="s">
        <v>524</v>
      </c>
      <c r="Q210" s="3"/>
      <c r="R210" s="3"/>
      <c r="S210" s="6"/>
      <c r="T210" s="6"/>
      <c r="U210" s="6"/>
    </row>
    <row r="211" ht="15.75" customHeight="1">
      <c r="A211" s="4" t="s">
        <v>734</v>
      </c>
      <c r="B211" s="4" t="s">
        <v>735</v>
      </c>
      <c r="C211" s="4" t="s">
        <v>39</v>
      </c>
      <c r="D211" s="6"/>
      <c r="E211" s="3" t="str">
        <f t="shared" si="1"/>
        <v>現存</v>
      </c>
      <c r="F211" s="3" t="s">
        <v>310</v>
      </c>
      <c r="G211" s="6"/>
      <c r="H211" s="3" t="str">
        <f t="shared" si="2"/>
        <v>6</v>
      </c>
      <c r="I211" s="3" t="s">
        <v>444</v>
      </c>
      <c r="J211" s="3" t="s">
        <v>135</v>
      </c>
      <c r="K211" s="3">
        <v>1.0</v>
      </c>
      <c r="L211" s="3">
        <v>1.0</v>
      </c>
      <c r="M211" s="4" t="s">
        <v>43</v>
      </c>
      <c r="N211" s="3" t="s">
        <v>156</v>
      </c>
      <c r="O211" s="3"/>
      <c r="P211" s="4" t="s">
        <v>524</v>
      </c>
      <c r="Q211" s="3"/>
      <c r="R211" s="3"/>
      <c r="S211" s="6"/>
      <c r="T211" s="6"/>
      <c r="U211" s="6"/>
    </row>
    <row r="212" ht="15.75" customHeight="1">
      <c r="A212" s="4" t="s">
        <v>736</v>
      </c>
      <c r="B212" s="4" t="s">
        <v>737</v>
      </c>
      <c r="C212" s="4" t="s">
        <v>39</v>
      </c>
      <c r="D212" s="6"/>
      <c r="E212" s="3" t="str">
        <f t="shared" si="1"/>
        <v>現存</v>
      </c>
      <c r="F212" s="3" t="s">
        <v>314</v>
      </c>
      <c r="G212" s="6"/>
      <c r="H212" s="3" t="str">
        <f t="shared" si="2"/>
        <v>7</v>
      </c>
      <c r="I212" s="3" t="s">
        <v>738</v>
      </c>
      <c r="J212" s="3" t="s">
        <v>135</v>
      </c>
      <c r="K212" s="3">
        <v>2.0</v>
      </c>
      <c r="L212" s="3">
        <v>1.0</v>
      </c>
      <c r="M212" s="4" t="s">
        <v>43</v>
      </c>
      <c r="N212" s="3" t="s">
        <v>156</v>
      </c>
      <c r="O212" s="3"/>
      <c r="P212" s="4" t="s">
        <v>524</v>
      </c>
      <c r="Q212" s="3"/>
      <c r="R212" s="3"/>
      <c r="S212" s="6"/>
      <c r="T212" s="6"/>
      <c r="U212" s="6"/>
    </row>
    <row r="213" ht="15.75" customHeight="1">
      <c r="A213" s="4" t="s">
        <v>739</v>
      </c>
      <c r="B213" s="4" t="s">
        <v>740</v>
      </c>
      <c r="C213" s="4" t="s">
        <v>39</v>
      </c>
      <c r="D213" s="6"/>
      <c r="E213" s="3" t="str">
        <f t="shared" si="1"/>
        <v>現存</v>
      </c>
      <c r="F213" s="3" t="s">
        <v>741</v>
      </c>
      <c r="G213" s="6"/>
      <c r="H213" s="3" t="str">
        <f t="shared" si="2"/>
        <v>7,8,9</v>
      </c>
      <c r="I213" s="3" t="s">
        <v>660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156</v>
      </c>
      <c r="O213" s="3"/>
      <c r="P213" s="4" t="s">
        <v>524</v>
      </c>
      <c r="Q213" s="3"/>
      <c r="R213" s="3"/>
      <c r="S213" s="6"/>
      <c r="T213" s="6"/>
      <c r="U213" s="6"/>
    </row>
    <row r="214" ht="15.75" customHeight="1">
      <c r="A214" s="4" t="s">
        <v>742</v>
      </c>
      <c r="B214" s="4" t="s">
        <v>743</v>
      </c>
      <c r="C214" s="4" t="s">
        <v>39</v>
      </c>
      <c r="D214" s="6"/>
      <c r="E214" s="3" t="str">
        <f t="shared" si="1"/>
        <v>現存</v>
      </c>
      <c r="F214" s="3" t="s">
        <v>179</v>
      </c>
      <c r="G214" s="6"/>
      <c r="H214" s="3" t="str">
        <f t="shared" si="2"/>
        <v>8</v>
      </c>
      <c r="I214" s="3" t="s">
        <v>744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156</v>
      </c>
      <c r="O214" s="3"/>
      <c r="P214" s="4" t="s">
        <v>524</v>
      </c>
      <c r="Q214" s="3"/>
      <c r="R214" s="3"/>
      <c r="S214" s="6"/>
      <c r="T214" s="6"/>
      <c r="U214" s="6"/>
    </row>
    <row r="215" ht="15.75" customHeight="1">
      <c r="A215" s="4" t="s">
        <v>745</v>
      </c>
      <c r="B215" s="4" t="s">
        <v>746</v>
      </c>
      <c r="C215" s="4" t="s">
        <v>39</v>
      </c>
      <c r="D215" s="6"/>
      <c r="E215" s="3" t="str">
        <f t="shared" si="1"/>
        <v>現存</v>
      </c>
      <c r="F215" s="3" t="s">
        <v>175</v>
      </c>
      <c r="G215" s="6"/>
      <c r="H215" s="3" t="str">
        <f t="shared" si="2"/>
        <v>8,9</v>
      </c>
      <c r="I215" s="3" t="s">
        <v>660</v>
      </c>
      <c r="J215" s="3" t="s">
        <v>125</v>
      </c>
      <c r="K215" s="3">
        <v>2.0</v>
      </c>
      <c r="L215" s="3">
        <v>1.0</v>
      </c>
      <c r="M215" s="4" t="s">
        <v>43</v>
      </c>
      <c r="N215" s="3" t="s">
        <v>156</v>
      </c>
      <c r="O215" s="3"/>
      <c r="P215" s="4" t="s">
        <v>524</v>
      </c>
      <c r="Q215" s="3"/>
      <c r="R215" s="3"/>
      <c r="S215" s="6"/>
      <c r="T215" s="6"/>
      <c r="U215" s="6"/>
    </row>
    <row r="216" ht="15.75" customHeight="1">
      <c r="A216" s="4" t="s">
        <v>747</v>
      </c>
      <c r="B216" s="4" t="s">
        <v>748</v>
      </c>
      <c r="C216" s="4" t="s">
        <v>39</v>
      </c>
      <c r="D216" s="6"/>
      <c r="E216" s="3" t="str">
        <f t="shared" si="1"/>
        <v>現存</v>
      </c>
      <c r="F216" s="3" t="s">
        <v>326</v>
      </c>
      <c r="G216" s="6"/>
      <c r="H216" s="3" t="str">
        <f t="shared" si="2"/>
        <v>9</v>
      </c>
      <c r="I216" s="3" t="s">
        <v>502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156</v>
      </c>
      <c r="O216" s="3"/>
      <c r="P216" s="4" t="s">
        <v>524</v>
      </c>
      <c r="Q216" s="3"/>
      <c r="R216" s="3"/>
      <c r="S216" s="6"/>
      <c r="T216" s="6"/>
      <c r="U216" s="6"/>
    </row>
    <row r="217" ht="15.75" customHeight="1">
      <c r="A217" s="4" t="s">
        <v>749</v>
      </c>
      <c r="B217" s="4" t="s">
        <v>750</v>
      </c>
      <c r="C217" s="4" t="s">
        <v>39</v>
      </c>
      <c r="D217" s="6"/>
      <c r="E217" s="3" t="str">
        <f t="shared" si="1"/>
        <v>現存</v>
      </c>
      <c r="F217" s="3" t="s">
        <v>498</v>
      </c>
      <c r="G217" s="6"/>
      <c r="H217" s="3" t="str">
        <f t="shared" si="2"/>
        <v>9,10</v>
      </c>
      <c r="I217" s="3" t="s">
        <v>502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156</v>
      </c>
      <c r="O217" s="3"/>
      <c r="P217" s="4" t="s">
        <v>524</v>
      </c>
      <c r="Q217" s="3"/>
      <c r="R217" s="3"/>
      <c r="S217" s="6"/>
      <c r="T217" s="6"/>
      <c r="U217" s="6"/>
    </row>
    <row r="218" ht="15.75" customHeight="1">
      <c r="A218" s="4" t="s">
        <v>751</v>
      </c>
      <c r="B218" s="4" t="s">
        <v>752</v>
      </c>
      <c r="C218" s="4" t="s">
        <v>39</v>
      </c>
      <c r="D218" s="8" t="s">
        <v>381</v>
      </c>
      <c r="E218" s="3" t="str">
        <f t="shared" si="1"/>
        <v>不收錄</v>
      </c>
      <c r="F218" s="3" t="s">
        <v>188</v>
      </c>
      <c r="G218" s="6"/>
      <c r="H218" s="3" t="str">
        <f t="shared" si="2"/>
        <v>10</v>
      </c>
      <c r="I218" s="3" t="s">
        <v>753</v>
      </c>
      <c r="J218" s="3" t="s">
        <v>181</v>
      </c>
      <c r="K218" s="3">
        <v>1.0</v>
      </c>
      <c r="L218" s="3">
        <v>1.0</v>
      </c>
      <c r="M218" s="9" t="s">
        <v>236</v>
      </c>
      <c r="N218" s="3" t="s">
        <v>156</v>
      </c>
      <c r="O218" s="3"/>
      <c r="P218" s="4" t="s">
        <v>524</v>
      </c>
      <c r="Q218" s="3"/>
      <c r="R218" s="3"/>
      <c r="S218" s="6"/>
      <c r="T218" s="6"/>
      <c r="U218" s="6"/>
    </row>
    <row r="219" ht="15.75" customHeight="1">
      <c r="A219" s="4" t="s">
        <v>754</v>
      </c>
      <c r="B219" s="9" t="s">
        <v>662</v>
      </c>
      <c r="C219" s="4" t="s">
        <v>39</v>
      </c>
      <c r="D219" s="8" t="s">
        <v>381</v>
      </c>
      <c r="E219" s="3" t="str">
        <f t="shared" si="1"/>
        <v>不收錄</v>
      </c>
      <c r="F219" s="3" t="s">
        <v>515</v>
      </c>
      <c r="G219" s="6"/>
      <c r="H219" s="3" t="str">
        <f t="shared" si="2"/>
        <v>11</v>
      </c>
      <c r="I219" s="3" t="s">
        <v>617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156</v>
      </c>
      <c r="O219" s="3"/>
      <c r="P219" s="4" t="s">
        <v>524</v>
      </c>
      <c r="Q219" s="3"/>
      <c r="R219" s="3"/>
      <c r="S219" s="6"/>
      <c r="T219" s="6"/>
      <c r="U219" s="6"/>
    </row>
    <row r="220" ht="15.75" customHeight="1">
      <c r="A220" s="4" t="s">
        <v>755</v>
      </c>
      <c r="B220" s="4" t="s">
        <v>756</v>
      </c>
      <c r="C220" s="4" t="s">
        <v>39</v>
      </c>
      <c r="D220" s="6"/>
      <c r="E220" s="3" t="str">
        <f t="shared" si="1"/>
        <v>現存</v>
      </c>
      <c r="F220" s="3" t="s">
        <v>757</v>
      </c>
      <c r="G220" s="8" t="s">
        <v>758</v>
      </c>
      <c r="H220" s="3" t="str">
        <f t="shared" si="2"/>
        <v>1,6,7,8,9,10,11</v>
      </c>
      <c r="I220" s="3" t="s">
        <v>516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419</v>
      </c>
      <c r="Q220" s="3"/>
      <c r="R220" s="3"/>
      <c r="S220" s="6"/>
      <c r="T220" s="6"/>
      <c r="U220" s="6"/>
    </row>
    <row r="221" ht="15.75" customHeight="1">
      <c r="A221" s="4" t="s">
        <v>759</v>
      </c>
      <c r="B221" s="4" t="s">
        <v>760</v>
      </c>
      <c r="C221" s="4" t="s">
        <v>39</v>
      </c>
      <c r="D221" s="6"/>
      <c r="E221" s="3" t="str">
        <f t="shared" si="1"/>
        <v>現存</v>
      </c>
      <c r="F221" s="3" t="s">
        <v>761</v>
      </c>
      <c r="G221" s="8" t="s">
        <v>762</v>
      </c>
      <c r="H221" s="3" t="str">
        <f t="shared" si="2"/>
        <v>2.9.10,12</v>
      </c>
      <c r="I221" s="3" t="s">
        <v>55</v>
      </c>
      <c r="J221" s="3" t="s">
        <v>193</v>
      </c>
      <c r="K221" s="3">
        <v>7.0</v>
      </c>
      <c r="L221" s="3">
        <v>2.0</v>
      </c>
      <c r="M221" s="4" t="s">
        <v>43</v>
      </c>
      <c r="N221" s="3" t="s">
        <v>763</v>
      </c>
      <c r="O221" s="3"/>
      <c r="P221" s="4" t="s">
        <v>419</v>
      </c>
      <c r="Q221" s="3"/>
      <c r="R221" s="3"/>
      <c r="S221" s="6"/>
      <c r="T221" s="6"/>
      <c r="U221" s="6"/>
    </row>
    <row r="222" ht="15.75" customHeight="1">
      <c r="A222" s="4" t="s">
        <v>764</v>
      </c>
      <c r="B222" s="4" t="s">
        <v>765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766</v>
      </c>
      <c r="J222" s="3" t="s">
        <v>181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419</v>
      </c>
      <c r="Q222" s="3"/>
      <c r="R222" s="3"/>
      <c r="S222" s="6"/>
      <c r="T222" s="6"/>
      <c r="U222" s="6"/>
    </row>
    <row r="223" ht="15.75" customHeight="1">
      <c r="A223" s="4" t="s">
        <v>767</v>
      </c>
      <c r="B223" s="4" t="s">
        <v>768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769</v>
      </c>
      <c r="J223" s="3" t="s">
        <v>181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419</v>
      </c>
      <c r="Q223" s="3"/>
      <c r="R223" s="3"/>
      <c r="S223" s="6"/>
      <c r="T223" s="6"/>
      <c r="U223" s="6"/>
    </row>
    <row r="224" ht="15.75" customHeight="1">
      <c r="A224" s="4" t="s">
        <v>770</v>
      </c>
      <c r="B224" s="4" t="s">
        <v>771</v>
      </c>
      <c r="C224" s="4" t="s">
        <v>39</v>
      </c>
      <c r="D224" s="6"/>
      <c r="E224" s="3" t="str">
        <f t="shared" si="1"/>
        <v>現存</v>
      </c>
      <c r="F224" s="3" t="s">
        <v>772</v>
      </c>
      <c r="G224" s="6"/>
      <c r="H224" s="3" t="str">
        <f t="shared" si="2"/>
        <v>3,6</v>
      </c>
      <c r="I224" s="3" t="s">
        <v>773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419</v>
      </c>
      <c r="Q224" s="3"/>
      <c r="R224" s="3"/>
      <c r="S224" s="6"/>
      <c r="T224" s="6"/>
      <c r="U224" s="6"/>
    </row>
    <row r="225" ht="15.75" customHeight="1">
      <c r="A225" s="4" t="s">
        <v>774</v>
      </c>
      <c r="B225" s="9" t="s">
        <v>775</v>
      </c>
      <c r="C225" s="4" t="s">
        <v>39</v>
      </c>
      <c r="D225" s="8" t="s">
        <v>381</v>
      </c>
      <c r="E225" s="3" t="str">
        <f t="shared" si="1"/>
        <v>不收錄</v>
      </c>
      <c r="F225" s="3" t="s">
        <v>776</v>
      </c>
      <c r="G225" s="6"/>
      <c r="H225" s="3" t="str">
        <f t="shared" si="2"/>
        <v>3,5,6,8</v>
      </c>
      <c r="I225" s="3" t="s">
        <v>486</v>
      </c>
      <c r="J225" s="3" t="s">
        <v>65</v>
      </c>
      <c r="K225" s="3">
        <v>6.0</v>
      </c>
      <c r="L225" s="3">
        <v>1.0</v>
      </c>
      <c r="M225" s="9" t="s">
        <v>236</v>
      </c>
      <c r="N225" s="3" t="s">
        <v>44</v>
      </c>
      <c r="O225" s="3"/>
      <c r="P225" s="4" t="s">
        <v>419</v>
      </c>
      <c r="Q225" s="3"/>
      <c r="R225" s="3"/>
      <c r="S225" s="6"/>
      <c r="T225" s="6"/>
      <c r="U225" s="6"/>
    </row>
    <row r="226" ht="15.75" customHeight="1">
      <c r="A226" s="4" t="s">
        <v>777</v>
      </c>
      <c r="B226" s="4" t="s">
        <v>778</v>
      </c>
      <c r="C226" s="4" t="s">
        <v>39</v>
      </c>
      <c r="D226" s="8" t="s">
        <v>170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779</v>
      </c>
      <c r="J226" s="3" t="s">
        <v>181</v>
      </c>
      <c r="K226" s="3">
        <v>1.0</v>
      </c>
      <c r="L226" s="3">
        <v>1.0</v>
      </c>
      <c r="M226" s="9" t="s">
        <v>236</v>
      </c>
      <c r="N226" s="3" t="s">
        <v>156</v>
      </c>
      <c r="O226" s="3"/>
      <c r="P226" s="4" t="s">
        <v>419</v>
      </c>
      <c r="Q226" s="3"/>
      <c r="R226" s="3"/>
      <c r="S226" s="6"/>
      <c r="T226" s="6"/>
      <c r="U226" s="6"/>
    </row>
    <row r="227" ht="15.75" customHeight="1">
      <c r="A227" s="4" t="s">
        <v>780</v>
      </c>
      <c r="B227" s="4" t="s">
        <v>781</v>
      </c>
      <c r="C227" s="4" t="s">
        <v>39</v>
      </c>
      <c r="D227" s="6"/>
      <c r="E227" s="3" t="str">
        <f t="shared" si="1"/>
        <v>現存</v>
      </c>
      <c r="F227" s="3" t="s">
        <v>782</v>
      </c>
      <c r="G227" s="8" t="s">
        <v>783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419</v>
      </c>
      <c r="Q227" s="3"/>
      <c r="R227" s="3"/>
      <c r="S227" s="6"/>
      <c r="T227" s="6"/>
      <c r="U227" s="6"/>
    </row>
    <row r="228" ht="15.75" customHeight="1">
      <c r="A228" s="4" t="s">
        <v>784</v>
      </c>
      <c r="B228" s="4" t="s">
        <v>785</v>
      </c>
      <c r="C228" s="4" t="s">
        <v>39</v>
      </c>
      <c r="D228" s="6"/>
      <c r="E228" s="3" t="str">
        <f t="shared" si="1"/>
        <v>現存</v>
      </c>
      <c r="F228" s="3" t="s">
        <v>171</v>
      </c>
      <c r="G228" s="6"/>
      <c r="H228" s="3" t="str">
        <f t="shared" si="2"/>
        <v>5,6</v>
      </c>
      <c r="I228" s="3" t="s">
        <v>172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419</v>
      </c>
      <c r="Q228" s="3"/>
      <c r="R228" s="3"/>
      <c r="S228" s="6"/>
      <c r="T228" s="6"/>
      <c r="U228" s="6"/>
    </row>
    <row r="229" ht="15.75" customHeight="1">
      <c r="A229" s="4" t="s">
        <v>786</v>
      </c>
      <c r="B229" s="4" t="s">
        <v>787</v>
      </c>
      <c r="C229" s="4" t="s">
        <v>39</v>
      </c>
      <c r="D229" s="6"/>
      <c r="E229" s="3" t="str">
        <f t="shared" si="1"/>
        <v>現存</v>
      </c>
      <c r="F229" s="3" t="s">
        <v>450</v>
      </c>
      <c r="G229" s="6"/>
      <c r="H229" s="3" t="str">
        <f t="shared" si="2"/>
        <v>5</v>
      </c>
      <c r="I229" s="3" t="s">
        <v>107</v>
      </c>
      <c r="J229" s="3" t="s">
        <v>135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419</v>
      </c>
      <c r="Q229" s="3"/>
      <c r="R229" s="3"/>
      <c r="S229" s="6"/>
      <c r="T229" s="6"/>
      <c r="U229" s="6"/>
    </row>
    <row r="230" ht="15.75" customHeight="1">
      <c r="A230" s="4" t="s">
        <v>788</v>
      </c>
      <c r="B230" s="4" t="s">
        <v>789</v>
      </c>
      <c r="C230" s="4" t="s">
        <v>39</v>
      </c>
      <c r="D230" s="6"/>
      <c r="E230" s="3" t="str">
        <f t="shared" si="1"/>
        <v>現存</v>
      </c>
      <c r="F230" s="3" t="s">
        <v>171</v>
      </c>
      <c r="G230" s="6"/>
      <c r="H230" s="3" t="str">
        <f t="shared" si="2"/>
        <v>5,6</v>
      </c>
      <c r="I230" s="3" t="s">
        <v>364</v>
      </c>
      <c r="J230" s="3" t="s">
        <v>125</v>
      </c>
      <c r="K230" s="3">
        <v>3.0</v>
      </c>
      <c r="L230" s="3">
        <v>2.0</v>
      </c>
      <c r="M230" s="4" t="s">
        <v>43</v>
      </c>
      <c r="N230" s="3" t="s">
        <v>790</v>
      </c>
      <c r="O230" s="3"/>
      <c r="P230" s="4" t="s">
        <v>419</v>
      </c>
      <c r="Q230" s="3"/>
      <c r="R230" s="3"/>
      <c r="S230" s="6"/>
      <c r="T230" s="6"/>
      <c r="U230" s="6"/>
    </row>
    <row r="231" ht="15.75" customHeight="1">
      <c r="A231" s="4" t="s">
        <v>791</v>
      </c>
      <c r="B231" s="4" t="s">
        <v>792</v>
      </c>
      <c r="C231" s="4" t="s">
        <v>39</v>
      </c>
      <c r="D231" s="6"/>
      <c r="E231" s="3" t="str">
        <f t="shared" si="1"/>
        <v>現存</v>
      </c>
      <c r="F231" s="3" t="s">
        <v>450</v>
      </c>
      <c r="G231" s="6"/>
      <c r="H231" s="3" t="str">
        <f t="shared" si="2"/>
        <v>5</v>
      </c>
      <c r="I231" s="3" t="s">
        <v>107</v>
      </c>
      <c r="J231" s="3" t="s">
        <v>135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548</v>
      </c>
      <c r="Q231" s="3"/>
      <c r="R231" s="3"/>
      <c r="S231" s="6"/>
      <c r="T231" s="6"/>
      <c r="U231" s="6"/>
    </row>
    <row r="232" ht="15.75" customHeight="1">
      <c r="A232" s="4" t="s">
        <v>793</v>
      </c>
      <c r="B232" s="4" t="s">
        <v>794</v>
      </c>
      <c r="C232" s="4" t="s">
        <v>39</v>
      </c>
      <c r="D232" s="6"/>
      <c r="E232" s="3" t="str">
        <f t="shared" si="1"/>
        <v>現存</v>
      </c>
      <c r="F232" s="3" t="s">
        <v>795</v>
      </c>
      <c r="G232" s="6"/>
      <c r="H232" s="3" t="str">
        <f t="shared" si="2"/>
        <v>6,7,8</v>
      </c>
      <c r="I232" s="3" t="s">
        <v>447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419</v>
      </c>
      <c r="Q232" s="3"/>
      <c r="R232" s="3"/>
      <c r="S232" s="6"/>
      <c r="T232" s="6"/>
      <c r="U232" s="6"/>
    </row>
    <row r="233" ht="15.75" customHeight="1">
      <c r="A233" s="4" t="s">
        <v>796</v>
      </c>
      <c r="B233" s="4" t="s">
        <v>775</v>
      </c>
      <c r="C233" s="4" t="s">
        <v>39</v>
      </c>
      <c r="D233" s="6"/>
      <c r="E233" s="3" t="str">
        <f t="shared" si="1"/>
        <v>現存</v>
      </c>
      <c r="F233" s="3" t="s">
        <v>588</v>
      </c>
      <c r="G233" s="6"/>
      <c r="H233" s="3" t="str">
        <f t="shared" si="2"/>
        <v>6,7</v>
      </c>
      <c r="I233" s="3" t="s">
        <v>797</v>
      </c>
      <c r="J233" s="3" t="s">
        <v>253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419</v>
      </c>
      <c r="Q233" s="3"/>
      <c r="R233" s="3"/>
      <c r="S233" s="6"/>
      <c r="T233" s="6"/>
      <c r="U233" s="6"/>
    </row>
    <row r="234" ht="15.75" customHeight="1">
      <c r="A234" s="4" t="s">
        <v>798</v>
      </c>
      <c r="B234" s="4" t="s">
        <v>799</v>
      </c>
      <c r="C234" s="4" t="s">
        <v>39</v>
      </c>
      <c r="D234" s="6"/>
      <c r="E234" s="3" t="str">
        <f t="shared" si="1"/>
        <v>現存</v>
      </c>
      <c r="F234" s="3" t="s">
        <v>800</v>
      </c>
      <c r="G234" s="6"/>
      <c r="H234" s="3" t="str">
        <f t="shared" si="2"/>
        <v>6,8,10</v>
      </c>
      <c r="I234" s="3" t="s">
        <v>364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419</v>
      </c>
      <c r="Q234" s="3"/>
      <c r="R234" s="3"/>
      <c r="S234" s="6"/>
      <c r="T234" s="6"/>
      <c r="U234" s="6"/>
    </row>
    <row r="235" ht="15.75" customHeight="1">
      <c r="A235" s="4" t="s">
        <v>801</v>
      </c>
      <c r="B235" s="4" t="s">
        <v>802</v>
      </c>
      <c r="C235" s="4" t="s">
        <v>39</v>
      </c>
      <c r="D235" s="6"/>
      <c r="E235" s="3" t="str">
        <f t="shared" si="1"/>
        <v>現存</v>
      </c>
      <c r="F235" s="3" t="s">
        <v>314</v>
      </c>
      <c r="G235" s="6"/>
      <c r="H235" s="3" t="str">
        <f t="shared" si="2"/>
        <v>7</v>
      </c>
      <c r="I235" s="3" t="s">
        <v>803</v>
      </c>
      <c r="J235" s="3" t="s">
        <v>181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419</v>
      </c>
      <c r="Q235" s="3"/>
      <c r="R235" s="3"/>
      <c r="S235" s="6"/>
      <c r="T235" s="6"/>
      <c r="U235" s="6"/>
    </row>
    <row r="236" ht="15.75" customHeight="1">
      <c r="A236" s="4" t="s">
        <v>804</v>
      </c>
      <c r="B236" s="4" t="s">
        <v>805</v>
      </c>
      <c r="C236" s="4" t="s">
        <v>39</v>
      </c>
      <c r="D236" s="6"/>
      <c r="E236" s="3" t="str">
        <f t="shared" si="1"/>
        <v>現存</v>
      </c>
      <c r="F236" s="3" t="s">
        <v>478</v>
      </c>
      <c r="G236" s="6"/>
      <c r="H236" s="3" t="str">
        <f t="shared" si="2"/>
        <v>7,8</v>
      </c>
      <c r="I236" s="3" t="s">
        <v>644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419</v>
      </c>
      <c r="Q236" s="3"/>
      <c r="R236" s="3"/>
      <c r="S236" s="6"/>
      <c r="T236" s="6"/>
      <c r="U236" s="6"/>
    </row>
    <row r="237" ht="15.75" customHeight="1">
      <c r="A237" s="4" t="s">
        <v>806</v>
      </c>
      <c r="B237" s="4" t="s">
        <v>807</v>
      </c>
      <c r="C237" s="4" t="s">
        <v>39</v>
      </c>
      <c r="D237" s="6"/>
      <c r="E237" s="3" t="str">
        <f t="shared" si="1"/>
        <v>現存</v>
      </c>
      <c r="F237" s="3" t="s">
        <v>314</v>
      </c>
      <c r="G237" s="6"/>
      <c r="H237" s="3" t="str">
        <f t="shared" si="2"/>
        <v>7</v>
      </c>
      <c r="I237" s="3" t="s">
        <v>808</v>
      </c>
      <c r="J237" s="3" t="s">
        <v>181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419</v>
      </c>
      <c r="Q237" s="3"/>
      <c r="R237" s="3"/>
      <c r="S237" s="6"/>
      <c r="T237" s="6"/>
      <c r="U237" s="6"/>
    </row>
    <row r="238" ht="15.75" customHeight="1">
      <c r="A238" s="4" t="s">
        <v>809</v>
      </c>
      <c r="B238" s="4" t="s">
        <v>810</v>
      </c>
      <c r="C238" s="4" t="s">
        <v>39</v>
      </c>
      <c r="D238" s="8" t="s">
        <v>170</v>
      </c>
      <c r="E238" s="3" t="str">
        <f t="shared" si="1"/>
        <v>近年未見</v>
      </c>
      <c r="F238" s="3" t="s">
        <v>179</v>
      </c>
      <c r="G238" s="6"/>
      <c r="H238" s="3" t="str">
        <f t="shared" si="2"/>
        <v>8</v>
      </c>
      <c r="I238" s="3" t="s">
        <v>319</v>
      </c>
      <c r="J238" s="3" t="s">
        <v>42</v>
      </c>
      <c r="K238" s="3">
        <v>1.0</v>
      </c>
      <c r="L238" s="3">
        <v>1.0</v>
      </c>
      <c r="M238" s="9" t="s">
        <v>236</v>
      </c>
      <c r="N238" s="3" t="s">
        <v>44</v>
      </c>
      <c r="O238" s="3"/>
      <c r="P238" s="4" t="s">
        <v>419</v>
      </c>
      <c r="Q238" s="3"/>
      <c r="R238" s="3"/>
      <c r="S238" s="6"/>
      <c r="T238" s="6"/>
      <c r="U238" s="6"/>
    </row>
    <row r="239" ht="15.75" customHeight="1">
      <c r="A239" s="4" t="s">
        <v>811</v>
      </c>
      <c r="B239" s="4" t="s">
        <v>812</v>
      </c>
      <c r="C239" s="4" t="s">
        <v>39</v>
      </c>
      <c r="D239" s="6"/>
      <c r="E239" s="3" t="str">
        <f t="shared" si="1"/>
        <v>現存</v>
      </c>
      <c r="F239" s="3" t="s">
        <v>813</v>
      </c>
      <c r="G239" s="6"/>
      <c r="H239" s="3" t="str">
        <f t="shared" si="2"/>
        <v>8,10</v>
      </c>
      <c r="I239" s="3" t="s">
        <v>814</v>
      </c>
      <c r="J239" s="3" t="s">
        <v>181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419</v>
      </c>
      <c r="Q239" s="3"/>
      <c r="R239" s="3"/>
      <c r="S239" s="6"/>
      <c r="T239" s="6"/>
      <c r="U239" s="6"/>
    </row>
    <row r="240" ht="15.75" customHeight="1">
      <c r="A240" s="4" t="s">
        <v>815</v>
      </c>
      <c r="B240" s="4" t="s">
        <v>816</v>
      </c>
      <c r="C240" s="4" t="s">
        <v>39</v>
      </c>
      <c r="D240" s="6"/>
      <c r="E240" s="3" t="str">
        <f t="shared" si="1"/>
        <v>現存</v>
      </c>
      <c r="F240" s="3" t="s">
        <v>179</v>
      </c>
      <c r="G240" s="6"/>
      <c r="H240" s="3" t="str">
        <f t="shared" si="2"/>
        <v>8</v>
      </c>
      <c r="I240" s="3" t="s">
        <v>817</v>
      </c>
      <c r="J240" s="3" t="s">
        <v>181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419</v>
      </c>
      <c r="Q240" s="3"/>
      <c r="R240" s="3"/>
      <c r="S240" s="6"/>
      <c r="T240" s="6"/>
      <c r="U240" s="6"/>
    </row>
    <row r="241" ht="15.75" customHeight="1">
      <c r="A241" s="4" t="s">
        <v>818</v>
      </c>
      <c r="B241" s="4" t="s">
        <v>819</v>
      </c>
      <c r="C241" s="4" t="s">
        <v>39</v>
      </c>
      <c r="D241" s="6"/>
      <c r="E241" s="3" t="str">
        <f t="shared" si="1"/>
        <v>現存</v>
      </c>
      <c r="F241" s="3" t="s">
        <v>188</v>
      </c>
      <c r="G241" s="6"/>
      <c r="H241" s="3" t="str">
        <f t="shared" si="2"/>
        <v>10</v>
      </c>
      <c r="I241" s="3" t="s">
        <v>820</v>
      </c>
      <c r="J241" s="3" t="s">
        <v>181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419</v>
      </c>
      <c r="Q241" s="3"/>
      <c r="R241" s="3"/>
      <c r="S241" s="6"/>
      <c r="T241" s="6"/>
      <c r="U241" s="6"/>
    </row>
    <row r="242" ht="15.75" customHeight="1">
      <c r="A242" s="4" t="s">
        <v>821</v>
      </c>
      <c r="B242" s="4" t="s">
        <v>822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125</v>
      </c>
      <c r="K242" s="3">
        <v>2.0</v>
      </c>
      <c r="L242" s="3">
        <v>1.0</v>
      </c>
      <c r="M242" s="4" t="s">
        <v>43</v>
      </c>
      <c r="N242" s="3" t="s">
        <v>156</v>
      </c>
      <c r="O242" s="3"/>
      <c r="P242" s="4" t="s">
        <v>823</v>
      </c>
      <c r="Q242" s="3"/>
      <c r="R242" s="3"/>
      <c r="S242" s="6"/>
      <c r="T242" s="6"/>
      <c r="U242" s="6"/>
    </row>
    <row r="243" ht="15.75" customHeight="1">
      <c r="A243" s="4" t="s">
        <v>824</v>
      </c>
      <c r="B243" s="4" t="s">
        <v>825</v>
      </c>
      <c r="C243" s="4" t="s">
        <v>39</v>
      </c>
      <c r="D243" s="6"/>
      <c r="E243" s="3" t="str">
        <f t="shared" si="1"/>
        <v>現存</v>
      </c>
      <c r="F243" s="3" t="s">
        <v>826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156</v>
      </c>
      <c r="O243" s="3"/>
      <c r="P243" s="4" t="s">
        <v>823</v>
      </c>
      <c r="Q243" s="3"/>
      <c r="R243" s="3"/>
      <c r="S243" s="6"/>
      <c r="T243" s="6"/>
      <c r="U243" s="6"/>
    </row>
    <row r="244" ht="15.75" customHeight="1">
      <c r="A244" s="4" t="s">
        <v>827</v>
      </c>
      <c r="B244" s="4" t="s">
        <v>828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135</v>
      </c>
      <c r="K244" s="3">
        <v>2.0</v>
      </c>
      <c r="L244" s="3">
        <v>1.0</v>
      </c>
      <c r="M244" s="4" t="s">
        <v>43</v>
      </c>
      <c r="N244" s="3" t="s">
        <v>156</v>
      </c>
      <c r="O244" s="3"/>
      <c r="P244" s="4" t="s">
        <v>823</v>
      </c>
      <c r="Q244" s="3"/>
      <c r="R244" s="3"/>
      <c r="S244" s="6"/>
      <c r="T244" s="6"/>
      <c r="U244" s="6"/>
    </row>
    <row r="245" ht="15.75" customHeight="1">
      <c r="A245" s="4" t="s">
        <v>829</v>
      </c>
      <c r="B245" s="4" t="s">
        <v>830</v>
      </c>
      <c r="C245" s="4" t="s">
        <v>39</v>
      </c>
      <c r="D245" s="8" t="s">
        <v>381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135</v>
      </c>
      <c r="K245" s="3">
        <v>5.0</v>
      </c>
      <c r="L245" s="3">
        <v>1.0</v>
      </c>
      <c r="M245" s="9" t="s">
        <v>236</v>
      </c>
      <c r="N245" s="3" t="s">
        <v>156</v>
      </c>
      <c r="O245" s="3"/>
      <c r="P245" s="4" t="s">
        <v>823</v>
      </c>
      <c r="Q245" s="3"/>
      <c r="R245" s="3"/>
      <c r="S245" s="6"/>
      <c r="T245" s="6"/>
      <c r="U245" s="6"/>
    </row>
    <row r="246" ht="15.75" customHeight="1">
      <c r="A246" s="4" t="s">
        <v>831</v>
      </c>
      <c r="B246" s="4" t="s">
        <v>832</v>
      </c>
      <c r="C246" s="4" t="s">
        <v>39</v>
      </c>
      <c r="D246" s="6"/>
      <c r="E246" s="3" t="str">
        <f t="shared" si="1"/>
        <v>現存</v>
      </c>
      <c r="F246" s="3" t="s">
        <v>833</v>
      </c>
      <c r="G246" s="6"/>
      <c r="H246" s="3" t="str">
        <f t="shared" si="2"/>
        <v>3,6,11,12</v>
      </c>
      <c r="I246" s="3" t="s">
        <v>364</v>
      </c>
      <c r="J246" s="3" t="s">
        <v>193</v>
      </c>
      <c r="K246" s="3">
        <v>6.0</v>
      </c>
      <c r="L246" s="3">
        <v>1.0</v>
      </c>
      <c r="M246" s="4" t="s">
        <v>43</v>
      </c>
      <c r="N246" s="3" t="s">
        <v>156</v>
      </c>
      <c r="O246" s="3"/>
      <c r="P246" s="4" t="s">
        <v>823</v>
      </c>
      <c r="Q246" s="3"/>
      <c r="R246" s="3"/>
      <c r="S246" s="6"/>
      <c r="T246" s="6"/>
      <c r="U246" s="6"/>
    </row>
    <row r="247" ht="15.75" customHeight="1">
      <c r="A247" s="4" t="s">
        <v>834</v>
      </c>
      <c r="B247" s="4" t="s">
        <v>835</v>
      </c>
      <c r="C247" s="4" t="s">
        <v>39</v>
      </c>
      <c r="D247" s="6"/>
      <c r="E247" s="3" t="str">
        <f t="shared" si="1"/>
        <v>現存</v>
      </c>
      <c r="F247" s="3" t="s">
        <v>836</v>
      </c>
      <c r="G247" s="6"/>
      <c r="H247" s="3" t="str">
        <f t="shared" si="2"/>
        <v>4,7</v>
      </c>
      <c r="I247" s="3" t="s">
        <v>837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156</v>
      </c>
      <c r="O247" s="3"/>
      <c r="P247" s="4" t="s">
        <v>823</v>
      </c>
      <c r="Q247" s="3"/>
      <c r="R247" s="3"/>
      <c r="S247" s="6"/>
      <c r="T247" s="6"/>
      <c r="U247" s="6"/>
    </row>
    <row r="248" ht="15.75" customHeight="1">
      <c r="A248" s="4" t="s">
        <v>838</v>
      </c>
      <c r="B248" s="4" t="s">
        <v>839</v>
      </c>
      <c r="C248" s="4" t="s">
        <v>39</v>
      </c>
      <c r="D248" s="6"/>
      <c r="E248" s="3" t="str">
        <f t="shared" si="1"/>
        <v>現存</v>
      </c>
      <c r="F248" s="3" t="s">
        <v>156</v>
      </c>
      <c r="G248" s="6"/>
      <c r="H248" s="3" t="str">
        <f t="shared" si="2"/>
        <v>4</v>
      </c>
      <c r="I248" s="3" t="s">
        <v>335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156</v>
      </c>
      <c r="O248" s="3"/>
      <c r="P248" s="4" t="s">
        <v>823</v>
      </c>
      <c r="Q248" s="3"/>
      <c r="R248" s="3"/>
      <c r="S248" s="6"/>
      <c r="T248" s="6"/>
      <c r="U248" s="6"/>
    </row>
    <row r="249" ht="15.75" customHeight="1">
      <c r="A249" s="4" t="s">
        <v>840</v>
      </c>
      <c r="B249" s="4" t="s">
        <v>841</v>
      </c>
      <c r="C249" s="4" t="s">
        <v>39</v>
      </c>
      <c r="D249" s="6"/>
      <c r="E249" s="3" t="str">
        <f t="shared" si="1"/>
        <v>現存</v>
      </c>
      <c r="F249" s="3" t="s">
        <v>842</v>
      </c>
      <c r="G249" s="6"/>
      <c r="H249" s="3" t="str">
        <f t="shared" si="2"/>
        <v>4,6,10</v>
      </c>
      <c r="I249" s="3" t="s">
        <v>444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156</v>
      </c>
      <c r="O249" s="3"/>
      <c r="P249" s="4" t="s">
        <v>823</v>
      </c>
      <c r="Q249" s="3"/>
      <c r="R249" s="3"/>
      <c r="S249" s="6"/>
      <c r="T249" s="6"/>
      <c r="U249" s="6"/>
    </row>
    <row r="250" ht="15.75" customHeight="1">
      <c r="A250" s="4" t="s">
        <v>843</v>
      </c>
      <c r="B250" s="4" t="s">
        <v>844</v>
      </c>
      <c r="C250" s="4" t="s">
        <v>39</v>
      </c>
      <c r="D250" s="6"/>
      <c r="E250" s="3" t="str">
        <f t="shared" si="1"/>
        <v>現存</v>
      </c>
      <c r="F250" s="3" t="s">
        <v>845</v>
      </c>
      <c r="G250" s="6"/>
      <c r="H250" s="3" t="str">
        <f t="shared" si="2"/>
        <v>4,5,6,7,8,12</v>
      </c>
      <c r="I250" s="3" t="s">
        <v>444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846</v>
      </c>
      <c r="O250" s="3"/>
      <c r="P250" s="4" t="s">
        <v>823</v>
      </c>
      <c r="Q250" s="3"/>
      <c r="R250" s="3"/>
      <c r="S250" s="6"/>
      <c r="T250" s="6"/>
      <c r="U250" s="6"/>
    </row>
    <row r="251" ht="15.75" customHeight="1">
      <c r="A251" s="4" t="s">
        <v>847</v>
      </c>
      <c r="B251" s="4" t="s">
        <v>848</v>
      </c>
      <c r="C251" s="4" t="s">
        <v>39</v>
      </c>
      <c r="D251" s="6"/>
      <c r="E251" s="3" t="str">
        <f t="shared" si="1"/>
        <v>現存</v>
      </c>
      <c r="F251" s="3" t="s">
        <v>849</v>
      </c>
      <c r="G251" s="6"/>
      <c r="H251" s="3" t="str">
        <f t="shared" si="2"/>
        <v>4,6,7</v>
      </c>
      <c r="I251" s="3" t="s">
        <v>850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156</v>
      </c>
      <c r="O251" s="3"/>
      <c r="P251" s="4" t="s">
        <v>823</v>
      </c>
      <c r="Q251" s="3"/>
      <c r="R251" s="3"/>
      <c r="S251" s="6"/>
      <c r="T251" s="6"/>
      <c r="U251" s="6"/>
    </row>
    <row r="252" ht="15.75" customHeight="1">
      <c r="A252" s="4" t="s">
        <v>851</v>
      </c>
      <c r="B252" s="4" t="s">
        <v>852</v>
      </c>
      <c r="C252" s="4" t="s">
        <v>39</v>
      </c>
      <c r="D252" s="6"/>
      <c r="E252" s="3" t="str">
        <f t="shared" si="1"/>
        <v>現存</v>
      </c>
      <c r="F252" s="3" t="s">
        <v>450</v>
      </c>
      <c r="G252" s="6"/>
      <c r="H252" s="3" t="str">
        <f t="shared" si="2"/>
        <v>5</v>
      </c>
      <c r="I252" s="3" t="s">
        <v>853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156</v>
      </c>
      <c r="O252" s="3"/>
      <c r="P252" s="4" t="s">
        <v>823</v>
      </c>
      <c r="Q252" s="4" t="s">
        <v>854</v>
      </c>
      <c r="R252" s="3"/>
      <c r="S252" s="6"/>
      <c r="T252" s="6"/>
      <c r="U252" s="6"/>
    </row>
    <row r="253" ht="15.75" customHeight="1">
      <c r="A253" s="4" t="s">
        <v>855</v>
      </c>
      <c r="B253" s="4" t="s">
        <v>856</v>
      </c>
      <c r="C253" s="4" t="s">
        <v>39</v>
      </c>
      <c r="D253" s="6"/>
      <c r="E253" s="3" t="str">
        <f t="shared" si="1"/>
        <v>現存</v>
      </c>
      <c r="F253" s="3" t="s">
        <v>171</v>
      </c>
      <c r="G253" s="6"/>
      <c r="H253" s="3" t="str">
        <f t="shared" si="2"/>
        <v>5,6</v>
      </c>
      <c r="I253" s="3" t="s">
        <v>857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156</v>
      </c>
      <c r="O253" s="3"/>
      <c r="P253" s="4" t="s">
        <v>823</v>
      </c>
      <c r="Q253" s="3"/>
      <c r="R253" s="3"/>
      <c r="S253" s="6"/>
      <c r="T253" s="6"/>
      <c r="U253" s="6"/>
    </row>
    <row r="254" ht="15.75" customHeight="1">
      <c r="A254" s="4" t="s">
        <v>858</v>
      </c>
      <c r="B254" s="4" t="s">
        <v>859</v>
      </c>
      <c r="C254" s="4" t="s">
        <v>39</v>
      </c>
      <c r="D254" s="6"/>
      <c r="E254" s="3" t="str">
        <f t="shared" si="1"/>
        <v>現存</v>
      </c>
      <c r="F254" s="3" t="s">
        <v>287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156</v>
      </c>
      <c r="O254" s="3"/>
      <c r="P254" s="4" t="s">
        <v>823</v>
      </c>
      <c r="Q254" s="3"/>
      <c r="R254" s="3"/>
      <c r="S254" s="6"/>
      <c r="T254" s="6"/>
      <c r="U254" s="6"/>
    </row>
    <row r="255" ht="15.75" customHeight="1">
      <c r="A255" s="4" t="s">
        <v>860</v>
      </c>
      <c r="B255" s="4" t="s">
        <v>861</v>
      </c>
      <c r="C255" s="4" t="s">
        <v>39</v>
      </c>
      <c r="D255" s="6"/>
      <c r="E255" s="3" t="str">
        <f t="shared" si="1"/>
        <v>現存</v>
      </c>
      <c r="F255" s="3" t="s">
        <v>310</v>
      </c>
      <c r="G255" s="6"/>
      <c r="H255" s="3" t="str">
        <f t="shared" si="2"/>
        <v>6</v>
      </c>
      <c r="I255" s="3" t="s">
        <v>444</v>
      </c>
      <c r="J255" s="3" t="s">
        <v>135</v>
      </c>
      <c r="K255" s="3">
        <v>2.0</v>
      </c>
      <c r="L255" s="3">
        <v>1.0</v>
      </c>
      <c r="M255" s="4" t="s">
        <v>43</v>
      </c>
      <c r="N255" s="3" t="s">
        <v>156</v>
      </c>
      <c r="O255" s="3"/>
      <c r="P255" s="4" t="s">
        <v>823</v>
      </c>
      <c r="Q255" s="3"/>
      <c r="R255" s="3"/>
      <c r="S255" s="6"/>
      <c r="T255" s="6"/>
      <c r="U255" s="8" t="s">
        <v>862</v>
      </c>
    </row>
    <row r="256" ht="15.75" customHeight="1">
      <c r="A256" s="4" t="s">
        <v>863</v>
      </c>
      <c r="B256" s="4" t="s">
        <v>864</v>
      </c>
      <c r="C256" s="4" t="s">
        <v>39</v>
      </c>
      <c r="D256" s="8" t="s">
        <v>381</v>
      </c>
      <c r="E256" s="3" t="str">
        <f t="shared" si="1"/>
        <v>不收錄</v>
      </c>
      <c r="F256" s="3" t="s">
        <v>310</v>
      </c>
      <c r="G256" s="6"/>
      <c r="H256" s="3" t="str">
        <f t="shared" si="2"/>
        <v>6</v>
      </c>
      <c r="I256" s="3" t="s">
        <v>865</v>
      </c>
      <c r="J256" s="3" t="s">
        <v>135</v>
      </c>
      <c r="K256" s="3">
        <v>1.0</v>
      </c>
      <c r="L256" s="3">
        <v>1.0</v>
      </c>
      <c r="M256" s="9" t="s">
        <v>236</v>
      </c>
      <c r="N256" s="3" t="s">
        <v>156</v>
      </c>
      <c r="O256" s="3"/>
      <c r="P256" s="4" t="s">
        <v>823</v>
      </c>
      <c r="Q256" s="3"/>
      <c r="R256" s="3"/>
      <c r="S256" s="6"/>
      <c r="T256" s="6"/>
      <c r="U256" s="6"/>
    </row>
    <row r="257" ht="15.75" customHeight="1">
      <c r="A257" s="4" t="s">
        <v>866</v>
      </c>
      <c r="B257" s="9" t="s">
        <v>859</v>
      </c>
      <c r="C257" s="4" t="s">
        <v>39</v>
      </c>
      <c r="D257" s="8" t="s">
        <v>381</v>
      </c>
      <c r="E257" s="3" t="str">
        <f t="shared" si="1"/>
        <v>不收錄</v>
      </c>
      <c r="F257" s="3" t="s">
        <v>310</v>
      </c>
      <c r="G257" s="6"/>
      <c r="H257" s="3" t="str">
        <f t="shared" si="2"/>
        <v>6</v>
      </c>
      <c r="I257" s="3" t="s">
        <v>865</v>
      </c>
      <c r="J257" s="3" t="s">
        <v>135</v>
      </c>
      <c r="K257" s="3">
        <v>1.0</v>
      </c>
      <c r="L257" s="3">
        <v>1.0</v>
      </c>
      <c r="M257" s="9" t="s">
        <v>236</v>
      </c>
      <c r="N257" s="3" t="s">
        <v>156</v>
      </c>
      <c r="O257" s="3"/>
      <c r="P257" s="4" t="s">
        <v>823</v>
      </c>
      <c r="Q257" s="3"/>
      <c r="R257" s="3"/>
      <c r="S257" s="6"/>
      <c r="T257" s="6"/>
      <c r="U257" s="6"/>
    </row>
    <row r="258" ht="15.75" customHeight="1">
      <c r="A258" s="4" t="s">
        <v>867</v>
      </c>
      <c r="B258" s="4" t="s">
        <v>868</v>
      </c>
      <c r="C258" s="4" t="s">
        <v>39</v>
      </c>
      <c r="D258" s="8" t="s">
        <v>381</v>
      </c>
      <c r="E258" s="3" t="str">
        <f t="shared" si="1"/>
        <v>不收錄</v>
      </c>
      <c r="F258" s="3" t="s">
        <v>310</v>
      </c>
      <c r="G258" s="6"/>
      <c r="H258" s="3" t="str">
        <f t="shared" si="2"/>
        <v>6</v>
      </c>
      <c r="I258" s="3" t="s">
        <v>869</v>
      </c>
      <c r="J258" s="3" t="s">
        <v>135</v>
      </c>
      <c r="K258" s="3">
        <v>1.0</v>
      </c>
      <c r="L258" s="3">
        <v>1.0</v>
      </c>
      <c r="M258" s="9" t="s">
        <v>236</v>
      </c>
      <c r="N258" s="3" t="s">
        <v>156</v>
      </c>
      <c r="O258" s="3"/>
      <c r="P258" s="4" t="s">
        <v>823</v>
      </c>
      <c r="Q258" s="3"/>
      <c r="R258" s="3"/>
      <c r="S258" s="6"/>
      <c r="T258" s="6"/>
      <c r="U258" s="6"/>
    </row>
    <row r="259" ht="15.75" customHeight="1">
      <c r="A259" s="4" t="s">
        <v>870</v>
      </c>
      <c r="B259" s="4" t="s">
        <v>871</v>
      </c>
      <c r="C259" s="4" t="s">
        <v>39</v>
      </c>
      <c r="D259" s="8" t="s">
        <v>381</v>
      </c>
      <c r="E259" s="3" t="str">
        <f t="shared" si="1"/>
        <v>不收錄</v>
      </c>
      <c r="F259" s="3" t="s">
        <v>872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236</v>
      </c>
      <c r="N259" s="3" t="s">
        <v>156</v>
      </c>
      <c r="O259" s="3"/>
      <c r="P259" s="4" t="s">
        <v>823</v>
      </c>
      <c r="Q259" s="3"/>
      <c r="R259" s="3"/>
      <c r="S259" s="6"/>
      <c r="T259" s="6"/>
      <c r="U259" s="6"/>
    </row>
    <row r="260" ht="15.75" customHeight="1">
      <c r="A260" s="4" t="s">
        <v>873</v>
      </c>
      <c r="B260" s="4" t="s">
        <v>874</v>
      </c>
      <c r="C260" s="4" t="s">
        <v>39</v>
      </c>
      <c r="D260" s="6"/>
      <c r="E260" s="3" t="str">
        <f t="shared" si="1"/>
        <v>現存</v>
      </c>
      <c r="F260" s="3" t="s">
        <v>310</v>
      </c>
      <c r="G260" s="6"/>
      <c r="H260" s="3" t="str">
        <f t="shared" si="2"/>
        <v>6</v>
      </c>
      <c r="I260" s="3" t="s">
        <v>857</v>
      </c>
      <c r="J260" s="3" t="s">
        <v>125</v>
      </c>
      <c r="K260" s="3">
        <v>3.0</v>
      </c>
      <c r="L260" s="3">
        <v>1.0</v>
      </c>
      <c r="M260" s="4" t="s">
        <v>43</v>
      </c>
      <c r="N260" s="3" t="s">
        <v>156</v>
      </c>
      <c r="O260" s="3"/>
      <c r="P260" s="4" t="s">
        <v>823</v>
      </c>
      <c r="Q260" s="3"/>
      <c r="R260" s="3"/>
      <c r="S260" s="6"/>
      <c r="T260" s="6"/>
      <c r="U260" s="6"/>
    </row>
    <row r="261" ht="15.75" customHeight="1">
      <c r="A261" s="4" t="s">
        <v>875</v>
      </c>
      <c r="B261" s="4" t="s">
        <v>876</v>
      </c>
      <c r="C261" s="4" t="s">
        <v>39</v>
      </c>
      <c r="D261" s="6"/>
      <c r="E261" s="3" t="str">
        <f t="shared" si="1"/>
        <v>現存</v>
      </c>
      <c r="F261" s="3" t="s">
        <v>175</v>
      </c>
      <c r="G261" s="6"/>
      <c r="H261" s="3" t="str">
        <f t="shared" si="2"/>
        <v>8,9</v>
      </c>
      <c r="I261" s="3" t="s">
        <v>481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156</v>
      </c>
      <c r="O261" s="3"/>
      <c r="P261" s="4" t="s">
        <v>823</v>
      </c>
      <c r="Q261" s="3"/>
      <c r="R261" s="3"/>
      <c r="S261" s="6"/>
      <c r="T261" s="6"/>
      <c r="U261" s="6"/>
    </row>
    <row r="262" ht="15.75" customHeight="1">
      <c r="A262" s="4" t="s">
        <v>877</v>
      </c>
      <c r="B262" s="4" t="s">
        <v>878</v>
      </c>
      <c r="C262" s="4" t="s">
        <v>39</v>
      </c>
      <c r="D262" s="8" t="s">
        <v>381</v>
      </c>
      <c r="E262" s="3" t="str">
        <f t="shared" si="1"/>
        <v>不收錄</v>
      </c>
      <c r="F262" s="3" t="s">
        <v>179</v>
      </c>
      <c r="G262" s="6"/>
      <c r="H262" s="3" t="str">
        <f t="shared" si="2"/>
        <v>8</v>
      </c>
      <c r="I262" s="3" t="s">
        <v>303</v>
      </c>
      <c r="J262" s="3" t="s">
        <v>135</v>
      </c>
      <c r="K262" s="3">
        <v>1.0</v>
      </c>
      <c r="L262" s="3">
        <v>1.0</v>
      </c>
      <c r="M262" s="9" t="s">
        <v>236</v>
      </c>
      <c r="N262" s="3" t="s">
        <v>156</v>
      </c>
      <c r="O262" s="3"/>
      <c r="P262" s="4" t="s">
        <v>823</v>
      </c>
      <c r="Q262" s="3"/>
      <c r="R262" s="3"/>
      <c r="S262" s="6"/>
      <c r="T262" s="6"/>
      <c r="U262" s="6"/>
    </row>
    <row r="263" ht="15.75" customHeight="1">
      <c r="A263" s="4" t="s">
        <v>879</v>
      </c>
      <c r="B263" s="4" t="s">
        <v>880</v>
      </c>
      <c r="C263" s="4" t="s">
        <v>39</v>
      </c>
      <c r="D263" s="8" t="s">
        <v>381</v>
      </c>
      <c r="E263" s="3" t="str">
        <f t="shared" si="1"/>
        <v>不收錄</v>
      </c>
      <c r="F263" s="3" t="s">
        <v>179</v>
      </c>
      <c r="G263" s="6"/>
      <c r="H263" s="3" t="str">
        <f t="shared" si="2"/>
        <v>8</v>
      </c>
      <c r="I263" s="3" t="s">
        <v>303</v>
      </c>
      <c r="J263" s="3" t="s">
        <v>135</v>
      </c>
      <c r="K263" s="3">
        <v>3.0</v>
      </c>
      <c r="L263" s="3">
        <v>1.0</v>
      </c>
      <c r="M263" s="9" t="s">
        <v>236</v>
      </c>
      <c r="N263" s="3" t="s">
        <v>156</v>
      </c>
      <c r="O263" s="3"/>
      <c r="P263" s="4" t="s">
        <v>823</v>
      </c>
      <c r="Q263" s="3"/>
      <c r="R263" s="3"/>
      <c r="S263" s="6"/>
      <c r="T263" s="6"/>
      <c r="U263" s="6"/>
    </row>
    <row r="264" ht="15.75" customHeight="1">
      <c r="A264" s="4" t="s">
        <v>881</v>
      </c>
      <c r="B264" s="4" t="s">
        <v>882</v>
      </c>
      <c r="C264" s="4" t="s">
        <v>39</v>
      </c>
      <c r="D264" s="6"/>
      <c r="E264" s="3" t="str">
        <f t="shared" si="1"/>
        <v>現存</v>
      </c>
      <c r="F264" s="3" t="s">
        <v>179</v>
      </c>
      <c r="G264" s="6"/>
      <c r="H264" s="3" t="str">
        <f t="shared" si="2"/>
        <v>8</v>
      </c>
      <c r="I264" s="3" t="s">
        <v>319</v>
      </c>
      <c r="J264" s="3" t="s">
        <v>42</v>
      </c>
      <c r="K264" s="3">
        <v>1.0</v>
      </c>
      <c r="L264" s="3">
        <v>1.0</v>
      </c>
      <c r="M264" s="9" t="s">
        <v>236</v>
      </c>
      <c r="N264" s="3" t="s">
        <v>156</v>
      </c>
      <c r="O264" s="3"/>
      <c r="P264" s="4" t="s">
        <v>823</v>
      </c>
      <c r="Q264" s="3"/>
      <c r="R264" s="3"/>
      <c r="S264" s="6"/>
      <c r="T264" s="6"/>
      <c r="U264" s="6"/>
    </row>
    <row r="265" ht="15.75" customHeight="1">
      <c r="A265" s="4" t="s">
        <v>883</v>
      </c>
      <c r="B265" s="4" t="s">
        <v>884</v>
      </c>
      <c r="C265" s="4" t="s">
        <v>39</v>
      </c>
      <c r="D265" s="6"/>
      <c r="E265" s="3" t="str">
        <f t="shared" si="1"/>
        <v>現存</v>
      </c>
      <c r="F265" s="3" t="s">
        <v>326</v>
      </c>
      <c r="G265" s="6"/>
      <c r="H265" s="3" t="str">
        <f t="shared" si="2"/>
        <v>9</v>
      </c>
      <c r="I265" s="3" t="s">
        <v>499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156</v>
      </c>
      <c r="O265" s="3"/>
      <c r="P265" s="4" t="s">
        <v>823</v>
      </c>
      <c r="Q265" s="3"/>
      <c r="R265" s="3"/>
      <c r="S265" s="6"/>
      <c r="T265" s="6"/>
      <c r="U265" s="6"/>
    </row>
    <row r="266" ht="15.75" customHeight="1">
      <c r="A266" s="4" t="s">
        <v>885</v>
      </c>
      <c r="B266" s="9" t="s">
        <v>886</v>
      </c>
      <c r="C266" s="4" t="s">
        <v>39</v>
      </c>
      <c r="D266" s="6"/>
      <c r="E266" s="3" t="str">
        <f t="shared" si="1"/>
        <v>現存</v>
      </c>
      <c r="F266" s="3" t="s">
        <v>498</v>
      </c>
      <c r="G266" s="6"/>
      <c r="H266" s="3" t="str">
        <f t="shared" si="2"/>
        <v>9,10</v>
      </c>
      <c r="I266" s="3" t="s">
        <v>887</v>
      </c>
      <c r="J266" s="3" t="s">
        <v>181</v>
      </c>
      <c r="K266" s="3">
        <v>2.0</v>
      </c>
      <c r="L266" s="3">
        <v>1.0</v>
      </c>
      <c r="M266" s="4" t="s">
        <v>43</v>
      </c>
      <c r="N266" s="3" t="s">
        <v>156</v>
      </c>
      <c r="O266" s="3"/>
      <c r="P266" s="4" t="s">
        <v>823</v>
      </c>
      <c r="Q266" s="3"/>
      <c r="R266" s="3"/>
      <c r="S266" s="6"/>
      <c r="T266" s="6"/>
      <c r="U266" s="6"/>
    </row>
    <row r="267" ht="15.75" customHeight="1">
      <c r="A267" s="4" t="s">
        <v>888</v>
      </c>
      <c r="B267" s="4" t="s">
        <v>889</v>
      </c>
      <c r="C267" s="4" t="s">
        <v>39</v>
      </c>
      <c r="D267" s="8" t="s">
        <v>381</v>
      </c>
      <c r="E267" s="3" t="str">
        <f t="shared" si="1"/>
        <v>不收錄</v>
      </c>
      <c r="F267" s="3" t="s">
        <v>188</v>
      </c>
      <c r="G267" s="6"/>
      <c r="H267" s="3" t="str">
        <f t="shared" si="2"/>
        <v>10</v>
      </c>
      <c r="I267" s="3" t="s">
        <v>577</v>
      </c>
      <c r="J267" s="3" t="s">
        <v>42</v>
      </c>
      <c r="K267" s="3">
        <v>1.0</v>
      </c>
      <c r="L267" s="3">
        <v>1.0</v>
      </c>
      <c r="M267" s="9" t="s">
        <v>236</v>
      </c>
      <c r="N267" s="3" t="s">
        <v>156</v>
      </c>
      <c r="O267" s="3"/>
      <c r="P267" s="4" t="s">
        <v>823</v>
      </c>
      <c r="Q267" s="3"/>
      <c r="R267" s="3"/>
      <c r="S267" s="6"/>
      <c r="T267" s="6"/>
      <c r="U267" s="6"/>
    </row>
    <row r="268" ht="15.75" customHeight="1">
      <c r="A268" s="4" t="s">
        <v>890</v>
      </c>
      <c r="B268" s="4" t="s">
        <v>891</v>
      </c>
      <c r="C268" s="4" t="s">
        <v>39</v>
      </c>
      <c r="D268" s="6"/>
      <c r="E268" s="3" t="str">
        <f t="shared" si="1"/>
        <v>現存</v>
      </c>
      <c r="F268" s="3" t="s">
        <v>515</v>
      </c>
      <c r="G268" s="6"/>
      <c r="H268" s="3" t="str">
        <f t="shared" si="2"/>
        <v>11</v>
      </c>
      <c r="I268" s="3" t="s">
        <v>892</v>
      </c>
      <c r="J268" s="3" t="s">
        <v>893</v>
      </c>
      <c r="K268" s="3">
        <v>1.0</v>
      </c>
      <c r="L268" s="3">
        <v>1.0</v>
      </c>
      <c r="M268" s="4" t="s">
        <v>43</v>
      </c>
      <c r="N268" s="3" t="s">
        <v>156</v>
      </c>
      <c r="O268" s="3"/>
      <c r="P268" s="4" t="s">
        <v>823</v>
      </c>
      <c r="Q268" s="3"/>
      <c r="R268" s="3"/>
      <c r="S268" s="6"/>
      <c r="T268" s="6"/>
      <c r="U268" s="6"/>
    </row>
    <row r="269" ht="15.75" customHeight="1">
      <c r="A269" s="4" t="s">
        <v>894</v>
      </c>
      <c r="B269" s="4" t="s">
        <v>895</v>
      </c>
      <c r="C269" s="4" t="s">
        <v>39</v>
      </c>
      <c r="D269" s="6"/>
      <c r="E269" s="3" t="str">
        <f t="shared" si="1"/>
        <v>現存</v>
      </c>
      <c r="F269" s="3" t="s">
        <v>896</v>
      </c>
      <c r="G269" s="6"/>
      <c r="H269" s="3" t="str">
        <f t="shared" si="2"/>
        <v>1,6,11,12</v>
      </c>
      <c r="I269" s="3" t="s">
        <v>364</v>
      </c>
      <c r="J269" s="3" t="s">
        <v>193</v>
      </c>
      <c r="K269" s="3">
        <v>13.0</v>
      </c>
      <c r="L269" s="3">
        <v>1.0</v>
      </c>
      <c r="M269" s="4" t="s">
        <v>43</v>
      </c>
      <c r="N269" s="3" t="s">
        <v>156</v>
      </c>
      <c r="O269" s="3"/>
      <c r="P269" s="4" t="s">
        <v>897</v>
      </c>
      <c r="Q269" s="3"/>
      <c r="R269" s="3"/>
      <c r="S269" s="6"/>
      <c r="T269" s="6"/>
      <c r="U269" s="6"/>
    </row>
    <row r="270" ht="15.75" customHeight="1">
      <c r="A270" s="4" t="s">
        <v>898</v>
      </c>
      <c r="B270" s="4" t="s">
        <v>899</v>
      </c>
      <c r="C270" s="4" t="s">
        <v>39</v>
      </c>
      <c r="D270" s="6"/>
      <c r="E270" s="3" t="str">
        <f t="shared" si="1"/>
        <v>現存</v>
      </c>
      <c r="F270" s="3" t="s">
        <v>900</v>
      </c>
      <c r="G270" s="6"/>
      <c r="H270" s="3" t="str">
        <f t="shared" si="2"/>
        <v>1,5,6,7,11,12</v>
      </c>
      <c r="I270" s="3" t="s">
        <v>364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156</v>
      </c>
      <c r="O270" s="3"/>
      <c r="P270" s="4" t="s">
        <v>897</v>
      </c>
      <c r="Q270" s="3"/>
      <c r="R270" s="3"/>
      <c r="S270" s="6"/>
      <c r="T270" s="6"/>
      <c r="U270" s="6"/>
    </row>
    <row r="271" ht="15.75" customHeight="1">
      <c r="A271" s="4" t="s">
        <v>901</v>
      </c>
      <c r="B271" s="4" t="s">
        <v>902</v>
      </c>
      <c r="C271" s="4" t="s">
        <v>39</v>
      </c>
      <c r="D271" s="6"/>
      <c r="E271" s="3" t="str">
        <f t="shared" si="1"/>
        <v>現存</v>
      </c>
      <c r="F271" s="3" t="s">
        <v>903</v>
      </c>
      <c r="G271" s="6"/>
      <c r="H271" s="3" t="str">
        <f t="shared" si="2"/>
        <v>1,3,4,12</v>
      </c>
      <c r="I271" s="3" t="s">
        <v>335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156</v>
      </c>
      <c r="O271" s="3"/>
      <c r="P271" s="4" t="s">
        <v>897</v>
      </c>
      <c r="Q271" s="3"/>
      <c r="R271" s="3"/>
      <c r="S271" s="6"/>
      <c r="T271" s="6"/>
      <c r="U271" s="6"/>
    </row>
    <row r="272" ht="15.75" customHeight="1">
      <c r="A272" s="4" t="s">
        <v>904</v>
      </c>
      <c r="B272" s="4" t="s">
        <v>905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156</v>
      </c>
      <c r="O272" s="3"/>
      <c r="P272" s="4" t="s">
        <v>897</v>
      </c>
      <c r="Q272" s="3"/>
      <c r="R272" s="3"/>
      <c r="S272" s="6"/>
      <c r="T272" s="6"/>
      <c r="U272" s="6"/>
    </row>
    <row r="273" ht="15.75" customHeight="1">
      <c r="A273" s="4" t="s">
        <v>906</v>
      </c>
      <c r="B273" s="4" t="s">
        <v>907</v>
      </c>
      <c r="C273" s="4" t="s">
        <v>39</v>
      </c>
      <c r="D273" s="6"/>
      <c r="E273" s="3" t="str">
        <f t="shared" si="1"/>
        <v>現存</v>
      </c>
      <c r="F273" s="3" t="s">
        <v>908</v>
      </c>
      <c r="G273" s="6"/>
      <c r="H273" s="3" t="str">
        <f t="shared" si="2"/>
        <v>1,4,5,10</v>
      </c>
      <c r="I273" s="3" t="s">
        <v>149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156</v>
      </c>
      <c r="O273" s="3"/>
      <c r="P273" s="4" t="s">
        <v>897</v>
      </c>
      <c r="Q273" s="3"/>
      <c r="R273" s="3"/>
      <c r="S273" s="6"/>
      <c r="T273" s="6"/>
      <c r="U273" s="6"/>
    </row>
    <row r="274" ht="15.75" customHeight="1">
      <c r="A274" s="4" t="s">
        <v>909</v>
      </c>
      <c r="B274" s="4" t="s">
        <v>910</v>
      </c>
      <c r="C274" s="4" t="s">
        <v>39</v>
      </c>
      <c r="D274" s="6"/>
      <c r="E274" s="3" t="str">
        <f t="shared" si="1"/>
        <v>現存</v>
      </c>
      <c r="F274" s="3" t="s">
        <v>911</v>
      </c>
      <c r="G274" s="6"/>
      <c r="H274" s="3" t="str">
        <f t="shared" si="2"/>
        <v>1,12</v>
      </c>
      <c r="I274" s="3" t="s">
        <v>49</v>
      </c>
      <c r="J274" s="3" t="s">
        <v>912</v>
      </c>
      <c r="K274" s="3">
        <v>4.0</v>
      </c>
      <c r="L274" s="3">
        <v>1.0</v>
      </c>
      <c r="M274" s="4" t="s">
        <v>43</v>
      </c>
      <c r="N274" s="3" t="s">
        <v>156</v>
      </c>
      <c r="O274" s="3"/>
      <c r="P274" s="4" t="s">
        <v>897</v>
      </c>
      <c r="Q274" s="3"/>
      <c r="R274" s="3"/>
      <c r="S274" s="6"/>
      <c r="T274" s="6"/>
      <c r="U274" s="6"/>
    </row>
    <row r="275" ht="15.75" customHeight="1">
      <c r="A275" s="4" t="s">
        <v>913</v>
      </c>
      <c r="B275" s="4" t="s">
        <v>914</v>
      </c>
      <c r="C275" s="4" t="s">
        <v>39</v>
      </c>
      <c r="D275" s="6"/>
      <c r="E275" s="3" t="str">
        <f t="shared" si="1"/>
        <v>現存</v>
      </c>
      <c r="F275" s="3" t="s">
        <v>915</v>
      </c>
      <c r="G275" s="6"/>
      <c r="H275" s="3" t="str">
        <f t="shared" si="2"/>
        <v>1,2,3,11</v>
      </c>
      <c r="I275" s="3" t="s">
        <v>212</v>
      </c>
      <c r="J275" s="3" t="s">
        <v>125</v>
      </c>
      <c r="K275" s="3">
        <v>4.0</v>
      </c>
      <c r="L275" s="3">
        <v>1.0</v>
      </c>
      <c r="M275" s="4" t="s">
        <v>43</v>
      </c>
      <c r="N275" s="3" t="s">
        <v>156</v>
      </c>
      <c r="O275" s="3"/>
      <c r="P275" s="4" t="s">
        <v>897</v>
      </c>
      <c r="Q275" s="3"/>
      <c r="R275" s="3"/>
      <c r="S275" s="6"/>
      <c r="T275" s="6"/>
      <c r="U275" s="6"/>
    </row>
    <row r="276" ht="15.75" customHeight="1">
      <c r="A276" s="4" t="s">
        <v>916</v>
      </c>
      <c r="B276" s="4" t="s">
        <v>917</v>
      </c>
      <c r="C276" s="4" t="s">
        <v>39</v>
      </c>
      <c r="D276" s="8" t="s">
        <v>170</v>
      </c>
      <c r="E276" s="3" t="str">
        <f t="shared" si="1"/>
        <v>近年未見</v>
      </c>
      <c r="F276" s="3" t="s">
        <v>911</v>
      </c>
      <c r="G276" s="6"/>
      <c r="H276" s="3" t="str">
        <f t="shared" si="2"/>
        <v>1,12</v>
      </c>
      <c r="I276" s="3" t="s">
        <v>918</v>
      </c>
      <c r="J276" s="3" t="s">
        <v>98</v>
      </c>
      <c r="K276" s="3">
        <v>2.0</v>
      </c>
      <c r="L276" s="3">
        <v>1.0</v>
      </c>
      <c r="M276" s="9" t="s">
        <v>236</v>
      </c>
      <c r="N276" s="3" t="s">
        <v>156</v>
      </c>
      <c r="O276" s="3"/>
      <c r="P276" s="4" t="s">
        <v>897</v>
      </c>
      <c r="Q276" s="3"/>
      <c r="R276" s="3"/>
      <c r="S276" s="6"/>
      <c r="T276" s="6"/>
      <c r="U276" s="6"/>
    </row>
    <row r="277" ht="15.75" customHeight="1">
      <c r="A277" s="4" t="s">
        <v>919</v>
      </c>
      <c r="B277" s="4" t="s">
        <v>920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921</v>
      </c>
      <c r="O277" s="3"/>
      <c r="P277" s="4" t="s">
        <v>897</v>
      </c>
      <c r="Q277" s="3"/>
      <c r="R277" s="3"/>
      <c r="S277" s="6"/>
      <c r="T277" s="6"/>
      <c r="U277" s="6"/>
    </row>
    <row r="278" ht="15.75" customHeight="1">
      <c r="A278" s="4" t="s">
        <v>922</v>
      </c>
      <c r="B278" s="4" t="s">
        <v>923</v>
      </c>
      <c r="C278" s="4" t="s">
        <v>39</v>
      </c>
      <c r="D278" s="6"/>
      <c r="E278" s="3" t="str">
        <f t="shared" si="1"/>
        <v>現存</v>
      </c>
      <c r="F278" s="3" t="s">
        <v>924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925</v>
      </c>
      <c r="O278" s="3"/>
      <c r="P278" s="4" t="s">
        <v>897</v>
      </c>
      <c r="Q278" s="3"/>
      <c r="R278" s="3"/>
      <c r="S278" s="6"/>
      <c r="T278" s="6"/>
      <c r="U278" s="6"/>
    </row>
    <row r="279" ht="15.75" customHeight="1">
      <c r="A279" s="4" t="s">
        <v>926</v>
      </c>
      <c r="B279" s="4" t="s">
        <v>927</v>
      </c>
      <c r="C279" s="4" t="s">
        <v>39</v>
      </c>
      <c r="D279" s="6"/>
      <c r="E279" s="3" t="str">
        <f t="shared" si="1"/>
        <v>現存</v>
      </c>
      <c r="F279" s="3" t="s">
        <v>928</v>
      </c>
      <c r="G279" s="6"/>
      <c r="H279" s="3" t="str">
        <f t="shared" si="2"/>
        <v>1,2,4,10,11,12</v>
      </c>
      <c r="I279" s="3" t="s">
        <v>426</v>
      </c>
      <c r="J279" s="3" t="s">
        <v>193</v>
      </c>
      <c r="K279" s="3">
        <v>11.0</v>
      </c>
      <c r="L279" s="3">
        <v>1.0</v>
      </c>
      <c r="M279" s="4" t="s">
        <v>43</v>
      </c>
      <c r="N279" s="3" t="s">
        <v>156</v>
      </c>
      <c r="O279" s="3"/>
      <c r="P279" s="4" t="s">
        <v>897</v>
      </c>
      <c r="Q279" s="3"/>
      <c r="R279" s="3"/>
      <c r="S279" s="6"/>
      <c r="T279" s="6"/>
      <c r="U279" s="6"/>
    </row>
    <row r="280" ht="15.75" customHeight="1">
      <c r="A280" s="4" t="s">
        <v>929</v>
      </c>
      <c r="B280" s="4" t="s">
        <v>930</v>
      </c>
      <c r="C280" s="4" t="s">
        <v>39</v>
      </c>
      <c r="D280" s="6"/>
      <c r="E280" s="3" t="str">
        <f t="shared" si="1"/>
        <v>現存</v>
      </c>
      <c r="F280" s="3" t="s">
        <v>218</v>
      </c>
      <c r="G280" s="6"/>
      <c r="H280" s="3" t="str">
        <f t="shared" si="2"/>
        <v>2,3</v>
      </c>
      <c r="I280" s="3" t="s">
        <v>117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156</v>
      </c>
      <c r="O280" s="3"/>
      <c r="P280" s="4" t="s">
        <v>897</v>
      </c>
      <c r="Q280" s="3"/>
      <c r="R280" s="3"/>
      <c r="S280" s="6"/>
      <c r="T280" s="6"/>
      <c r="U280" s="6"/>
    </row>
    <row r="281" ht="15.75" customHeight="1">
      <c r="A281" s="4" t="s">
        <v>931</v>
      </c>
      <c r="B281" s="4" t="s">
        <v>932</v>
      </c>
      <c r="C281" s="4" t="s">
        <v>39</v>
      </c>
      <c r="D281" s="6"/>
      <c r="E281" s="3" t="str">
        <f t="shared" si="1"/>
        <v>現存</v>
      </c>
      <c r="F281" s="3" t="s">
        <v>218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156</v>
      </c>
      <c r="O281" s="3"/>
      <c r="P281" s="4" t="s">
        <v>897</v>
      </c>
      <c r="Q281" s="3"/>
      <c r="R281" s="3"/>
      <c r="S281" s="6"/>
      <c r="T281" s="6"/>
      <c r="U281" s="6"/>
    </row>
    <row r="282" ht="15.75" customHeight="1">
      <c r="A282" s="4" t="s">
        <v>933</v>
      </c>
      <c r="B282" s="4" t="s">
        <v>934</v>
      </c>
      <c r="C282" s="4" t="s">
        <v>39</v>
      </c>
      <c r="D282" s="6"/>
      <c r="E282" s="3" t="str">
        <f t="shared" si="1"/>
        <v>現存</v>
      </c>
      <c r="F282" s="3" t="s">
        <v>935</v>
      </c>
      <c r="G282" s="6"/>
      <c r="H282" s="3" t="str">
        <f t="shared" si="2"/>
        <v>2,3,4</v>
      </c>
      <c r="I282" s="3" t="s">
        <v>426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156</v>
      </c>
      <c r="O282" s="3"/>
      <c r="P282" s="4" t="s">
        <v>897</v>
      </c>
      <c r="Q282" s="3"/>
      <c r="R282" s="3"/>
      <c r="S282" s="6"/>
      <c r="T282" s="6"/>
      <c r="U282" s="6"/>
    </row>
    <row r="283" ht="15.75" customHeight="1">
      <c r="A283" s="4" t="s">
        <v>936</v>
      </c>
      <c r="B283" s="4" t="s">
        <v>937</v>
      </c>
      <c r="C283" s="4" t="s">
        <v>39</v>
      </c>
      <c r="D283" s="6"/>
      <c r="E283" s="3" t="str">
        <f t="shared" si="1"/>
        <v>現存</v>
      </c>
      <c r="F283" s="3" t="s">
        <v>938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156</v>
      </c>
      <c r="O283" s="3"/>
      <c r="P283" s="4" t="s">
        <v>897</v>
      </c>
      <c r="Q283" s="3"/>
      <c r="R283" s="3"/>
      <c r="S283" s="6"/>
      <c r="T283" s="6"/>
      <c r="U283" s="6"/>
    </row>
    <row r="284" ht="15.75" customHeight="1">
      <c r="A284" s="4" t="s">
        <v>939</v>
      </c>
      <c r="B284" s="4" t="s">
        <v>940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117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156</v>
      </c>
      <c r="O284" s="3"/>
      <c r="P284" s="4" t="s">
        <v>897</v>
      </c>
      <c r="Q284" s="3"/>
      <c r="R284" s="3"/>
      <c r="S284" s="6"/>
      <c r="T284" s="6"/>
      <c r="U284" s="6"/>
    </row>
    <row r="285" ht="15.75" customHeight="1">
      <c r="A285" s="4" t="s">
        <v>941</v>
      </c>
      <c r="B285" s="4" t="s">
        <v>942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248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156</v>
      </c>
      <c r="O285" s="3"/>
      <c r="P285" s="4" t="s">
        <v>897</v>
      </c>
      <c r="Q285" s="3"/>
      <c r="R285" s="3"/>
      <c r="S285" s="6"/>
      <c r="T285" s="6"/>
      <c r="U285" s="6"/>
    </row>
    <row r="286" ht="15.75" customHeight="1">
      <c r="A286" s="4" t="s">
        <v>943</v>
      </c>
      <c r="B286" s="4" t="s">
        <v>944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391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156</v>
      </c>
      <c r="O286" s="3"/>
      <c r="P286" s="4" t="s">
        <v>897</v>
      </c>
      <c r="Q286" s="3"/>
      <c r="R286" s="3"/>
      <c r="S286" s="6"/>
      <c r="T286" s="6"/>
      <c r="U286" s="6"/>
    </row>
    <row r="287" ht="15.75" customHeight="1">
      <c r="A287" s="4" t="s">
        <v>945</v>
      </c>
      <c r="B287" s="4" t="s">
        <v>946</v>
      </c>
      <c r="C287" s="4" t="s">
        <v>39</v>
      </c>
      <c r="D287" s="6"/>
      <c r="E287" s="3" t="str">
        <f t="shared" si="1"/>
        <v>現存</v>
      </c>
      <c r="F287" s="3" t="s">
        <v>116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156</v>
      </c>
      <c r="O287" s="3"/>
      <c r="P287" s="4" t="s">
        <v>897</v>
      </c>
      <c r="Q287" s="3"/>
      <c r="R287" s="3"/>
      <c r="S287" s="6"/>
      <c r="T287" s="6"/>
      <c r="U287" s="6"/>
    </row>
    <row r="288" ht="15.75" customHeight="1">
      <c r="A288" s="4" t="s">
        <v>947</v>
      </c>
      <c r="B288" s="4" t="s">
        <v>948</v>
      </c>
      <c r="C288" s="4" t="s">
        <v>39</v>
      </c>
      <c r="D288" s="8" t="s">
        <v>381</v>
      </c>
      <c r="E288" s="3" t="str">
        <f t="shared" si="1"/>
        <v>不收錄</v>
      </c>
      <c r="F288" s="3" t="s">
        <v>122</v>
      </c>
      <c r="G288" s="6"/>
      <c r="H288" s="3" t="str">
        <f t="shared" si="2"/>
        <v>3,11</v>
      </c>
      <c r="I288" s="3" t="s">
        <v>949</v>
      </c>
      <c r="J288" s="3" t="s">
        <v>65</v>
      </c>
      <c r="K288" s="3">
        <v>6.0</v>
      </c>
      <c r="L288" s="3">
        <v>1.0</v>
      </c>
      <c r="M288" s="9" t="s">
        <v>236</v>
      </c>
      <c r="N288" s="3" t="s">
        <v>156</v>
      </c>
      <c r="O288" s="3"/>
      <c r="P288" s="4" t="s">
        <v>897</v>
      </c>
      <c r="Q288" s="3"/>
      <c r="R288" s="3"/>
      <c r="S288" s="6"/>
      <c r="T288" s="6"/>
      <c r="U288" s="6"/>
    </row>
    <row r="289" ht="15.75" customHeight="1">
      <c r="A289" s="4" t="s">
        <v>950</v>
      </c>
      <c r="B289" s="4" t="s">
        <v>951</v>
      </c>
      <c r="C289" s="4" t="s">
        <v>39</v>
      </c>
      <c r="D289" s="6"/>
      <c r="E289" s="3" t="str">
        <f t="shared" si="1"/>
        <v>現存</v>
      </c>
      <c r="F289" s="3" t="s">
        <v>116</v>
      </c>
      <c r="G289" s="6"/>
      <c r="H289" s="3" t="str">
        <f t="shared" si="2"/>
        <v>3,4</v>
      </c>
      <c r="I289" s="3" t="s">
        <v>699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156</v>
      </c>
      <c r="O289" s="3"/>
      <c r="P289" s="4" t="s">
        <v>897</v>
      </c>
      <c r="Q289" s="3"/>
      <c r="R289" s="3"/>
      <c r="S289" s="6"/>
      <c r="T289" s="6"/>
      <c r="U289" s="6"/>
    </row>
    <row r="290" ht="15.75" customHeight="1">
      <c r="A290" s="4" t="s">
        <v>952</v>
      </c>
      <c r="B290" s="4" t="s">
        <v>953</v>
      </c>
      <c r="C290" s="4" t="s">
        <v>39</v>
      </c>
      <c r="D290" s="6"/>
      <c r="E290" s="3" t="str">
        <f t="shared" si="1"/>
        <v>現存</v>
      </c>
      <c r="F290" s="3" t="s">
        <v>156</v>
      </c>
      <c r="G290" s="6"/>
      <c r="H290" s="3" t="str">
        <f t="shared" si="2"/>
        <v>4</v>
      </c>
      <c r="I290" s="3" t="s">
        <v>426</v>
      </c>
      <c r="J290" s="3" t="s">
        <v>125</v>
      </c>
      <c r="K290" s="3">
        <v>3.0</v>
      </c>
      <c r="L290" s="3">
        <v>1.0</v>
      </c>
      <c r="M290" s="4" t="s">
        <v>43</v>
      </c>
      <c r="N290" s="3" t="s">
        <v>156</v>
      </c>
      <c r="O290" s="3"/>
      <c r="P290" s="4" t="s">
        <v>897</v>
      </c>
      <c r="Q290" s="3"/>
      <c r="R290" s="3"/>
      <c r="S290" s="6"/>
      <c r="T290" s="6"/>
      <c r="U290" s="6"/>
    </row>
    <row r="291" ht="15.75" customHeight="1">
      <c r="A291" s="4" t="s">
        <v>954</v>
      </c>
      <c r="B291" s="4" t="s">
        <v>955</v>
      </c>
      <c r="C291" s="4" t="s">
        <v>39</v>
      </c>
      <c r="D291" s="6"/>
      <c r="E291" s="3" t="str">
        <f t="shared" si="1"/>
        <v>現存</v>
      </c>
      <c r="F291" s="3" t="s">
        <v>723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156</v>
      </c>
      <c r="O291" s="3"/>
      <c r="P291" s="4" t="s">
        <v>897</v>
      </c>
      <c r="Q291" s="3"/>
      <c r="R291" s="3"/>
      <c r="S291" s="6"/>
      <c r="T291" s="6"/>
      <c r="U291" s="6"/>
    </row>
    <row r="292" ht="15.75" customHeight="1">
      <c r="A292" s="4" t="s">
        <v>956</v>
      </c>
      <c r="B292" s="4" t="s">
        <v>957</v>
      </c>
      <c r="C292" s="4" t="s">
        <v>39</v>
      </c>
      <c r="D292" s="8" t="s">
        <v>381</v>
      </c>
      <c r="E292" s="3" t="str">
        <f t="shared" si="1"/>
        <v>不收錄</v>
      </c>
      <c r="F292" s="3" t="s">
        <v>156</v>
      </c>
      <c r="G292" s="6"/>
      <c r="H292" s="3" t="str">
        <f t="shared" si="2"/>
        <v>4</v>
      </c>
      <c r="I292" s="3" t="s">
        <v>426</v>
      </c>
      <c r="J292" s="3" t="s">
        <v>135</v>
      </c>
      <c r="K292" s="3">
        <v>1.0</v>
      </c>
      <c r="L292" s="3">
        <v>0.0</v>
      </c>
      <c r="M292" s="4" t="s">
        <v>236</v>
      </c>
      <c r="N292" s="3"/>
      <c r="O292" s="3"/>
      <c r="P292" s="4" t="s">
        <v>897</v>
      </c>
      <c r="Q292" s="3"/>
      <c r="R292" s="3"/>
      <c r="S292" s="6"/>
      <c r="T292" s="6"/>
      <c r="U292" s="6"/>
    </row>
    <row r="293" ht="15.75" customHeight="1">
      <c r="A293" s="4" t="s">
        <v>958</v>
      </c>
      <c r="B293" s="4" t="s">
        <v>959</v>
      </c>
      <c r="C293" s="4" t="s">
        <v>170</v>
      </c>
      <c r="D293" s="8" t="s">
        <v>381</v>
      </c>
      <c r="E293" s="3" t="str">
        <f t="shared" si="1"/>
        <v>不收錄</v>
      </c>
      <c r="F293" s="3" t="s">
        <v>960</v>
      </c>
      <c r="G293" s="6"/>
      <c r="H293" s="3" t="str">
        <f t="shared" si="2"/>
        <v>5,12</v>
      </c>
      <c r="I293" s="3" t="s">
        <v>961</v>
      </c>
      <c r="J293" s="3" t="s">
        <v>181</v>
      </c>
      <c r="K293" s="3">
        <v>2.0</v>
      </c>
      <c r="L293" s="3">
        <v>0.0</v>
      </c>
      <c r="M293" s="4" t="s">
        <v>236</v>
      </c>
      <c r="N293" s="3"/>
      <c r="O293" s="3"/>
      <c r="P293" s="4" t="s">
        <v>897</v>
      </c>
      <c r="Q293" s="3"/>
      <c r="R293" s="3"/>
      <c r="S293" s="6"/>
      <c r="T293" s="6"/>
      <c r="U293" s="6"/>
    </row>
    <row r="294" ht="15.75" customHeight="1">
      <c r="A294" s="4" t="s">
        <v>962</v>
      </c>
      <c r="B294" s="4" t="s">
        <v>963</v>
      </c>
      <c r="C294" s="4" t="s">
        <v>39</v>
      </c>
      <c r="D294" s="6"/>
      <c r="E294" s="3" t="str">
        <f t="shared" si="1"/>
        <v>現存</v>
      </c>
      <c r="F294" s="3" t="s">
        <v>964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156</v>
      </c>
      <c r="O294" s="3"/>
      <c r="P294" s="4" t="s">
        <v>897</v>
      </c>
      <c r="Q294" s="3"/>
      <c r="R294" s="3"/>
      <c r="S294" s="6"/>
      <c r="T294" s="6"/>
      <c r="U294" s="6"/>
    </row>
    <row r="295" ht="15.75" customHeight="1">
      <c r="A295" s="4" t="s">
        <v>965</v>
      </c>
      <c r="B295" s="4" t="s">
        <v>966</v>
      </c>
      <c r="C295" s="4" t="s">
        <v>39</v>
      </c>
      <c r="D295" s="6"/>
      <c r="E295" s="3" t="str">
        <f t="shared" si="1"/>
        <v>現存</v>
      </c>
      <c r="F295" s="3" t="s">
        <v>465</v>
      </c>
      <c r="G295" s="6"/>
      <c r="H295" s="3" t="str">
        <f t="shared" si="2"/>
        <v>5,6,7,9</v>
      </c>
      <c r="I295" s="3" t="s">
        <v>364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156</v>
      </c>
      <c r="O295" s="3"/>
      <c r="P295" s="4" t="s">
        <v>897</v>
      </c>
      <c r="Q295" s="3"/>
      <c r="R295" s="3"/>
      <c r="S295" s="6"/>
      <c r="T295" s="6"/>
      <c r="U295" s="6"/>
    </row>
    <row r="296" ht="15.75" customHeight="1">
      <c r="A296" s="4" t="s">
        <v>967</v>
      </c>
      <c r="B296" s="4" t="s">
        <v>968</v>
      </c>
      <c r="C296" s="4" t="s">
        <v>39</v>
      </c>
      <c r="D296" s="6"/>
      <c r="E296" s="3" t="str">
        <f t="shared" si="1"/>
        <v>現存</v>
      </c>
      <c r="F296" s="3" t="s">
        <v>969</v>
      </c>
      <c r="G296" s="6"/>
      <c r="H296" s="3" t="str">
        <f t="shared" si="2"/>
        <v>5,8,10</v>
      </c>
      <c r="I296" s="3" t="s">
        <v>149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156</v>
      </c>
      <c r="O296" s="3"/>
      <c r="P296" s="4" t="s">
        <v>897</v>
      </c>
      <c r="Q296" s="3"/>
      <c r="R296" s="3"/>
      <c r="S296" s="6"/>
      <c r="T296" s="6"/>
      <c r="U296" s="6"/>
    </row>
    <row r="297" ht="15.75" customHeight="1">
      <c r="A297" s="4" t="s">
        <v>970</v>
      </c>
      <c r="B297" s="4" t="s">
        <v>971</v>
      </c>
      <c r="C297" s="4" t="s">
        <v>39</v>
      </c>
      <c r="D297" s="6"/>
      <c r="E297" s="3" t="str">
        <f t="shared" si="1"/>
        <v>現存</v>
      </c>
      <c r="F297" s="3" t="s">
        <v>972</v>
      </c>
      <c r="G297" s="6"/>
      <c r="H297" s="3" t="str">
        <f t="shared" si="2"/>
        <v>6,9</v>
      </c>
      <c r="I297" s="3" t="s">
        <v>172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156</v>
      </c>
      <c r="O297" s="3"/>
      <c r="P297" s="4" t="s">
        <v>897</v>
      </c>
      <c r="Q297" s="3"/>
      <c r="R297" s="3"/>
      <c r="S297" s="6"/>
      <c r="T297" s="6"/>
      <c r="U297" s="6"/>
    </row>
    <row r="298" ht="15.75" customHeight="1">
      <c r="A298" s="4" t="s">
        <v>973</v>
      </c>
      <c r="B298" s="4" t="s">
        <v>974</v>
      </c>
      <c r="C298" s="4" t="s">
        <v>39</v>
      </c>
      <c r="D298" s="6"/>
      <c r="E298" s="3" t="str">
        <f t="shared" si="1"/>
        <v>現存</v>
      </c>
      <c r="F298" s="3" t="s">
        <v>314</v>
      </c>
      <c r="G298" s="6"/>
      <c r="H298" s="3" t="str">
        <f t="shared" si="2"/>
        <v>7</v>
      </c>
      <c r="I298" s="3" t="s">
        <v>112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156</v>
      </c>
      <c r="O298" s="3"/>
      <c r="P298" s="4" t="s">
        <v>897</v>
      </c>
      <c r="Q298" s="3"/>
      <c r="R298" s="3"/>
      <c r="S298" s="6"/>
      <c r="T298" s="6"/>
      <c r="U298" s="6"/>
    </row>
    <row r="299" ht="15.75" customHeight="1">
      <c r="A299" s="4" t="s">
        <v>975</v>
      </c>
      <c r="B299" s="4" t="s">
        <v>976</v>
      </c>
      <c r="C299" s="4" t="s">
        <v>39</v>
      </c>
      <c r="D299" s="6"/>
      <c r="E299" s="3" t="str">
        <f t="shared" si="1"/>
        <v>現存</v>
      </c>
      <c r="F299" s="3" t="s">
        <v>179</v>
      </c>
      <c r="G299" s="6"/>
      <c r="H299" s="3" t="str">
        <f t="shared" si="2"/>
        <v>8</v>
      </c>
      <c r="I299" s="3" t="s">
        <v>977</v>
      </c>
      <c r="J299" s="3" t="s">
        <v>135</v>
      </c>
      <c r="K299" s="3">
        <v>1.0</v>
      </c>
      <c r="L299" s="3">
        <v>1.0</v>
      </c>
      <c r="M299" s="4" t="s">
        <v>43</v>
      </c>
      <c r="N299" s="3" t="s">
        <v>156</v>
      </c>
      <c r="O299" s="3"/>
      <c r="P299" s="4" t="s">
        <v>897</v>
      </c>
      <c r="Q299" s="3"/>
      <c r="R299" s="3"/>
      <c r="S299" s="6"/>
      <c r="T299" s="6"/>
      <c r="U299" s="6"/>
    </row>
    <row r="300" ht="15.75" customHeight="1">
      <c r="A300" s="4" t="s">
        <v>978</v>
      </c>
      <c r="B300" s="4" t="s">
        <v>886</v>
      </c>
      <c r="C300" s="4" t="s">
        <v>39</v>
      </c>
      <c r="D300" s="6"/>
      <c r="E300" s="3" t="str">
        <f t="shared" si="1"/>
        <v>現存</v>
      </c>
      <c r="F300" s="3" t="s">
        <v>179</v>
      </c>
      <c r="G300" s="6"/>
      <c r="H300" s="3" t="str">
        <f t="shared" si="2"/>
        <v>8</v>
      </c>
      <c r="I300" s="3" t="s">
        <v>660</v>
      </c>
      <c r="J300" s="3" t="s">
        <v>135</v>
      </c>
      <c r="K300" s="3">
        <v>1.0</v>
      </c>
      <c r="L300" s="3">
        <v>1.0</v>
      </c>
      <c r="M300" s="4" t="s">
        <v>43</v>
      </c>
      <c r="N300" s="3" t="s">
        <v>156</v>
      </c>
      <c r="O300" s="3"/>
      <c r="P300" s="4" t="s">
        <v>897</v>
      </c>
      <c r="Q300" s="3"/>
      <c r="R300" s="3"/>
      <c r="S300" s="6"/>
      <c r="T300" s="6"/>
      <c r="U300" s="6"/>
    </row>
    <row r="301" ht="15.75" customHeight="1">
      <c r="A301" s="4" t="s">
        <v>979</v>
      </c>
      <c r="B301" s="4" t="s">
        <v>980</v>
      </c>
      <c r="C301" s="4" t="s">
        <v>39</v>
      </c>
      <c r="D301" s="6"/>
      <c r="E301" s="3" t="str">
        <f t="shared" si="1"/>
        <v>現存</v>
      </c>
      <c r="F301" s="3" t="s">
        <v>981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156</v>
      </c>
      <c r="O301" s="3"/>
      <c r="P301" s="4" t="s">
        <v>897</v>
      </c>
      <c r="Q301" s="3"/>
      <c r="R301" s="3"/>
      <c r="S301" s="6"/>
      <c r="T301" s="6"/>
      <c r="U301" s="6"/>
    </row>
    <row r="302" ht="15.75" customHeight="1">
      <c r="A302" s="4" t="s">
        <v>982</v>
      </c>
      <c r="B302" s="4" t="s">
        <v>983</v>
      </c>
      <c r="C302" s="4" t="s">
        <v>39</v>
      </c>
      <c r="D302" s="6"/>
      <c r="E302" s="3" t="str">
        <f t="shared" si="1"/>
        <v>現存</v>
      </c>
      <c r="F302" s="3" t="s">
        <v>984</v>
      </c>
      <c r="G302" s="6"/>
      <c r="H302" s="3" t="str">
        <f t="shared" si="2"/>
        <v>8,9,10</v>
      </c>
      <c r="I302" s="3" t="s">
        <v>985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156</v>
      </c>
      <c r="O302" s="3"/>
      <c r="P302" s="4" t="s">
        <v>897</v>
      </c>
      <c r="Q302" s="3"/>
      <c r="R302" s="3"/>
      <c r="S302" s="6"/>
      <c r="T302" s="6"/>
      <c r="U302" s="6"/>
    </row>
    <row r="303" ht="15.75" customHeight="1">
      <c r="A303" s="4" t="s">
        <v>986</v>
      </c>
      <c r="B303" s="4" t="s">
        <v>987</v>
      </c>
      <c r="C303" s="4" t="s">
        <v>39</v>
      </c>
      <c r="D303" s="6"/>
      <c r="E303" s="3" t="str">
        <f t="shared" si="1"/>
        <v>現存</v>
      </c>
      <c r="F303" s="3" t="s">
        <v>184</v>
      </c>
      <c r="G303" s="6"/>
      <c r="H303" s="3" t="str">
        <f t="shared" si="2"/>
        <v>9,12</v>
      </c>
      <c r="I303" s="3" t="s">
        <v>988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156</v>
      </c>
      <c r="O303" s="3"/>
      <c r="P303" s="4" t="s">
        <v>897</v>
      </c>
      <c r="Q303" s="3"/>
      <c r="R303" s="3"/>
      <c r="S303" s="6"/>
      <c r="T303" s="6"/>
      <c r="U303" s="6"/>
    </row>
    <row r="304" ht="15.75" customHeight="1">
      <c r="A304" s="4" t="s">
        <v>989</v>
      </c>
      <c r="B304" s="9" t="s">
        <v>899</v>
      </c>
      <c r="C304" s="4" t="s">
        <v>39</v>
      </c>
      <c r="D304" s="6"/>
      <c r="E304" s="3" t="str">
        <f t="shared" si="1"/>
        <v>現存</v>
      </c>
      <c r="F304" s="3" t="s">
        <v>188</v>
      </c>
      <c r="G304" s="6"/>
      <c r="H304" s="3" t="str">
        <f t="shared" si="2"/>
        <v>10</v>
      </c>
      <c r="I304" s="3" t="s">
        <v>990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156</v>
      </c>
      <c r="O304" s="3"/>
      <c r="P304" s="4" t="s">
        <v>897</v>
      </c>
      <c r="Q304" s="3"/>
      <c r="R304" s="3"/>
      <c r="S304" s="6"/>
      <c r="T304" s="6"/>
      <c r="U304" s="6"/>
    </row>
    <row r="305" ht="15.75" customHeight="1">
      <c r="A305" s="4" t="s">
        <v>991</v>
      </c>
      <c r="B305" s="4" t="s">
        <v>992</v>
      </c>
      <c r="C305" s="4" t="s">
        <v>39</v>
      </c>
      <c r="D305" s="6"/>
      <c r="E305" s="3" t="str">
        <f t="shared" si="1"/>
        <v>現存</v>
      </c>
      <c r="F305" s="3" t="s">
        <v>508</v>
      </c>
      <c r="G305" s="6"/>
      <c r="H305" s="3" t="str">
        <f t="shared" si="2"/>
        <v>10,12</v>
      </c>
      <c r="I305" s="3" t="s">
        <v>185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156</v>
      </c>
      <c r="O305" s="3"/>
      <c r="P305" s="4" t="s">
        <v>897</v>
      </c>
      <c r="Q305" s="3"/>
      <c r="R305" s="3"/>
      <c r="S305" s="6"/>
      <c r="T305" s="6"/>
      <c r="U305" s="6"/>
    </row>
    <row r="306" ht="15.75" customHeight="1">
      <c r="A306" s="4" t="s">
        <v>993</v>
      </c>
      <c r="B306" s="4" t="s">
        <v>994</v>
      </c>
      <c r="C306" s="4" t="s">
        <v>39</v>
      </c>
      <c r="D306" s="6"/>
      <c r="E306" s="3" t="str">
        <f t="shared" si="1"/>
        <v>現存</v>
      </c>
      <c r="F306" s="3" t="s">
        <v>616</v>
      </c>
      <c r="G306" s="6"/>
      <c r="H306" s="3" t="str">
        <f t="shared" si="2"/>
        <v>10,11</v>
      </c>
      <c r="I306" s="3" t="s">
        <v>995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156</v>
      </c>
      <c r="O306" s="3"/>
      <c r="P306" s="4" t="s">
        <v>897</v>
      </c>
      <c r="Q306" s="3"/>
      <c r="R306" s="3"/>
      <c r="S306" s="6"/>
      <c r="T306" s="6"/>
      <c r="U306" s="6"/>
    </row>
    <row r="307" ht="15.75" customHeight="1">
      <c r="A307" s="4" t="s">
        <v>996</v>
      </c>
      <c r="B307" s="4" t="s">
        <v>997</v>
      </c>
      <c r="C307" s="4" t="s">
        <v>39</v>
      </c>
      <c r="D307" s="6"/>
      <c r="E307" s="3" t="str">
        <f t="shared" si="1"/>
        <v>現存</v>
      </c>
      <c r="F307" s="3" t="s">
        <v>188</v>
      </c>
      <c r="G307" s="6"/>
      <c r="H307" s="3" t="str">
        <f t="shared" si="2"/>
        <v>10</v>
      </c>
      <c r="I307" s="3" t="s">
        <v>505</v>
      </c>
      <c r="J307" s="3" t="s">
        <v>181</v>
      </c>
      <c r="K307" s="3">
        <v>1.0</v>
      </c>
      <c r="L307" s="3">
        <v>1.0</v>
      </c>
      <c r="M307" s="4" t="s">
        <v>43</v>
      </c>
      <c r="N307" s="3" t="s">
        <v>156</v>
      </c>
      <c r="O307" s="3"/>
      <c r="P307" s="4" t="s">
        <v>897</v>
      </c>
      <c r="Q307" s="3"/>
      <c r="R307" s="3"/>
      <c r="S307" s="6"/>
      <c r="T307" s="6"/>
      <c r="U307" s="6"/>
    </row>
    <row r="308" ht="15.75" customHeight="1">
      <c r="A308" s="4" t="s">
        <v>998</v>
      </c>
      <c r="B308" s="4" t="s">
        <v>999</v>
      </c>
      <c r="C308" s="4" t="s">
        <v>39</v>
      </c>
      <c r="D308" s="8" t="s">
        <v>170</v>
      </c>
      <c r="E308" s="3" t="str">
        <f t="shared" si="1"/>
        <v>近年未見</v>
      </c>
      <c r="F308" s="3" t="s">
        <v>188</v>
      </c>
      <c r="G308" s="6"/>
      <c r="H308" s="3" t="str">
        <f t="shared" si="2"/>
        <v>10</v>
      </c>
      <c r="I308" s="3" t="s">
        <v>577</v>
      </c>
      <c r="J308" s="3" t="s">
        <v>42</v>
      </c>
      <c r="K308" s="3">
        <v>1.0</v>
      </c>
      <c r="L308" s="3">
        <v>1.0</v>
      </c>
      <c r="M308" s="9" t="s">
        <v>236</v>
      </c>
      <c r="N308" s="3" t="s">
        <v>156</v>
      </c>
      <c r="O308" s="3"/>
      <c r="P308" s="4" t="s">
        <v>897</v>
      </c>
      <c r="Q308" s="3"/>
      <c r="R308" s="3"/>
      <c r="S308" s="6"/>
      <c r="T308" s="6"/>
      <c r="U308" s="6"/>
    </row>
    <row r="309" ht="15.75" customHeight="1">
      <c r="A309" s="4" t="s">
        <v>1000</v>
      </c>
      <c r="B309" s="4" t="s">
        <v>1001</v>
      </c>
      <c r="C309" s="4" t="s">
        <v>39</v>
      </c>
      <c r="D309" s="8" t="s">
        <v>381</v>
      </c>
      <c r="E309" s="3" t="str">
        <f t="shared" si="1"/>
        <v>不收錄</v>
      </c>
      <c r="F309" s="3" t="s">
        <v>188</v>
      </c>
      <c r="G309" s="6"/>
      <c r="H309" s="3" t="str">
        <f t="shared" si="2"/>
        <v>10</v>
      </c>
      <c r="I309" s="3" t="s">
        <v>577</v>
      </c>
      <c r="J309" s="3" t="s">
        <v>42</v>
      </c>
      <c r="K309" s="3">
        <v>1.0</v>
      </c>
      <c r="L309" s="3">
        <v>1.0</v>
      </c>
      <c r="M309" s="9" t="s">
        <v>236</v>
      </c>
      <c r="N309" s="3" t="s">
        <v>156</v>
      </c>
      <c r="O309" s="3"/>
      <c r="P309" s="4" t="s">
        <v>897</v>
      </c>
      <c r="Q309" s="3"/>
      <c r="R309" s="3"/>
      <c r="S309" s="6"/>
      <c r="T309" s="6"/>
      <c r="U309" s="6"/>
    </row>
    <row r="310" ht="15.75" customHeight="1">
      <c r="A310" s="4" t="s">
        <v>1002</v>
      </c>
      <c r="B310" s="4" t="s">
        <v>1003</v>
      </c>
      <c r="C310" s="4" t="s">
        <v>39</v>
      </c>
      <c r="D310" s="8" t="s">
        <v>381</v>
      </c>
      <c r="E310" s="3" t="str">
        <f t="shared" si="1"/>
        <v>不收錄</v>
      </c>
      <c r="F310" s="3" t="s">
        <v>515</v>
      </c>
      <c r="G310" s="6"/>
      <c r="H310" s="3" t="str">
        <f t="shared" si="2"/>
        <v>11</v>
      </c>
      <c r="I310" s="3" t="s">
        <v>1004</v>
      </c>
      <c r="J310" s="3" t="s">
        <v>42</v>
      </c>
      <c r="K310" s="3">
        <v>2.0</v>
      </c>
      <c r="L310" s="3">
        <v>1.0</v>
      </c>
      <c r="M310" s="9" t="s">
        <v>236</v>
      </c>
      <c r="N310" s="3" t="s">
        <v>156</v>
      </c>
      <c r="O310" s="3"/>
      <c r="P310" s="4" t="s">
        <v>897</v>
      </c>
      <c r="Q310" s="3"/>
      <c r="R310" s="3"/>
      <c r="S310" s="6"/>
      <c r="T310" s="6"/>
      <c r="U310" s="6"/>
    </row>
    <row r="311" ht="15.75" customHeight="1">
      <c r="A311" s="4" t="s">
        <v>1005</v>
      </c>
      <c r="B311" s="4" t="s">
        <v>1006</v>
      </c>
      <c r="C311" s="4" t="s">
        <v>39</v>
      </c>
      <c r="D311" s="6"/>
      <c r="E311" s="3" t="str">
        <f t="shared" si="1"/>
        <v>現存</v>
      </c>
      <c r="F311" s="3" t="s">
        <v>1007</v>
      </c>
      <c r="G311" s="6"/>
      <c r="H311" s="3" t="str">
        <f t="shared" si="2"/>
        <v>11,12</v>
      </c>
      <c r="I311" s="3" t="s">
        <v>1008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156</v>
      </c>
      <c r="O311" s="3"/>
      <c r="P311" s="4" t="s">
        <v>897</v>
      </c>
      <c r="Q311" s="3"/>
      <c r="R311" s="3"/>
      <c r="S311" s="6"/>
      <c r="T311" s="6"/>
      <c r="U311" s="6"/>
    </row>
    <row r="312" ht="15.75" customHeight="1">
      <c r="A312" s="4" t="s">
        <v>1009</v>
      </c>
      <c r="B312" s="4" t="s">
        <v>1010</v>
      </c>
      <c r="C312" s="4" t="s">
        <v>39</v>
      </c>
      <c r="D312" s="8" t="s">
        <v>1011</v>
      </c>
      <c r="E312" s="3" t="str">
        <f t="shared" si="1"/>
        <v>已不在</v>
      </c>
      <c r="F312" s="3" t="s">
        <v>515</v>
      </c>
      <c r="G312" s="6"/>
      <c r="H312" s="3" t="str">
        <f t="shared" si="2"/>
        <v>11</v>
      </c>
      <c r="I312" s="3" t="s">
        <v>1012</v>
      </c>
      <c r="J312" s="3" t="s">
        <v>893</v>
      </c>
      <c r="K312" s="3">
        <v>1.0</v>
      </c>
      <c r="L312" s="3">
        <v>1.0</v>
      </c>
      <c r="M312" s="9" t="s">
        <v>236</v>
      </c>
      <c r="N312" s="3" t="s">
        <v>156</v>
      </c>
      <c r="O312" s="3"/>
      <c r="P312" s="4" t="s">
        <v>897</v>
      </c>
      <c r="Q312" s="3"/>
      <c r="R312" s="3"/>
      <c r="S312" s="6"/>
      <c r="T312" s="6"/>
      <c r="U312" s="6"/>
    </row>
    <row r="313" ht="15.75" customHeight="1">
      <c r="A313" s="4" t="s">
        <v>1013</v>
      </c>
      <c r="B313" s="9" t="s">
        <v>968</v>
      </c>
      <c r="C313" s="4" t="s">
        <v>39</v>
      </c>
      <c r="D313" s="6"/>
      <c r="E313" s="3" t="str">
        <f t="shared" si="1"/>
        <v>現存</v>
      </c>
      <c r="F313" s="3" t="s">
        <v>1007</v>
      </c>
      <c r="G313" s="6"/>
      <c r="H313" s="3" t="str">
        <f t="shared" si="2"/>
        <v>11,12</v>
      </c>
      <c r="I313" s="3" t="s">
        <v>988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156</v>
      </c>
      <c r="O313" s="3"/>
      <c r="P313" s="4" t="s">
        <v>897</v>
      </c>
      <c r="Q313" s="3"/>
      <c r="R313" s="3"/>
      <c r="S313" s="6"/>
      <c r="T313" s="6"/>
      <c r="U313" s="6"/>
    </row>
    <row r="314" ht="15.75" customHeight="1">
      <c r="A314" s="4" t="s">
        <v>1014</v>
      </c>
      <c r="B314" s="4" t="s">
        <v>1015</v>
      </c>
      <c r="C314" s="4" t="s">
        <v>39</v>
      </c>
      <c r="D314" s="6"/>
      <c r="E314" s="3" t="str">
        <f t="shared" si="1"/>
        <v>現存</v>
      </c>
      <c r="F314" s="3" t="s">
        <v>1016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156</v>
      </c>
      <c r="O314" s="3"/>
      <c r="P314" s="4" t="s">
        <v>1017</v>
      </c>
      <c r="Q314" s="3"/>
      <c r="R314" s="3"/>
      <c r="S314" s="6"/>
      <c r="T314" s="6"/>
      <c r="U314" s="6"/>
    </row>
    <row r="315" ht="15.75" customHeight="1">
      <c r="A315" s="4" t="s">
        <v>1018</v>
      </c>
      <c r="B315" s="4" t="s">
        <v>1019</v>
      </c>
      <c r="C315" s="4" t="s">
        <v>39</v>
      </c>
      <c r="D315" s="6"/>
      <c r="E315" s="3" t="str">
        <f t="shared" si="1"/>
        <v>現存</v>
      </c>
      <c r="F315" s="3" t="s">
        <v>192</v>
      </c>
      <c r="G315" s="6"/>
      <c r="H315" s="3" t="str">
        <f t="shared" si="2"/>
        <v>1,11,12</v>
      </c>
      <c r="I315" s="3" t="s">
        <v>49</v>
      </c>
      <c r="J315" s="3" t="s">
        <v>193</v>
      </c>
      <c r="K315" s="3">
        <v>9.0</v>
      </c>
      <c r="L315" s="3">
        <v>1.0</v>
      </c>
      <c r="M315" s="4" t="s">
        <v>43</v>
      </c>
      <c r="N315" s="3" t="s">
        <v>156</v>
      </c>
      <c r="O315" s="3"/>
      <c r="P315" s="4" t="s">
        <v>1017</v>
      </c>
      <c r="Q315" s="3"/>
      <c r="R315" s="3"/>
      <c r="S315" s="6"/>
      <c r="T315" s="6"/>
      <c r="U315" s="6"/>
    </row>
    <row r="316" ht="15.75" customHeight="1">
      <c r="A316" s="4" t="s">
        <v>1020</v>
      </c>
      <c r="B316" s="4" t="s">
        <v>1021</v>
      </c>
      <c r="C316" s="4" t="s">
        <v>39</v>
      </c>
      <c r="D316" s="6"/>
      <c r="E316" s="3" t="str">
        <f t="shared" si="1"/>
        <v>現存</v>
      </c>
      <c r="F316" s="3" t="s">
        <v>1022</v>
      </c>
      <c r="G316" s="6"/>
      <c r="H316" s="3" t="str">
        <f t="shared" si="2"/>
        <v>1,2,11</v>
      </c>
      <c r="I316" s="3" t="s">
        <v>918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156</v>
      </c>
      <c r="O316" s="3"/>
      <c r="P316" s="4" t="s">
        <v>1017</v>
      </c>
      <c r="Q316" s="3"/>
      <c r="R316" s="3"/>
      <c r="S316" s="6"/>
      <c r="T316" s="6"/>
      <c r="U316" s="6"/>
    </row>
    <row r="317" ht="15.75" customHeight="1">
      <c r="A317" s="4" t="s">
        <v>1023</v>
      </c>
      <c r="B317" s="4" t="s">
        <v>1024</v>
      </c>
      <c r="C317" s="4" t="s">
        <v>39</v>
      </c>
      <c r="D317" s="6"/>
      <c r="E317" s="3" t="str">
        <f t="shared" si="1"/>
        <v>現存</v>
      </c>
      <c r="F317" s="3" t="s">
        <v>1025</v>
      </c>
      <c r="G317" s="6"/>
      <c r="H317" s="3" t="str">
        <f t="shared" si="2"/>
        <v>1,2,3,4,8,11,12</v>
      </c>
      <c r="I317" s="3" t="s">
        <v>386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156</v>
      </c>
      <c r="O317" s="3"/>
      <c r="P317" s="4" t="s">
        <v>1017</v>
      </c>
      <c r="Q317" s="3"/>
      <c r="R317" s="3"/>
      <c r="S317" s="6"/>
      <c r="T317" s="6"/>
      <c r="U317" s="6"/>
    </row>
    <row r="318" ht="15.75" customHeight="1">
      <c r="A318" s="4" t="s">
        <v>1026</v>
      </c>
      <c r="B318" s="4" t="s">
        <v>1027</v>
      </c>
      <c r="C318" s="4" t="s">
        <v>39</v>
      </c>
      <c r="D318" s="6"/>
      <c r="E318" s="3" t="str">
        <f t="shared" si="1"/>
        <v>現存</v>
      </c>
      <c r="F318" s="3" t="s">
        <v>1028</v>
      </c>
      <c r="G318" s="6"/>
      <c r="H318" s="3" t="str">
        <f t="shared" si="2"/>
        <v>2,3,5,8,11</v>
      </c>
      <c r="I318" s="3" t="s">
        <v>145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156</v>
      </c>
      <c r="O318" s="3"/>
      <c r="P318" s="4" t="s">
        <v>1017</v>
      </c>
      <c r="Q318" s="3"/>
      <c r="R318" s="3"/>
      <c r="S318" s="6"/>
      <c r="T318" s="6"/>
      <c r="U318" s="6"/>
    </row>
    <row r="319" ht="15.75" customHeight="1">
      <c r="A319" s="4" t="s">
        <v>1029</v>
      </c>
      <c r="B319" s="4" t="s">
        <v>1030</v>
      </c>
      <c r="C319" s="4" t="s">
        <v>39</v>
      </c>
      <c r="D319" s="6"/>
      <c r="E319" s="3" t="str">
        <f t="shared" si="1"/>
        <v>現存</v>
      </c>
      <c r="F319" s="3" t="s">
        <v>1031</v>
      </c>
      <c r="G319" s="6"/>
      <c r="H319" s="3" t="str">
        <f t="shared" si="2"/>
        <v>2,3,5,11,12</v>
      </c>
      <c r="I319" s="3" t="s">
        <v>145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156</v>
      </c>
      <c r="O319" s="3"/>
      <c r="P319" s="4" t="s">
        <v>1017</v>
      </c>
      <c r="Q319" s="3"/>
      <c r="R319" s="3"/>
      <c r="S319" s="6"/>
      <c r="T319" s="6"/>
      <c r="U319" s="6"/>
    </row>
    <row r="320" ht="15.75" customHeight="1">
      <c r="A320" s="4" t="s">
        <v>1032</v>
      </c>
      <c r="B320" s="4" t="s">
        <v>1033</v>
      </c>
      <c r="C320" s="4" t="s">
        <v>39</v>
      </c>
      <c r="D320" s="6"/>
      <c r="E320" s="3" t="str">
        <f t="shared" si="1"/>
        <v>現存</v>
      </c>
      <c r="F320" s="3" t="s">
        <v>1034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1017</v>
      </c>
      <c r="Q320" s="3"/>
      <c r="R320" s="3"/>
      <c r="S320" s="6"/>
      <c r="T320" s="6"/>
      <c r="U320" s="6"/>
    </row>
    <row r="321" ht="15.75" customHeight="1">
      <c r="A321" s="4" t="s">
        <v>1035</v>
      </c>
      <c r="B321" s="4" t="s">
        <v>1036</v>
      </c>
      <c r="C321" s="4" t="s">
        <v>39</v>
      </c>
      <c r="D321" s="6"/>
      <c r="E321" s="3" t="str">
        <f t="shared" si="1"/>
        <v>現存</v>
      </c>
      <c r="F321" s="3" t="s">
        <v>1037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156</v>
      </c>
      <c r="O321" s="3"/>
      <c r="P321" s="4" t="s">
        <v>1017</v>
      </c>
      <c r="Q321" s="3"/>
      <c r="R321" s="3"/>
      <c r="S321" s="6"/>
      <c r="T321" s="6"/>
      <c r="U321" s="6"/>
    </row>
    <row r="322" ht="15.75" customHeight="1">
      <c r="A322" s="4" t="s">
        <v>1038</v>
      </c>
      <c r="B322" s="4" t="s">
        <v>1039</v>
      </c>
      <c r="C322" s="4" t="s">
        <v>39</v>
      </c>
      <c r="D322" s="6"/>
      <c r="E322" s="3" t="str">
        <f t="shared" si="1"/>
        <v>現存</v>
      </c>
      <c r="F322" s="3" t="s">
        <v>1040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156</v>
      </c>
      <c r="O322" s="3"/>
      <c r="P322" s="4" t="s">
        <v>1017</v>
      </c>
      <c r="Q322" s="3"/>
      <c r="R322" s="3"/>
      <c r="S322" s="6"/>
      <c r="T322" s="6"/>
      <c r="U322" s="6"/>
    </row>
    <row r="323" ht="15.75" customHeight="1">
      <c r="A323" s="4" t="s">
        <v>1041</v>
      </c>
      <c r="B323" s="4" t="s">
        <v>1042</v>
      </c>
      <c r="C323" s="4" t="s">
        <v>39</v>
      </c>
      <c r="D323" s="6"/>
      <c r="E323" s="3" t="str">
        <f t="shared" si="1"/>
        <v>現存</v>
      </c>
      <c r="F323" s="3" t="s">
        <v>1043</v>
      </c>
      <c r="G323" s="6"/>
      <c r="H323" s="3" t="str">
        <f t="shared" si="2"/>
        <v>3,10,12</v>
      </c>
      <c r="I323" s="3" t="s">
        <v>635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156</v>
      </c>
      <c r="O323" s="3"/>
      <c r="P323" s="4" t="s">
        <v>1017</v>
      </c>
      <c r="Q323" s="3"/>
      <c r="R323" s="3"/>
      <c r="S323" s="6"/>
      <c r="T323" s="6"/>
      <c r="U323" s="6"/>
    </row>
    <row r="324" ht="15.75" customHeight="1">
      <c r="A324" s="4" t="s">
        <v>1044</v>
      </c>
      <c r="B324" s="4" t="s">
        <v>1045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1046</v>
      </c>
      <c r="J324" s="3" t="s">
        <v>181</v>
      </c>
      <c r="K324" s="3">
        <v>1.0</v>
      </c>
      <c r="L324" s="3">
        <v>1.0</v>
      </c>
      <c r="M324" s="9" t="s">
        <v>236</v>
      </c>
      <c r="N324" s="3" t="s">
        <v>156</v>
      </c>
      <c r="O324" s="3"/>
      <c r="P324" s="4" t="s">
        <v>1017</v>
      </c>
      <c r="Q324" s="3"/>
      <c r="R324" s="3"/>
      <c r="S324" s="6"/>
      <c r="T324" s="6"/>
      <c r="U324" s="6"/>
    </row>
    <row r="325" ht="15.75" customHeight="1">
      <c r="A325" s="4" t="s">
        <v>1047</v>
      </c>
      <c r="B325" s="4" t="s">
        <v>1048</v>
      </c>
      <c r="C325" s="4" t="s">
        <v>39</v>
      </c>
      <c r="D325" s="6"/>
      <c r="E325" s="3" t="str">
        <f t="shared" si="1"/>
        <v>現存</v>
      </c>
      <c r="F325" s="3" t="s">
        <v>425</v>
      </c>
      <c r="G325" s="6"/>
      <c r="H325" s="3" t="str">
        <f t="shared" si="2"/>
        <v>4,5,6</v>
      </c>
      <c r="I325" s="3" t="s">
        <v>857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1049</v>
      </c>
      <c r="O325" s="3"/>
      <c r="P325" s="4" t="s">
        <v>1017</v>
      </c>
      <c r="Q325" s="3"/>
      <c r="R325" s="3"/>
      <c r="S325" s="6"/>
      <c r="T325" s="6"/>
      <c r="U325" s="6"/>
    </row>
    <row r="326" ht="15.75" customHeight="1">
      <c r="A326" s="4" t="s">
        <v>1050</v>
      </c>
      <c r="B326" s="4" t="s">
        <v>1051</v>
      </c>
      <c r="C326" s="4" t="s">
        <v>39</v>
      </c>
      <c r="D326" s="6"/>
      <c r="E326" s="3" t="str">
        <f t="shared" si="1"/>
        <v>現存</v>
      </c>
      <c r="F326" s="3" t="s">
        <v>1052</v>
      </c>
      <c r="G326" s="6"/>
      <c r="H326" s="3" t="str">
        <f t="shared" si="2"/>
        <v>4,5,6,8,10,11,12</v>
      </c>
      <c r="I326" s="3" t="s">
        <v>303</v>
      </c>
      <c r="J326" s="3" t="s">
        <v>193</v>
      </c>
      <c r="K326" s="3">
        <v>19.0</v>
      </c>
      <c r="L326" s="3">
        <v>1.0</v>
      </c>
      <c r="M326" s="4" t="s">
        <v>43</v>
      </c>
      <c r="N326" s="3" t="s">
        <v>156</v>
      </c>
      <c r="O326" s="3"/>
      <c r="P326" s="4" t="s">
        <v>1017</v>
      </c>
      <c r="Q326" s="3"/>
      <c r="R326" s="3"/>
      <c r="S326" s="6"/>
      <c r="T326" s="6"/>
      <c r="U326" s="6"/>
    </row>
    <row r="327" ht="15.75" customHeight="1">
      <c r="A327" s="4" t="s">
        <v>1053</v>
      </c>
      <c r="B327" s="4" t="s">
        <v>1054</v>
      </c>
      <c r="C327" s="4" t="s">
        <v>39</v>
      </c>
      <c r="D327" s="6"/>
      <c r="E327" s="3" t="str">
        <f t="shared" si="1"/>
        <v>現存</v>
      </c>
      <c r="F327" s="3" t="s">
        <v>1055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156</v>
      </c>
      <c r="O327" s="3"/>
      <c r="P327" s="4" t="s">
        <v>1017</v>
      </c>
      <c r="Q327" s="3"/>
      <c r="R327" s="3"/>
      <c r="S327" s="6"/>
      <c r="T327" s="6"/>
      <c r="U327" s="6"/>
    </row>
    <row r="328" ht="15.75" customHeight="1">
      <c r="A328" s="4" t="s">
        <v>1056</v>
      </c>
      <c r="B328" s="4" t="s">
        <v>1057</v>
      </c>
      <c r="C328" s="4" t="s">
        <v>39</v>
      </c>
      <c r="D328" s="6"/>
      <c r="E328" s="3" t="str">
        <f t="shared" si="1"/>
        <v>現存</v>
      </c>
      <c r="F328" s="3" t="s">
        <v>156</v>
      </c>
      <c r="G328" s="6"/>
      <c r="H328" s="3" t="str">
        <f t="shared" si="2"/>
        <v>4</v>
      </c>
      <c r="I328" s="3" t="s">
        <v>139</v>
      </c>
      <c r="J328" s="3" t="s">
        <v>135</v>
      </c>
      <c r="K328" s="3">
        <v>1.0</v>
      </c>
      <c r="L328" s="3">
        <v>1.0</v>
      </c>
      <c r="M328" s="4" t="s">
        <v>43</v>
      </c>
      <c r="N328" s="3" t="s">
        <v>156</v>
      </c>
      <c r="O328" s="3"/>
      <c r="P328" s="4" t="s">
        <v>1017</v>
      </c>
      <c r="Q328" s="3"/>
      <c r="R328" s="3"/>
      <c r="S328" s="6"/>
      <c r="T328" s="6"/>
      <c r="U328" s="6"/>
    </row>
    <row r="329" ht="15.75" customHeight="1">
      <c r="A329" s="4" t="s">
        <v>1058</v>
      </c>
      <c r="B329" s="4" t="s">
        <v>1059</v>
      </c>
      <c r="C329" s="4" t="s">
        <v>39</v>
      </c>
      <c r="D329" s="6"/>
      <c r="E329" s="3" t="str">
        <f t="shared" si="1"/>
        <v>現存</v>
      </c>
      <c r="F329" s="3" t="s">
        <v>1060</v>
      </c>
      <c r="G329" s="6"/>
      <c r="H329" s="3" t="str">
        <f t="shared" si="2"/>
        <v>4,12</v>
      </c>
      <c r="I329" s="3" t="s">
        <v>139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156</v>
      </c>
      <c r="O329" s="3"/>
      <c r="P329" s="4" t="s">
        <v>1017</v>
      </c>
      <c r="Q329" s="4" t="s">
        <v>1061</v>
      </c>
      <c r="R329" s="3"/>
      <c r="S329" s="6"/>
      <c r="T329" s="6"/>
      <c r="U329" s="6"/>
    </row>
    <row r="330" ht="15.75" customHeight="1">
      <c r="A330" s="4" t="s">
        <v>1062</v>
      </c>
      <c r="B330" s="4" t="s">
        <v>1063</v>
      </c>
      <c r="C330" s="4" t="s">
        <v>39</v>
      </c>
      <c r="D330" s="6"/>
      <c r="E330" s="3" t="str">
        <f t="shared" si="1"/>
        <v>現存</v>
      </c>
      <c r="F330" s="3" t="s">
        <v>156</v>
      </c>
      <c r="G330" s="6"/>
      <c r="H330" s="3" t="str">
        <f t="shared" si="2"/>
        <v>4</v>
      </c>
      <c r="I330" s="3" t="s">
        <v>139</v>
      </c>
      <c r="J330" s="3" t="s">
        <v>135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1017</v>
      </c>
      <c r="Q330" s="3"/>
      <c r="R330" s="3"/>
      <c r="S330" s="6"/>
      <c r="T330" s="6"/>
      <c r="U330" s="6"/>
    </row>
    <row r="331" ht="15.75" customHeight="1">
      <c r="A331" s="4" t="s">
        <v>1064</v>
      </c>
      <c r="B331" s="4" t="s">
        <v>1065</v>
      </c>
      <c r="C331" s="4" t="s">
        <v>39</v>
      </c>
      <c r="D331" s="6"/>
      <c r="E331" s="3" t="str">
        <f t="shared" si="1"/>
        <v>現存</v>
      </c>
      <c r="F331" s="3" t="s">
        <v>167</v>
      </c>
      <c r="G331" s="6"/>
      <c r="H331" s="3" t="str">
        <f t="shared" si="2"/>
        <v>5,9</v>
      </c>
      <c r="I331" s="3" t="s">
        <v>107</v>
      </c>
      <c r="J331" s="3" t="s">
        <v>1066</v>
      </c>
      <c r="K331" s="3">
        <v>3.0</v>
      </c>
      <c r="L331" s="3">
        <v>1.0</v>
      </c>
      <c r="M331" s="4" t="s">
        <v>43</v>
      </c>
      <c r="N331" s="3" t="s">
        <v>156</v>
      </c>
      <c r="O331" s="3"/>
      <c r="P331" s="4" t="s">
        <v>1017</v>
      </c>
      <c r="Q331" s="3"/>
      <c r="R331" s="3"/>
      <c r="S331" s="6"/>
      <c r="T331" s="6"/>
      <c r="U331" s="6"/>
    </row>
    <row r="332" ht="15.75" customHeight="1">
      <c r="A332" s="4" t="s">
        <v>1067</v>
      </c>
      <c r="B332" s="4" t="s">
        <v>1068</v>
      </c>
      <c r="C332" s="4" t="s">
        <v>39</v>
      </c>
      <c r="D332" s="6"/>
      <c r="E332" s="3" t="str">
        <f t="shared" si="1"/>
        <v>現存</v>
      </c>
      <c r="F332" s="3" t="s">
        <v>167</v>
      </c>
      <c r="G332" s="6"/>
      <c r="H332" s="3" t="str">
        <f t="shared" si="2"/>
        <v>5,9</v>
      </c>
      <c r="I332" s="3" t="s">
        <v>107</v>
      </c>
      <c r="J332" s="3" t="s">
        <v>125</v>
      </c>
      <c r="K332" s="3">
        <v>2.0</v>
      </c>
      <c r="L332" s="3">
        <v>0.0</v>
      </c>
      <c r="M332" s="4" t="s">
        <v>236</v>
      </c>
      <c r="N332" s="3"/>
      <c r="O332" s="3"/>
      <c r="P332" s="4" t="s">
        <v>1017</v>
      </c>
      <c r="Q332" s="3"/>
      <c r="R332" s="3"/>
      <c r="S332" s="6"/>
      <c r="T332" s="6"/>
      <c r="U332" s="6"/>
    </row>
    <row r="333" ht="15.75" customHeight="1">
      <c r="A333" s="4" t="s">
        <v>1069</v>
      </c>
      <c r="B333" s="4" t="s">
        <v>1070</v>
      </c>
      <c r="C333" s="4" t="s">
        <v>39</v>
      </c>
      <c r="D333" s="6"/>
      <c r="E333" s="3" t="str">
        <f t="shared" si="1"/>
        <v>現存</v>
      </c>
      <c r="F333" s="3" t="s">
        <v>1071</v>
      </c>
      <c r="G333" s="6"/>
      <c r="H333" s="3" t="str">
        <f t="shared" si="2"/>
        <v>6,8,11</v>
      </c>
      <c r="I333" s="3" t="s">
        <v>1072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156</v>
      </c>
      <c r="O333" s="3"/>
      <c r="P333" s="4" t="s">
        <v>1017</v>
      </c>
      <c r="Q333" s="3"/>
      <c r="R333" s="3"/>
      <c r="S333" s="6"/>
      <c r="T333" s="6"/>
      <c r="U333" s="6"/>
    </row>
    <row r="334" ht="15.75" customHeight="1">
      <c r="A334" s="4" t="s">
        <v>1073</v>
      </c>
      <c r="B334" s="4" t="s">
        <v>1074</v>
      </c>
      <c r="C334" s="4" t="s">
        <v>39</v>
      </c>
      <c r="D334" s="6"/>
      <c r="E334" s="3" t="str">
        <f t="shared" si="1"/>
        <v>現存</v>
      </c>
      <c r="F334" s="3" t="s">
        <v>1075</v>
      </c>
      <c r="G334" s="6"/>
      <c r="H334" s="3" t="str">
        <f t="shared" si="2"/>
        <v>7,8,10</v>
      </c>
      <c r="I334" s="3" t="s">
        <v>660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156</v>
      </c>
      <c r="O334" s="3"/>
      <c r="P334" s="4" t="s">
        <v>1017</v>
      </c>
      <c r="Q334" s="3"/>
      <c r="R334" s="3"/>
      <c r="S334" s="6"/>
      <c r="T334" s="6"/>
      <c r="U334" s="6"/>
    </row>
    <row r="335" ht="15.75" customHeight="1">
      <c r="A335" s="4" t="s">
        <v>1076</v>
      </c>
      <c r="B335" s="4" t="s">
        <v>1077</v>
      </c>
      <c r="C335" s="4" t="s">
        <v>39</v>
      </c>
      <c r="D335" s="8" t="s">
        <v>1011</v>
      </c>
      <c r="E335" s="3" t="str">
        <f t="shared" si="1"/>
        <v>已不在</v>
      </c>
      <c r="F335" s="3" t="s">
        <v>314</v>
      </c>
      <c r="G335" s="6"/>
      <c r="H335" s="3" t="str">
        <f t="shared" si="2"/>
        <v>7</v>
      </c>
      <c r="I335" s="3" t="s">
        <v>1078</v>
      </c>
      <c r="J335" s="3" t="s">
        <v>893</v>
      </c>
      <c r="K335" s="3">
        <v>1.0</v>
      </c>
      <c r="L335" s="3">
        <v>1.0</v>
      </c>
      <c r="M335" s="4" t="s">
        <v>43</v>
      </c>
      <c r="N335" s="3" t="s">
        <v>156</v>
      </c>
      <c r="O335" s="3"/>
      <c r="P335" s="4" t="s">
        <v>1017</v>
      </c>
      <c r="Q335" s="3"/>
      <c r="R335" s="3"/>
      <c r="S335" s="6"/>
      <c r="T335" s="6"/>
      <c r="U335" s="6"/>
    </row>
    <row r="336" ht="15.75" customHeight="1">
      <c r="A336" s="4" t="s">
        <v>1079</v>
      </c>
      <c r="B336" s="4" t="s">
        <v>1080</v>
      </c>
      <c r="C336" s="4" t="s">
        <v>39</v>
      </c>
      <c r="D336" s="6"/>
      <c r="E336" s="3" t="str">
        <f t="shared" si="1"/>
        <v>現存</v>
      </c>
      <c r="F336" s="3" t="s">
        <v>795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156</v>
      </c>
      <c r="O336" s="3"/>
      <c r="P336" s="4" t="s">
        <v>1017</v>
      </c>
      <c r="Q336" s="3"/>
      <c r="R336" s="3"/>
      <c r="S336" s="6"/>
      <c r="T336" s="6"/>
      <c r="U336" s="6"/>
    </row>
    <row r="337" ht="15.75" customHeight="1">
      <c r="A337" s="4" t="s">
        <v>1081</v>
      </c>
      <c r="B337" s="9" t="s">
        <v>1065</v>
      </c>
      <c r="C337" s="4" t="s">
        <v>39</v>
      </c>
      <c r="D337" s="8" t="s">
        <v>381</v>
      </c>
      <c r="E337" s="3" t="str">
        <f t="shared" si="1"/>
        <v>不收錄</v>
      </c>
      <c r="F337" s="3" t="s">
        <v>314</v>
      </c>
      <c r="G337" s="6"/>
      <c r="H337" s="3" t="str">
        <f t="shared" si="2"/>
        <v>7</v>
      </c>
      <c r="I337" s="3" t="s">
        <v>1082</v>
      </c>
      <c r="J337" s="3" t="s">
        <v>42</v>
      </c>
      <c r="K337" s="3">
        <v>1.0</v>
      </c>
      <c r="L337" s="3">
        <v>1.0</v>
      </c>
      <c r="M337" s="9" t="s">
        <v>236</v>
      </c>
      <c r="N337" s="3" t="s">
        <v>156</v>
      </c>
      <c r="O337" s="3"/>
      <c r="P337" s="4" t="s">
        <v>1017</v>
      </c>
      <c r="Q337" s="3"/>
      <c r="R337" s="3"/>
      <c r="S337" s="6"/>
      <c r="T337" s="6"/>
      <c r="U337" s="6"/>
    </row>
    <row r="338" ht="15.75" customHeight="1">
      <c r="A338" s="4" t="s">
        <v>1083</v>
      </c>
      <c r="B338" s="4" t="s">
        <v>1084</v>
      </c>
      <c r="C338" s="4" t="s">
        <v>39</v>
      </c>
      <c r="D338" s="6"/>
      <c r="E338" s="3" t="str">
        <f t="shared" si="1"/>
        <v>現存</v>
      </c>
      <c r="F338" s="3" t="s">
        <v>1085</v>
      </c>
      <c r="G338" s="6"/>
      <c r="H338" s="3" t="str">
        <f t="shared" si="2"/>
        <v>9,10,11</v>
      </c>
      <c r="I338" s="3" t="s">
        <v>1086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156</v>
      </c>
      <c r="O338" s="3"/>
      <c r="P338" s="4" t="s">
        <v>1017</v>
      </c>
      <c r="Q338" s="3"/>
      <c r="R338" s="3"/>
      <c r="S338" s="6"/>
      <c r="T338" s="6"/>
      <c r="U338" s="6"/>
    </row>
    <row r="339" ht="15.75" customHeight="1">
      <c r="A339" s="4" t="s">
        <v>1087</v>
      </c>
      <c r="B339" s="4" t="s">
        <v>1088</v>
      </c>
      <c r="C339" s="4" t="s">
        <v>39</v>
      </c>
      <c r="D339" s="8" t="s">
        <v>381</v>
      </c>
      <c r="E339" s="3" t="str">
        <f t="shared" si="1"/>
        <v>不收錄</v>
      </c>
      <c r="F339" s="3" t="s">
        <v>515</v>
      </c>
      <c r="G339" s="6"/>
      <c r="H339" s="3" t="str">
        <f t="shared" si="2"/>
        <v>11</v>
      </c>
      <c r="I339" s="3" t="s">
        <v>1089</v>
      </c>
      <c r="J339" s="3" t="s">
        <v>181</v>
      </c>
      <c r="K339" s="3">
        <v>1.0</v>
      </c>
      <c r="L339" s="3">
        <v>1.0</v>
      </c>
      <c r="M339" s="9" t="s">
        <v>236</v>
      </c>
      <c r="N339" s="3" t="s">
        <v>156</v>
      </c>
      <c r="O339" s="3"/>
      <c r="P339" s="4" t="s">
        <v>1017</v>
      </c>
      <c r="Q339" s="3"/>
      <c r="R339" s="3"/>
      <c r="S339" s="6"/>
      <c r="T339" s="6"/>
      <c r="U339" s="6"/>
    </row>
    <row r="340" ht="15.75" customHeight="1">
      <c r="A340" s="4" t="s">
        <v>1090</v>
      </c>
      <c r="B340" s="4" t="s">
        <v>1091</v>
      </c>
      <c r="C340" s="4" t="s">
        <v>39</v>
      </c>
      <c r="D340" s="6"/>
      <c r="E340" s="3" t="str">
        <f t="shared" si="1"/>
        <v>現存</v>
      </c>
      <c r="F340" s="3" t="s">
        <v>1092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1093</v>
      </c>
      <c r="Q340" s="3"/>
      <c r="R340" s="3"/>
      <c r="S340" s="6"/>
      <c r="T340" s="6"/>
      <c r="U340" s="6"/>
    </row>
    <row r="341" ht="15.75" customHeight="1">
      <c r="A341" s="4" t="s">
        <v>1094</v>
      </c>
      <c r="B341" s="4" t="s">
        <v>1095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1093</v>
      </c>
      <c r="Q341" s="3"/>
      <c r="R341" s="3"/>
      <c r="S341" s="6"/>
      <c r="T341" s="6"/>
      <c r="U341" s="6"/>
    </row>
    <row r="342" ht="15.75" customHeight="1">
      <c r="A342" s="4" t="s">
        <v>1096</v>
      </c>
      <c r="B342" s="4" t="s">
        <v>1097</v>
      </c>
      <c r="C342" s="4" t="s">
        <v>39</v>
      </c>
      <c r="D342" s="6"/>
      <c r="E342" s="3" t="str">
        <f t="shared" si="1"/>
        <v>現存</v>
      </c>
      <c r="F342" s="3" t="s">
        <v>1098</v>
      </c>
      <c r="G342" s="6"/>
      <c r="H342" s="3" t="str">
        <f t="shared" si="2"/>
        <v>1,2,3,10,12</v>
      </c>
      <c r="I342" s="3" t="s">
        <v>338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1093</v>
      </c>
      <c r="Q342" s="3"/>
      <c r="R342" s="3"/>
      <c r="S342" s="6"/>
      <c r="T342" s="6"/>
      <c r="U342" s="6"/>
    </row>
    <row r="343" ht="15.75" customHeight="1">
      <c r="A343" s="4" t="s">
        <v>1099</v>
      </c>
      <c r="B343" s="4" t="s">
        <v>1100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912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1093</v>
      </c>
      <c r="Q343" s="3"/>
      <c r="R343" s="3"/>
      <c r="S343" s="6"/>
      <c r="T343" s="6"/>
      <c r="U343" s="6"/>
    </row>
    <row r="344" ht="15.75" customHeight="1">
      <c r="A344" s="4" t="s">
        <v>1101</v>
      </c>
      <c r="B344" s="4" t="s">
        <v>1102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1093</v>
      </c>
      <c r="Q344" s="3"/>
      <c r="R344" s="3"/>
      <c r="S344" s="6"/>
      <c r="T344" s="6"/>
      <c r="U344" s="6"/>
    </row>
    <row r="345" ht="15.75" customHeight="1">
      <c r="A345" s="4" t="s">
        <v>1103</v>
      </c>
      <c r="B345" s="4" t="s">
        <v>1104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1093</v>
      </c>
      <c r="Q345" s="3"/>
      <c r="R345" s="3"/>
      <c r="S345" s="6"/>
      <c r="T345" s="6"/>
      <c r="U345" s="6"/>
    </row>
    <row r="346" ht="15.75" customHeight="1">
      <c r="A346" s="4" t="s">
        <v>1105</v>
      </c>
      <c r="B346" s="4" t="s">
        <v>1106</v>
      </c>
      <c r="C346" s="4" t="s">
        <v>39</v>
      </c>
      <c r="D346" s="6"/>
      <c r="E346" s="3" t="str">
        <f t="shared" si="1"/>
        <v>現存</v>
      </c>
      <c r="F346" s="3" t="s">
        <v>1107</v>
      </c>
      <c r="G346" s="6"/>
      <c r="H346" s="3" t="str">
        <f t="shared" si="2"/>
        <v>1,2,10,11,12</v>
      </c>
      <c r="I346" s="3" t="s">
        <v>64</v>
      </c>
      <c r="J346" s="3" t="s">
        <v>193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1093</v>
      </c>
      <c r="Q346" s="3"/>
      <c r="R346" s="3"/>
      <c r="S346" s="6"/>
      <c r="T346" s="6"/>
      <c r="U346" s="6"/>
    </row>
    <row r="347" ht="15.75" customHeight="1">
      <c r="A347" s="4" t="s">
        <v>1108</v>
      </c>
      <c r="B347" s="4" t="s">
        <v>1109</v>
      </c>
      <c r="C347" s="4" t="s">
        <v>39</v>
      </c>
      <c r="D347" s="6"/>
      <c r="E347" s="3" t="str">
        <f t="shared" si="1"/>
        <v>現存</v>
      </c>
      <c r="F347" s="3" t="s">
        <v>1110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1093</v>
      </c>
      <c r="Q347" s="3"/>
      <c r="R347" s="3"/>
      <c r="S347" s="6"/>
      <c r="T347" s="6"/>
      <c r="U347" s="6"/>
    </row>
    <row r="348" ht="15.75" customHeight="1">
      <c r="A348" s="4" t="s">
        <v>1111</v>
      </c>
      <c r="B348" s="4" t="s">
        <v>1112</v>
      </c>
      <c r="C348" s="4" t="s">
        <v>39</v>
      </c>
      <c r="D348" s="6"/>
      <c r="E348" s="3" t="str">
        <f t="shared" si="1"/>
        <v>現存</v>
      </c>
      <c r="F348" s="3" t="s">
        <v>218</v>
      </c>
      <c r="G348" s="6"/>
      <c r="H348" s="3" t="str">
        <f t="shared" si="2"/>
        <v>2,3</v>
      </c>
      <c r="I348" s="3" t="s">
        <v>117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1093</v>
      </c>
      <c r="Q348" s="3"/>
      <c r="R348" s="3"/>
      <c r="S348" s="6"/>
      <c r="T348" s="6"/>
      <c r="U348" s="6"/>
    </row>
    <row r="349" ht="15.75" customHeight="1">
      <c r="A349" s="4" t="s">
        <v>1113</v>
      </c>
      <c r="B349" s="9" t="s">
        <v>1114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135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1093</v>
      </c>
      <c r="Q349" s="3"/>
      <c r="R349" s="3"/>
      <c r="S349" s="6"/>
      <c r="T349" s="6"/>
      <c r="U349" s="6"/>
    </row>
    <row r="350" ht="15.75" customHeight="1">
      <c r="A350" s="4" t="s">
        <v>1115</v>
      </c>
      <c r="B350" s="4" t="s">
        <v>1116</v>
      </c>
      <c r="C350" s="4" t="s">
        <v>39</v>
      </c>
      <c r="D350" s="6"/>
      <c r="E350" s="3" t="str">
        <f t="shared" si="1"/>
        <v>現存</v>
      </c>
      <c r="F350" s="3" t="s">
        <v>1117</v>
      </c>
      <c r="G350" s="6"/>
      <c r="H350" s="3" t="str">
        <f t="shared" si="2"/>
        <v>2,7</v>
      </c>
      <c r="I350" s="3" t="s">
        <v>537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1093</v>
      </c>
      <c r="Q350" s="3"/>
      <c r="R350" s="3"/>
      <c r="S350" s="6"/>
      <c r="T350" s="6"/>
      <c r="U350" s="6"/>
    </row>
    <row r="351" ht="15.75" customHeight="1">
      <c r="A351" s="4" t="s">
        <v>1118</v>
      </c>
      <c r="B351" s="4" t="s">
        <v>1119</v>
      </c>
      <c r="C351" s="4" t="s">
        <v>39</v>
      </c>
      <c r="D351" s="6"/>
      <c r="E351" s="3" t="str">
        <f t="shared" si="1"/>
        <v>現存</v>
      </c>
      <c r="F351" s="3" t="s">
        <v>218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156</v>
      </c>
      <c r="O351" s="3"/>
      <c r="P351" s="4" t="s">
        <v>1093</v>
      </c>
      <c r="Q351" s="3"/>
      <c r="R351" s="3"/>
      <c r="S351" s="6"/>
      <c r="T351" s="6"/>
      <c r="U351" s="6"/>
    </row>
    <row r="352" ht="15.75" customHeight="1">
      <c r="A352" s="4" t="s">
        <v>1120</v>
      </c>
      <c r="B352" s="4" t="s">
        <v>1121</v>
      </c>
      <c r="C352" s="4" t="s">
        <v>39</v>
      </c>
      <c r="D352" s="6"/>
      <c r="E352" s="3" t="str">
        <f t="shared" si="1"/>
        <v>現存</v>
      </c>
      <c r="F352" s="3" t="s">
        <v>1122</v>
      </c>
      <c r="G352" s="6"/>
      <c r="H352" s="3" t="str">
        <f t="shared" si="2"/>
        <v>2,3,6,7,11,12</v>
      </c>
      <c r="I352" s="3" t="s">
        <v>447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1093</v>
      </c>
      <c r="Q352" s="3"/>
      <c r="R352" s="3"/>
      <c r="S352" s="6"/>
      <c r="T352" s="6"/>
      <c r="U352" s="8" t="s">
        <v>1123</v>
      </c>
    </row>
    <row r="353" ht="15.75" customHeight="1">
      <c r="A353" s="4" t="s">
        <v>1124</v>
      </c>
      <c r="B353" s="4" t="s">
        <v>1125</v>
      </c>
      <c r="C353" s="4" t="s">
        <v>39</v>
      </c>
      <c r="D353" s="6"/>
      <c r="E353" s="3" t="str">
        <f t="shared" si="1"/>
        <v>現存</v>
      </c>
      <c r="F353" s="3" t="s">
        <v>1126</v>
      </c>
      <c r="G353" s="6"/>
      <c r="H353" s="3" t="str">
        <f t="shared" si="2"/>
        <v>2,3,5,12</v>
      </c>
      <c r="I353" s="3" t="s">
        <v>212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156</v>
      </c>
      <c r="O353" s="3"/>
      <c r="P353" s="4" t="s">
        <v>1093</v>
      </c>
      <c r="Q353" s="3"/>
      <c r="R353" s="3"/>
      <c r="S353" s="6"/>
      <c r="T353" s="6"/>
      <c r="U353" s="6"/>
    </row>
    <row r="354" ht="15.75" customHeight="1">
      <c r="A354" s="4" t="s">
        <v>1127</v>
      </c>
      <c r="B354" s="4" t="s">
        <v>1128</v>
      </c>
      <c r="C354" s="4" t="s">
        <v>39</v>
      </c>
      <c r="D354" s="6"/>
      <c r="E354" s="3" t="str">
        <f t="shared" si="1"/>
        <v>現存</v>
      </c>
      <c r="F354" s="3" t="s">
        <v>116</v>
      </c>
      <c r="G354" s="6"/>
      <c r="H354" s="3" t="str">
        <f t="shared" si="2"/>
        <v>3,4</v>
      </c>
      <c r="I354" s="3" t="s">
        <v>560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1093</v>
      </c>
      <c r="Q354" s="3"/>
      <c r="R354" s="3"/>
      <c r="S354" s="6"/>
      <c r="T354" s="6"/>
      <c r="U354" s="6"/>
    </row>
    <row r="355" ht="15.75" customHeight="1">
      <c r="A355" s="4" t="s">
        <v>1129</v>
      </c>
      <c r="B355" s="4" t="s">
        <v>1130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709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1093</v>
      </c>
      <c r="Q355" s="3"/>
      <c r="R355" s="3"/>
      <c r="S355" s="6"/>
      <c r="T355" s="6"/>
      <c r="U355" s="6"/>
    </row>
    <row r="356" ht="15.75" customHeight="1">
      <c r="A356" s="4" t="s">
        <v>1131</v>
      </c>
      <c r="B356" s="4" t="s">
        <v>1132</v>
      </c>
      <c r="C356" s="4" t="s">
        <v>39</v>
      </c>
      <c r="D356" s="6"/>
      <c r="E356" s="3" t="str">
        <f t="shared" si="1"/>
        <v>現存</v>
      </c>
      <c r="F356" s="3" t="s">
        <v>116</v>
      </c>
      <c r="G356" s="6"/>
      <c r="H356" s="3" t="str">
        <f t="shared" si="2"/>
        <v>3,4</v>
      </c>
      <c r="I356" s="3" t="s">
        <v>426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156</v>
      </c>
      <c r="O356" s="3"/>
      <c r="P356" s="9" t="s">
        <v>1133</v>
      </c>
      <c r="Q356" s="3"/>
      <c r="R356" s="3"/>
      <c r="S356" s="6"/>
      <c r="T356" s="6"/>
      <c r="U356" s="6"/>
    </row>
    <row r="357" ht="15.75" customHeight="1">
      <c r="A357" s="4" t="s">
        <v>1134</v>
      </c>
      <c r="B357" s="4" t="s">
        <v>1135</v>
      </c>
      <c r="C357" s="4" t="s">
        <v>39</v>
      </c>
      <c r="D357" s="6"/>
      <c r="E357" s="3" t="str">
        <f t="shared" si="1"/>
        <v>現存</v>
      </c>
      <c r="F357" s="3" t="s">
        <v>1136</v>
      </c>
      <c r="G357" s="6"/>
      <c r="H357" s="3" t="str">
        <f t="shared" si="2"/>
        <v>3,4,10,12</v>
      </c>
      <c r="I357" s="3" t="s">
        <v>142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1093</v>
      </c>
      <c r="Q357" s="4" t="s">
        <v>1137</v>
      </c>
      <c r="R357" s="3"/>
      <c r="S357" s="6"/>
      <c r="T357" s="6"/>
      <c r="U357" s="6"/>
    </row>
    <row r="358" ht="15.75" customHeight="1">
      <c r="A358" s="4" t="s">
        <v>1138</v>
      </c>
      <c r="B358" s="4" t="s">
        <v>1139</v>
      </c>
      <c r="C358" s="4" t="s">
        <v>39</v>
      </c>
      <c r="D358" s="6"/>
      <c r="E358" s="3" t="str">
        <f t="shared" si="1"/>
        <v>現存</v>
      </c>
      <c r="F358" s="3" t="s">
        <v>1140</v>
      </c>
      <c r="G358" s="6"/>
      <c r="H358" s="3" t="str">
        <f t="shared" si="2"/>
        <v>3,5</v>
      </c>
      <c r="I358" s="3" t="s">
        <v>665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1093</v>
      </c>
      <c r="Q358" s="3"/>
      <c r="R358" s="3"/>
      <c r="S358" s="6"/>
      <c r="T358" s="6"/>
      <c r="U358" s="6"/>
    </row>
    <row r="359" ht="15.75" customHeight="1">
      <c r="A359" s="4" t="s">
        <v>1141</v>
      </c>
      <c r="B359" s="4" t="s">
        <v>1142</v>
      </c>
      <c r="C359" s="4" t="s">
        <v>39</v>
      </c>
      <c r="D359" s="6"/>
      <c r="E359" s="3" t="str">
        <f t="shared" si="1"/>
        <v>現存</v>
      </c>
      <c r="F359" s="3" t="s">
        <v>1143</v>
      </c>
      <c r="G359" s="6"/>
      <c r="H359" s="3" t="str">
        <f t="shared" si="2"/>
        <v>3,4,5,6,7,10,11,12</v>
      </c>
      <c r="I359" s="3" t="s">
        <v>447</v>
      </c>
      <c r="J359" s="3" t="s">
        <v>193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1093</v>
      </c>
      <c r="Q359" s="3"/>
      <c r="R359" s="3"/>
      <c r="S359" s="6"/>
      <c r="T359" s="6"/>
      <c r="U359" s="6"/>
    </row>
    <row r="360" ht="15.75" customHeight="1">
      <c r="A360" s="4" t="s">
        <v>1144</v>
      </c>
      <c r="B360" s="4" t="s">
        <v>1145</v>
      </c>
      <c r="C360" s="4" t="s">
        <v>39</v>
      </c>
      <c r="D360" s="6"/>
      <c r="E360" s="3" t="str">
        <f t="shared" si="1"/>
        <v>現存</v>
      </c>
      <c r="F360" s="3" t="s">
        <v>1146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1093</v>
      </c>
      <c r="Q360" s="3"/>
      <c r="R360" s="3"/>
      <c r="S360" s="6"/>
      <c r="T360" s="6"/>
      <c r="U360" s="8" t="s">
        <v>1147</v>
      </c>
    </row>
    <row r="361" ht="15.75" customHeight="1">
      <c r="A361" s="4" t="s">
        <v>1148</v>
      </c>
      <c r="B361" s="4" t="s">
        <v>1149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248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1093</v>
      </c>
      <c r="Q361" s="3"/>
      <c r="R361" s="3"/>
      <c r="S361" s="6"/>
      <c r="T361" s="6"/>
      <c r="U361" s="6"/>
    </row>
    <row r="362" ht="15.75" customHeight="1">
      <c r="A362" s="4" t="s">
        <v>1150</v>
      </c>
      <c r="B362" s="4" t="s">
        <v>1151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709</v>
      </c>
      <c r="J362" s="3" t="s">
        <v>135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1093</v>
      </c>
      <c r="Q362" s="3"/>
      <c r="R362" s="3"/>
      <c r="S362" s="6"/>
      <c r="T362" s="6"/>
      <c r="U362" s="6"/>
    </row>
    <row r="363" ht="15.75" customHeight="1">
      <c r="A363" s="4" t="s">
        <v>1152</v>
      </c>
      <c r="B363" s="4" t="s">
        <v>1153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699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1093</v>
      </c>
      <c r="Q363" s="3"/>
      <c r="R363" s="3"/>
      <c r="S363" s="6"/>
      <c r="T363" s="6"/>
      <c r="U363" s="6"/>
    </row>
    <row r="364" ht="15.75" customHeight="1">
      <c r="A364" s="4" t="s">
        <v>1154</v>
      </c>
      <c r="B364" s="4" t="s">
        <v>1155</v>
      </c>
      <c r="C364" s="4" t="s">
        <v>170</v>
      </c>
      <c r="D364" s="8" t="s">
        <v>39</v>
      </c>
      <c r="E364" s="3" t="str">
        <f t="shared" si="1"/>
        <v>現存</v>
      </c>
      <c r="F364" s="3" t="s">
        <v>156</v>
      </c>
      <c r="G364" s="6"/>
      <c r="H364" s="3" t="str">
        <f t="shared" si="2"/>
        <v>4</v>
      </c>
      <c r="I364" s="3" t="s">
        <v>563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1093</v>
      </c>
      <c r="Q364" s="3"/>
      <c r="R364" s="3"/>
      <c r="S364" s="6"/>
      <c r="T364" s="6"/>
      <c r="U364" s="6"/>
    </row>
    <row r="365" ht="15.75" customHeight="1">
      <c r="A365" s="4" t="s">
        <v>1156</v>
      </c>
      <c r="B365" s="4" t="s">
        <v>1157</v>
      </c>
      <c r="C365" s="4" t="s">
        <v>39</v>
      </c>
      <c r="D365" s="6"/>
      <c r="E365" s="3" t="str">
        <f t="shared" si="1"/>
        <v>現存</v>
      </c>
      <c r="F365" s="3" t="s">
        <v>398</v>
      </c>
      <c r="G365" s="6"/>
      <c r="H365" s="3" t="str">
        <f t="shared" si="2"/>
        <v>4,5,10</v>
      </c>
      <c r="I365" s="3" t="s">
        <v>160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1093</v>
      </c>
      <c r="Q365" s="3"/>
      <c r="R365" s="3"/>
      <c r="S365" s="6"/>
      <c r="T365" s="6"/>
      <c r="U365" s="6"/>
    </row>
    <row r="366" ht="15.75" customHeight="1">
      <c r="A366" s="4" t="s">
        <v>1158</v>
      </c>
      <c r="B366" s="4" t="s">
        <v>1159</v>
      </c>
      <c r="C366" s="4" t="s">
        <v>39</v>
      </c>
      <c r="D366" s="6"/>
      <c r="E366" s="3" t="str">
        <f t="shared" si="1"/>
        <v>現存</v>
      </c>
      <c r="F366" s="3" t="s">
        <v>156</v>
      </c>
      <c r="G366" s="6"/>
      <c r="H366" s="3" t="str">
        <f t="shared" si="2"/>
        <v>4</v>
      </c>
      <c r="I366" s="3" t="s">
        <v>1160</v>
      </c>
      <c r="J366" s="3" t="s">
        <v>181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1093</v>
      </c>
      <c r="Q366" s="3"/>
      <c r="R366" s="3"/>
      <c r="S366" s="6"/>
      <c r="T366" s="6"/>
      <c r="U366" s="6"/>
    </row>
    <row r="367" ht="15.75" customHeight="1">
      <c r="A367" s="4" t="s">
        <v>1161</v>
      </c>
      <c r="B367" s="4" t="s">
        <v>1162</v>
      </c>
      <c r="C367" s="4" t="s">
        <v>39</v>
      </c>
      <c r="D367" s="6"/>
      <c r="E367" s="3" t="str">
        <f t="shared" si="1"/>
        <v>現存</v>
      </c>
      <c r="F367" s="3" t="s">
        <v>1163</v>
      </c>
      <c r="G367" s="6"/>
      <c r="H367" s="3" t="str">
        <f t="shared" si="2"/>
        <v>4,5,11</v>
      </c>
      <c r="I367" s="3" t="s">
        <v>160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1093</v>
      </c>
      <c r="Q367" s="3"/>
      <c r="R367" s="3"/>
      <c r="S367" s="6"/>
      <c r="T367" s="6"/>
      <c r="U367" s="6"/>
    </row>
    <row r="368" ht="15.75" customHeight="1">
      <c r="A368" s="4" t="s">
        <v>1164</v>
      </c>
      <c r="B368" s="4" t="s">
        <v>1165</v>
      </c>
      <c r="C368" s="4" t="s">
        <v>39</v>
      </c>
      <c r="D368" s="6"/>
      <c r="E368" s="3" t="str">
        <f t="shared" si="1"/>
        <v>現存</v>
      </c>
      <c r="F368" s="3" t="s">
        <v>156</v>
      </c>
      <c r="G368" s="6"/>
      <c r="H368" s="3" t="str">
        <f t="shared" si="2"/>
        <v>4</v>
      </c>
      <c r="I368" s="3" t="s">
        <v>426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1093</v>
      </c>
      <c r="Q368" s="3"/>
      <c r="R368" s="3"/>
      <c r="S368" s="6"/>
      <c r="T368" s="6"/>
      <c r="U368" s="6"/>
    </row>
    <row r="369" ht="15.75" customHeight="1">
      <c r="A369" s="4" t="s">
        <v>1166</v>
      </c>
      <c r="B369" s="4" t="s">
        <v>1167</v>
      </c>
      <c r="C369" s="4" t="s">
        <v>39</v>
      </c>
      <c r="D369" s="6"/>
      <c r="E369" s="3" t="str">
        <f t="shared" si="1"/>
        <v>現存</v>
      </c>
      <c r="F369" s="3" t="s">
        <v>1163</v>
      </c>
      <c r="G369" s="6"/>
      <c r="H369" s="3" t="str">
        <f t="shared" si="2"/>
        <v>4,5,11</v>
      </c>
      <c r="I369" s="3" t="s">
        <v>107</v>
      </c>
      <c r="J369" s="3" t="s">
        <v>125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1093</v>
      </c>
      <c r="Q369" s="3"/>
      <c r="R369" s="3"/>
      <c r="S369" s="6"/>
      <c r="T369" s="6"/>
      <c r="U369" s="6"/>
    </row>
    <row r="370" ht="15.75" customHeight="1">
      <c r="A370" s="4" t="s">
        <v>1168</v>
      </c>
      <c r="B370" s="4" t="s">
        <v>1169</v>
      </c>
      <c r="C370" s="4" t="s">
        <v>39</v>
      </c>
      <c r="D370" s="8" t="s">
        <v>381</v>
      </c>
      <c r="E370" s="3" t="str">
        <f t="shared" si="1"/>
        <v>不收錄</v>
      </c>
      <c r="F370" s="3" t="s">
        <v>156</v>
      </c>
      <c r="G370" s="6"/>
      <c r="H370" s="3" t="str">
        <f t="shared" si="2"/>
        <v>4</v>
      </c>
      <c r="I370" s="3" t="s">
        <v>415</v>
      </c>
      <c r="J370" s="3" t="s">
        <v>181</v>
      </c>
      <c r="K370" s="3">
        <v>1.0</v>
      </c>
      <c r="L370" s="3">
        <v>1.0</v>
      </c>
      <c r="M370" s="9" t="s">
        <v>236</v>
      </c>
      <c r="N370" s="3" t="s">
        <v>56</v>
      </c>
      <c r="O370" s="3"/>
      <c r="P370" s="4" t="s">
        <v>1093</v>
      </c>
      <c r="Q370" s="3"/>
      <c r="R370" s="3"/>
      <c r="S370" s="6"/>
      <c r="T370" s="6"/>
      <c r="U370" s="6"/>
    </row>
    <row r="371" ht="15.75" customHeight="1">
      <c r="A371" s="4" t="s">
        <v>1170</v>
      </c>
      <c r="B371" s="4" t="s">
        <v>1171</v>
      </c>
      <c r="C371" s="4" t="s">
        <v>39</v>
      </c>
      <c r="D371" s="6"/>
      <c r="E371" s="3" t="str">
        <f t="shared" si="1"/>
        <v>現存</v>
      </c>
      <c r="F371" s="3" t="s">
        <v>425</v>
      </c>
      <c r="G371" s="6"/>
      <c r="H371" s="3" t="str">
        <f t="shared" si="2"/>
        <v>4,5,6</v>
      </c>
      <c r="I371" s="3" t="s">
        <v>444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1093</v>
      </c>
      <c r="Q371" s="3"/>
      <c r="R371" s="3"/>
      <c r="S371" s="6"/>
      <c r="T371" s="6"/>
      <c r="U371" s="8" t="s">
        <v>1172</v>
      </c>
    </row>
    <row r="372" ht="15.75" customHeight="1">
      <c r="A372" s="4" t="s">
        <v>1173</v>
      </c>
      <c r="B372" s="4" t="s">
        <v>1174</v>
      </c>
      <c r="C372" s="4" t="s">
        <v>39</v>
      </c>
      <c r="D372" s="6"/>
      <c r="E372" s="3" t="str">
        <f t="shared" si="1"/>
        <v>現存</v>
      </c>
      <c r="F372" s="3" t="s">
        <v>156</v>
      </c>
      <c r="G372" s="6"/>
      <c r="H372" s="3" t="str">
        <f t="shared" si="2"/>
        <v>4</v>
      </c>
      <c r="I372" s="3" t="s">
        <v>83</v>
      </c>
      <c r="J372" s="3" t="s">
        <v>125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1093</v>
      </c>
      <c r="Q372" s="3"/>
      <c r="R372" s="3"/>
      <c r="S372" s="6"/>
      <c r="T372" s="6"/>
      <c r="U372" s="6"/>
    </row>
    <row r="373" ht="15.75" customHeight="1">
      <c r="A373" s="4" t="s">
        <v>1175</v>
      </c>
      <c r="B373" s="4" t="s">
        <v>1176</v>
      </c>
      <c r="C373" s="4" t="s">
        <v>39</v>
      </c>
      <c r="D373" s="6"/>
      <c r="E373" s="3" t="str">
        <f t="shared" si="1"/>
        <v>現存</v>
      </c>
      <c r="F373" s="3" t="s">
        <v>156</v>
      </c>
      <c r="G373" s="6"/>
      <c r="H373" s="3" t="str">
        <f t="shared" si="2"/>
        <v>4</v>
      </c>
      <c r="I373" s="3" t="s">
        <v>1177</v>
      </c>
      <c r="J373" s="3" t="s">
        <v>181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1093</v>
      </c>
      <c r="Q373" s="3"/>
      <c r="R373" s="3"/>
      <c r="S373" s="6"/>
      <c r="T373" s="6"/>
      <c r="U373" s="8" t="s">
        <v>1178</v>
      </c>
    </row>
    <row r="374" ht="15.75" customHeight="1">
      <c r="A374" s="4" t="s">
        <v>1179</v>
      </c>
      <c r="B374" s="4" t="s">
        <v>1180</v>
      </c>
      <c r="C374" s="4" t="s">
        <v>39</v>
      </c>
      <c r="D374" s="6"/>
      <c r="E374" s="3" t="str">
        <f t="shared" si="1"/>
        <v>現存</v>
      </c>
      <c r="F374" s="3" t="s">
        <v>450</v>
      </c>
      <c r="G374" s="6"/>
      <c r="H374" s="3" t="str">
        <f t="shared" si="2"/>
        <v>5</v>
      </c>
      <c r="I374" s="3" t="s">
        <v>149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1093</v>
      </c>
      <c r="Q374" s="3"/>
      <c r="R374" s="3"/>
      <c r="S374" s="6"/>
      <c r="T374" s="6"/>
      <c r="U374" s="6"/>
    </row>
    <row r="375" ht="15.75" customHeight="1">
      <c r="A375" s="4" t="s">
        <v>1181</v>
      </c>
      <c r="B375" s="4" t="s">
        <v>1182</v>
      </c>
      <c r="C375" s="4" t="s">
        <v>39</v>
      </c>
      <c r="D375" s="6"/>
      <c r="E375" s="3" t="str">
        <f t="shared" si="1"/>
        <v>現存</v>
      </c>
      <c r="F375" s="3" t="s">
        <v>1183</v>
      </c>
      <c r="G375" s="6"/>
      <c r="H375" s="3" t="str">
        <f t="shared" si="2"/>
        <v>5,6,9</v>
      </c>
      <c r="I375" s="3" t="s">
        <v>1184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1093</v>
      </c>
      <c r="Q375" s="3"/>
      <c r="R375" s="3"/>
      <c r="S375" s="6"/>
      <c r="T375" s="6"/>
      <c r="U375" s="6"/>
    </row>
    <row r="376" ht="15.75" customHeight="1">
      <c r="A376" s="4" t="s">
        <v>1185</v>
      </c>
      <c r="B376" s="4" t="s">
        <v>1186</v>
      </c>
      <c r="C376" s="4" t="s">
        <v>39</v>
      </c>
      <c r="D376" s="6"/>
      <c r="E376" s="3" t="str">
        <f t="shared" si="1"/>
        <v>現存</v>
      </c>
      <c r="F376" s="3" t="s">
        <v>1187</v>
      </c>
      <c r="G376" s="6"/>
      <c r="H376" s="3" t="str">
        <f t="shared" si="2"/>
        <v>5,6,8,11</v>
      </c>
      <c r="I376" s="3" t="s">
        <v>149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1093</v>
      </c>
      <c r="Q376" s="3"/>
      <c r="R376" s="3"/>
      <c r="S376" s="6"/>
      <c r="T376" s="6"/>
      <c r="U376" s="8" t="s">
        <v>1188</v>
      </c>
    </row>
    <row r="377" ht="15.75" customHeight="1">
      <c r="A377" s="4" t="s">
        <v>1189</v>
      </c>
      <c r="B377" s="4" t="s">
        <v>1190</v>
      </c>
      <c r="C377" s="4" t="s">
        <v>39</v>
      </c>
      <c r="D377" s="6"/>
      <c r="E377" s="3" t="str">
        <f t="shared" si="1"/>
        <v>現存</v>
      </c>
      <c r="F377" s="3" t="s">
        <v>290</v>
      </c>
      <c r="G377" s="6"/>
      <c r="H377" s="3" t="str">
        <f t="shared" si="2"/>
        <v>5,6,7,8,9,10</v>
      </c>
      <c r="I377" s="3" t="s">
        <v>74</v>
      </c>
      <c r="J377" s="3" t="s">
        <v>193</v>
      </c>
      <c r="K377" s="3">
        <v>8.0</v>
      </c>
      <c r="L377" s="3">
        <v>1.0</v>
      </c>
      <c r="M377" s="4" t="s">
        <v>43</v>
      </c>
      <c r="N377" s="3" t="s">
        <v>156</v>
      </c>
      <c r="O377" s="3"/>
      <c r="P377" s="4" t="s">
        <v>1093</v>
      </c>
      <c r="Q377" s="3"/>
      <c r="R377" s="3"/>
      <c r="S377" s="6"/>
      <c r="T377" s="6"/>
      <c r="U377" s="6"/>
    </row>
    <row r="378" ht="15.75" customHeight="1">
      <c r="A378" s="4" t="s">
        <v>1191</v>
      </c>
      <c r="B378" s="4" t="s">
        <v>1192</v>
      </c>
      <c r="C378" s="4" t="s">
        <v>39</v>
      </c>
      <c r="D378" s="6"/>
      <c r="E378" s="3" t="str">
        <f t="shared" si="1"/>
        <v>現存</v>
      </c>
      <c r="F378" s="3" t="s">
        <v>450</v>
      </c>
      <c r="G378" s="6"/>
      <c r="H378" s="3" t="str">
        <f t="shared" si="2"/>
        <v>5</v>
      </c>
      <c r="I378" s="3" t="s">
        <v>1193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1093</v>
      </c>
      <c r="Q378" s="3"/>
      <c r="R378" s="3"/>
      <c r="S378" s="6"/>
      <c r="T378" s="6"/>
      <c r="U378" s="6"/>
    </row>
    <row r="379" ht="15.75" customHeight="1">
      <c r="A379" s="4" t="s">
        <v>1194</v>
      </c>
      <c r="B379" s="4" t="s">
        <v>1195</v>
      </c>
      <c r="C379" s="4" t="s">
        <v>39</v>
      </c>
      <c r="D379" s="6"/>
      <c r="E379" s="3" t="str">
        <f t="shared" si="1"/>
        <v>現存</v>
      </c>
      <c r="F379" s="3" t="s">
        <v>1196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1093</v>
      </c>
      <c r="Q379" s="3"/>
      <c r="R379" s="3"/>
      <c r="S379" s="6"/>
      <c r="T379" s="6"/>
      <c r="U379" s="8" t="s">
        <v>1197</v>
      </c>
    </row>
    <row r="380" ht="15.75" customHeight="1">
      <c r="A380" s="4" t="s">
        <v>1198</v>
      </c>
      <c r="B380" s="4" t="s">
        <v>1199</v>
      </c>
      <c r="C380" s="4" t="s">
        <v>39</v>
      </c>
      <c r="D380" s="6"/>
      <c r="E380" s="3" t="str">
        <f t="shared" si="1"/>
        <v>現存</v>
      </c>
      <c r="F380" s="3" t="s">
        <v>1200</v>
      </c>
      <c r="G380" s="6"/>
      <c r="H380" s="3" t="str">
        <f t="shared" si="2"/>
        <v>6,7,8,9</v>
      </c>
      <c r="I380" s="3" t="s">
        <v>303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1093</v>
      </c>
      <c r="Q380" s="3"/>
      <c r="R380" s="3"/>
      <c r="S380" s="6"/>
      <c r="T380" s="6"/>
      <c r="U380" s="6"/>
    </row>
    <row r="381" ht="15.75" customHeight="1">
      <c r="A381" s="4" t="s">
        <v>1201</v>
      </c>
      <c r="B381" s="4" t="s">
        <v>1202</v>
      </c>
      <c r="C381" s="4" t="s">
        <v>39</v>
      </c>
      <c r="D381" s="6"/>
      <c r="E381" s="3" t="str">
        <f t="shared" si="1"/>
        <v>現存</v>
      </c>
      <c r="F381" s="3" t="s">
        <v>310</v>
      </c>
      <c r="G381" s="6"/>
      <c r="H381" s="3" t="str">
        <f t="shared" si="2"/>
        <v>6</v>
      </c>
      <c r="I381" s="3" t="s">
        <v>1203</v>
      </c>
      <c r="J381" s="3" t="s">
        <v>181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1093</v>
      </c>
      <c r="Q381" s="3"/>
      <c r="R381" s="3"/>
      <c r="S381" s="6"/>
      <c r="T381" s="6"/>
      <c r="U381" s="6"/>
    </row>
    <row r="382" ht="15.75" customHeight="1">
      <c r="A382" s="4" t="s">
        <v>1204</v>
      </c>
      <c r="B382" s="4" t="s">
        <v>1205</v>
      </c>
      <c r="C382" s="4" t="s">
        <v>39</v>
      </c>
      <c r="D382" s="6"/>
      <c r="E382" s="3" t="str">
        <f t="shared" si="1"/>
        <v>現存</v>
      </c>
      <c r="F382" s="3" t="s">
        <v>1206</v>
      </c>
      <c r="G382" s="6"/>
      <c r="H382" s="3" t="str">
        <f t="shared" si="2"/>
        <v>6,12</v>
      </c>
      <c r="I382" s="3" t="s">
        <v>1207</v>
      </c>
      <c r="J382" s="3" t="s">
        <v>482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1093</v>
      </c>
      <c r="Q382" s="3"/>
      <c r="R382" s="3"/>
      <c r="S382" s="6"/>
      <c r="T382" s="6"/>
      <c r="U382" s="6"/>
    </row>
    <row r="383" ht="15.75" customHeight="1">
      <c r="A383" s="4" t="s">
        <v>1208</v>
      </c>
      <c r="B383" s="4" t="s">
        <v>1209</v>
      </c>
      <c r="C383" s="4" t="s">
        <v>39</v>
      </c>
      <c r="D383" s="6"/>
      <c r="E383" s="3" t="str">
        <f t="shared" si="1"/>
        <v>現存</v>
      </c>
      <c r="F383" s="3" t="s">
        <v>1210</v>
      </c>
      <c r="G383" s="6"/>
      <c r="H383" s="3" t="str">
        <f t="shared" si="2"/>
        <v>6,7,9</v>
      </c>
      <c r="I383" s="3" t="s">
        <v>1184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1093</v>
      </c>
      <c r="Q383" s="3"/>
      <c r="R383" s="3"/>
      <c r="S383" s="6"/>
      <c r="T383" s="6"/>
      <c r="U383" s="8" t="s">
        <v>1211</v>
      </c>
    </row>
    <row r="384" ht="15.75" customHeight="1">
      <c r="A384" s="4" t="s">
        <v>1212</v>
      </c>
      <c r="B384" s="4" t="s">
        <v>1213</v>
      </c>
      <c r="C384" s="4" t="s">
        <v>39</v>
      </c>
      <c r="D384" s="6"/>
      <c r="E384" s="3" t="str">
        <f t="shared" si="1"/>
        <v>現存</v>
      </c>
      <c r="F384" s="3" t="s">
        <v>310</v>
      </c>
      <c r="G384" s="6"/>
      <c r="H384" s="3" t="str">
        <f t="shared" si="2"/>
        <v>6</v>
      </c>
      <c r="I384" s="3" t="s">
        <v>364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1093</v>
      </c>
      <c r="Q384" s="3"/>
      <c r="R384" s="3"/>
      <c r="S384" s="6"/>
      <c r="T384" s="6"/>
      <c r="U384" s="6"/>
    </row>
    <row r="385" ht="15.75" customHeight="1">
      <c r="A385" s="4" t="s">
        <v>1214</v>
      </c>
      <c r="B385" s="4" t="s">
        <v>1215</v>
      </c>
      <c r="C385" s="4" t="s">
        <v>39</v>
      </c>
      <c r="D385" s="6"/>
      <c r="E385" s="3" t="str">
        <f t="shared" si="1"/>
        <v>現存</v>
      </c>
      <c r="F385" s="3" t="s">
        <v>1216</v>
      </c>
      <c r="G385" s="6"/>
      <c r="H385" s="3" t="str">
        <f t="shared" si="2"/>
        <v>6,7,9,10</v>
      </c>
      <c r="I385" s="3" t="s">
        <v>1217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1093</v>
      </c>
      <c r="Q385" s="3"/>
      <c r="R385" s="3"/>
      <c r="S385" s="6"/>
      <c r="T385" s="6"/>
      <c r="U385" s="6"/>
    </row>
    <row r="386" ht="15.75" customHeight="1">
      <c r="A386" s="4" t="s">
        <v>1218</v>
      </c>
      <c r="B386" s="4" t="s">
        <v>1219</v>
      </c>
      <c r="C386" s="4" t="s">
        <v>39</v>
      </c>
      <c r="D386" s="6"/>
      <c r="E386" s="3" t="str">
        <f t="shared" si="1"/>
        <v>現存</v>
      </c>
      <c r="F386" s="3" t="s">
        <v>1220</v>
      </c>
      <c r="G386" s="6"/>
      <c r="H386" s="3" t="str">
        <f t="shared" si="2"/>
        <v>6,8</v>
      </c>
      <c r="I386" s="3" t="s">
        <v>430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1093</v>
      </c>
      <c r="Q386" s="3"/>
      <c r="R386" s="3"/>
      <c r="S386" s="6"/>
      <c r="T386" s="6"/>
      <c r="U386" s="6"/>
    </row>
    <row r="387" ht="15.75" customHeight="1">
      <c r="A387" s="4" t="s">
        <v>1221</v>
      </c>
      <c r="B387" s="4" t="s">
        <v>1222</v>
      </c>
      <c r="C387" s="4" t="s">
        <v>39</v>
      </c>
      <c r="D387" s="6"/>
      <c r="E387" s="3" t="str">
        <f t="shared" si="1"/>
        <v>現存</v>
      </c>
      <c r="F387" s="3" t="s">
        <v>314</v>
      </c>
      <c r="G387" s="6"/>
      <c r="H387" s="3" t="str">
        <f t="shared" si="2"/>
        <v>7</v>
      </c>
      <c r="I387" s="3" t="s">
        <v>837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1093</v>
      </c>
      <c r="Q387" s="3"/>
      <c r="R387" s="3"/>
      <c r="S387" s="6"/>
      <c r="T387" s="6"/>
      <c r="U387" s="6"/>
    </row>
    <row r="388" ht="15.75" customHeight="1">
      <c r="A388" s="4" t="s">
        <v>1223</v>
      </c>
      <c r="B388" s="4" t="s">
        <v>1224</v>
      </c>
      <c r="C388" s="4" t="s">
        <v>39</v>
      </c>
      <c r="D388" s="6"/>
      <c r="E388" s="3" t="str">
        <f t="shared" si="1"/>
        <v>現存</v>
      </c>
      <c r="F388" s="3" t="s">
        <v>314</v>
      </c>
      <c r="G388" s="6"/>
      <c r="H388" s="3" t="str">
        <f t="shared" si="2"/>
        <v>7</v>
      </c>
      <c r="I388" s="3" t="s">
        <v>1225</v>
      </c>
      <c r="J388" s="3" t="s">
        <v>135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1093</v>
      </c>
      <c r="Q388" s="3"/>
      <c r="R388" s="3"/>
      <c r="S388" s="6"/>
      <c r="T388" s="6"/>
      <c r="U388" s="6"/>
    </row>
    <row r="389" ht="15.75" customHeight="1">
      <c r="A389" s="4" t="s">
        <v>1226</v>
      </c>
      <c r="B389" s="9" t="s">
        <v>1209</v>
      </c>
      <c r="C389" s="4" t="s">
        <v>170</v>
      </c>
      <c r="D389" s="8" t="s">
        <v>39</v>
      </c>
      <c r="E389" s="3" t="str">
        <f t="shared" si="1"/>
        <v>現存</v>
      </c>
      <c r="F389" s="3" t="s">
        <v>179</v>
      </c>
      <c r="G389" s="6"/>
      <c r="H389" s="3" t="str">
        <f t="shared" si="2"/>
        <v>8</v>
      </c>
      <c r="I389" s="3" t="s">
        <v>601</v>
      </c>
      <c r="J389" s="3" t="s">
        <v>42</v>
      </c>
      <c r="K389" s="3">
        <v>1.0</v>
      </c>
      <c r="L389" s="3">
        <v>0.0</v>
      </c>
      <c r="M389" s="4" t="s">
        <v>236</v>
      </c>
      <c r="N389" s="3"/>
      <c r="O389" s="3"/>
      <c r="P389" s="4" t="s">
        <v>1093</v>
      </c>
      <c r="Q389" s="3"/>
      <c r="R389" s="3"/>
      <c r="S389" s="6"/>
      <c r="T389" s="6"/>
      <c r="U389" s="6"/>
    </row>
    <row r="390" ht="15.75" customHeight="1">
      <c r="A390" s="4" t="s">
        <v>1227</v>
      </c>
      <c r="B390" s="4" t="s">
        <v>1228</v>
      </c>
      <c r="C390" s="4" t="s">
        <v>39</v>
      </c>
      <c r="D390" s="6"/>
      <c r="E390" s="3" t="str">
        <f t="shared" si="1"/>
        <v>現存</v>
      </c>
      <c r="F390" s="3" t="s">
        <v>813</v>
      </c>
      <c r="G390" s="6"/>
      <c r="H390" s="3" t="str">
        <f t="shared" si="2"/>
        <v>8,10</v>
      </c>
      <c r="I390" s="3" t="s">
        <v>1229</v>
      </c>
      <c r="J390" s="3" t="s">
        <v>1230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1093</v>
      </c>
      <c r="Q390" s="3"/>
      <c r="R390" s="3"/>
      <c r="S390" s="6"/>
      <c r="T390" s="6"/>
      <c r="U390" s="6"/>
    </row>
    <row r="391" ht="15.75" customHeight="1">
      <c r="A391" s="4" t="s">
        <v>1231</v>
      </c>
      <c r="B391" s="4" t="s">
        <v>1232</v>
      </c>
      <c r="C391" s="4" t="s">
        <v>39</v>
      </c>
      <c r="D391" s="6"/>
      <c r="E391" s="3" t="str">
        <f t="shared" si="1"/>
        <v>現存</v>
      </c>
      <c r="F391" s="3" t="s">
        <v>326</v>
      </c>
      <c r="G391" s="6"/>
      <c r="H391" s="3" t="str">
        <f t="shared" si="2"/>
        <v>9</v>
      </c>
      <c r="I391" s="3" t="s">
        <v>1233</v>
      </c>
      <c r="J391" s="3" t="s">
        <v>181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1093</v>
      </c>
      <c r="Q391" s="3"/>
      <c r="R391" s="3"/>
      <c r="S391" s="6"/>
      <c r="T391" s="6"/>
      <c r="U391" s="6"/>
    </row>
    <row r="392" ht="15.75" customHeight="1">
      <c r="A392" s="4" t="s">
        <v>1234</v>
      </c>
      <c r="B392" s="4" t="s">
        <v>1235</v>
      </c>
      <c r="C392" s="4" t="s">
        <v>39</v>
      </c>
      <c r="D392" s="6"/>
      <c r="E392" s="3" t="str">
        <f t="shared" si="1"/>
        <v>現存</v>
      </c>
      <c r="F392" s="3" t="s">
        <v>326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1093</v>
      </c>
      <c r="Q392" s="3"/>
      <c r="R392" s="3"/>
      <c r="S392" s="6"/>
      <c r="T392" s="6"/>
      <c r="U392" s="6"/>
    </row>
    <row r="393" ht="15.75" customHeight="1">
      <c r="A393" s="4" t="s">
        <v>1236</v>
      </c>
      <c r="B393" s="4" t="s">
        <v>1237</v>
      </c>
      <c r="C393" s="4" t="s">
        <v>39</v>
      </c>
      <c r="D393" s="6"/>
      <c r="E393" s="3" t="str">
        <f t="shared" si="1"/>
        <v>現存</v>
      </c>
      <c r="F393" s="3" t="s">
        <v>188</v>
      </c>
      <c r="G393" s="6"/>
      <c r="H393" s="3" t="str">
        <f t="shared" si="2"/>
        <v>10</v>
      </c>
      <c r="I393" s="3" t="s">
        <v>1238</v>
      </c>
      <c r="J393" s="3" t="s">
        <v>181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1093</v>
      </c>
      <c r="Q393" s="3"/>
      <c r="R393" s="3"/>
      <c r="S393" s="6"/>
      <c r="T393" s="6"/>
      <c r="U393" s="6"/>
    </row>
    <row r="394" ht="15.75" customHeight="1">
      <c r="A394" s="4" t="s">
        <v>1239</v>
      </c>
      <c r="B394" s="9" t="s">
        <v>1155</v>
      </c>
      <c r="C394" s="4" t="s">
        <v>39</v>
      </c>
      <c r="D394" s="8" t="s">
        <v>381</v>
      </c>
      <c r="E394" s="3" t="str">
        <f t="shared" si="1"/>
        <v>不收錄</v>
      </c>
      <c r="F394" s="3" t="s">
        <v>515</v>
      </c>
      <c r="G394" s="6"/>
      <c r="H394" s="3" t="str">
        <f t="shared" si="2"/>
        <v>11</v>
      </c>
      <c r="I394" s="3" t="s">
        <v>1240</v>
      </c>
      <c r="J394" s="3" t="s">
        <v>181</v>
      </c>
      <c r="K394" s="3">
        <v>1.0</v>
      </c>
      <c r="L394" s="3">
        <v>1.0</v>
      </c>
      <c r="M394" s="9" t="s">
        <v>236</v>
      </c>
      <c r="N394" s="3" t="s">
        <v>56</v>
      </c>
      <c r="O394" s="3"/>
      <c r="P394" s="4" t="s">
        <v>1093</v>
      </c>
      <c r="Q394" s="3"/>
      <c r="R394" s="3"/>
      <c r="S394" s="6"/>
      <c r="T394" s="6"/>
      <c r="U394" s="6"/>
    </row>
    <row r="395" ht="15.75" customHeight="1">
      <c r="A395" s="4" t="s">
        <v>1241</v>
      </c>
      <c r="B395" s="4" t="s">
        <v>1114</v>
      </c>
      <c r="C395" s="4" t="s">
        <v>39</v>
      </c>
      <c r="D395" s="8" t="s">
        <v>381</v>
      </c>
      <c r="E395" s="3" t="str">
        <f t="shared" si="1"/>
        <v>不收錄</v>
      </c>
      <c r="F395" s="3" t="s">
        <v>1007</v>
      </c>
      <c r="G395" s="6"/>
      <c r="H395" s="3" t="str">
        <f t="shared" si="2"/>
        <v>11,12</v>
      </c>
      <c r="I395" s="3" t="s">
        <v>988</v>
      </c>
      <c r="J395" s="3" t="s">
        <v>482</v>
      </c>
      <c r="K395" s="3">
        <v>2.0</v>
      </c>
      <c r="L395" s="3">
        <v>0.0</v>
      </c>
      <c r="M395" s="4" t="s">
        <v>236</v>
      </c>
      <c r="N395" s="3"/>
      <c r="O395" s="3"/>
      <c r="P395" s="4" t="s">
        <v>1093</v>
      </c>
      <c r="Q395" s="3"/>
      <c r="R395" s="3"/>
      <c r="S395" s="6"/>
      <c r="T395" s="6"/>
      <c r="U395" s="6"/>
    </row>
    <row r="396" ht="15.75" customHeight="1">
      <c r="A396" s="4" t="s">
        <v>1242</v>
      </c>
      <c r="B396" s="4" t="s">
        <v>1243</v>
      </c>
      <c r="C396" s="4" t="s">
        <v>39</v>
      </c>
      <c r="D396" s="6"/>
      <c r="E396" s="3" t="str">
        <f t="shared" si="1"/>
        <v>現存</v>
      </c>
      <c r="F396" s="3" t="s">
        <v>1007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1093</v>
      </c>
      <c r="Q396" s="3"/>
      <c r="R396" s="3"/>
      <c r="S396" s="6"/>
      <c r="T396" s="6"/>
      <c r="U396" s="6"/>
    </row>
    <row r="397" ht="15.75" customHeight="1">
      <c r="A397" s="4" t="s">
        <v>1244</v>
      </c>
      <c r="B397" s="4" t="s">
        <v>1245</v>
      </c>
      <c r="C397" s="4" t="s">
        <v>39</v>
      </c>
      <c r="D397" s="6"/>
      <c r="E397" s="3" t="str">
        <f t="shared" si="1"/>
        <v>現存</v>
      </c>
      <c r="F397" s="3" t="s">
        <v>1246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156</v>
      </c>
      <c r="O397" s="3"/>
      <c r="P397" s="4" t="s">
        <v>1133</v>
      </c>
      <c r="Q397" s="3"/>
      <c r="R397" s="3"/>
      <c r="S397" s="6"/>
      <c r="T397" s="6"/>
      <c r="U397" s="6"/>
    </row>
    <row r="398" ht="15.75" customHeight="1">
      <c r="A398" s="4" t="s">
        <v>1247</v>
      </c>
      <c r="B398" s="4" t="s">
        <v>1248</v>
      </c>
      <c r="C398" s="4" t="s">
        <v>39</v>
      </c>
      <c r="D398" s="6"/>
      <c r="E398" s="3" t="str">
        <f t="shared" si="1"/>
        <v>現存</v>
      </c>
      <c r="F398" s="3" t="s">
        <v>1107</v>
      </c>
      <c r="G398" s="6"/>
      <c r="H398" s="3" t="str">
        <f t="shared" si="2"/>
        <v>1,2,10,11,12</v>
      </c>
      <c r="I398" s="3" t="s">
        <v>198</v>
      </c>
      <c r="J398" s="3" t="s">
        <v>193</v>
      </c>
      <c r="K398" s="3">
        <v>11.0</v>
      </c>
      <c r="L398" s="3">
        <v>2.0</v>
      </c>
      <c r="M398" s="4" t="s">
        <v>43</v>
      </c>
      <c r="N398" s="3" t="s">
        <v>1249</v>
      </c>
      <c r="O398" s="3"/>
      <c r="P398" s="4" t="s">
        <v>1133</v>
      </c>
      <c r="Q398" s="3"/>
      <c r="R398" s="3"/>
      <c r="S398" s="6"/>
      <c r="T398" s="6"/>
      <c r="U398" s="6"/>
    </row>
    <row r="399" ht="15.75" customHeight="1">
      <c r="A399" s="4" t="s">
        <v>1250</v>
      </c>
      <c r="B399" s="4" t="s">
        <v>1251</v>
      </c>
      <c r="C399" s="4" t="s">
        <v>39</v>
      </c>
      <c r="D399" s="6"/>
      <c r="E399" s="3" t="str">
        <f t="shared" si="1"/>
        <v>現存</v>
      </c>
      <c r="F399" s="3" t="s">
        <v>911</v>
      </c>
      <c r="G399" s="6"/>
      <c r="H399" s="3" t="str">
        <f t="shared" si="2"/>
        <v>1,12</v>
      </c>
      <c r="I399" s="3" t="s">
        <v>338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156</v>
      </c>
      <c r="O399" s="3"/>
      <c r="P399" s="4" t="s">
        <v>1133</v>
      </c>
      <c r="Q399" s="3"/>
      <c r="R399" s="3"/>
      <c r="S399" s="6"/>
      <c r="T399" s="6"/>
      <c r="U399" s="6"/>
    </row>
    <row r="400" ht="15.75" customHeight="1">
      <c r="A400" s="4" t="s">
        <v>1252</v>
      </c>
      <c r="B400" s="4" t="s">
        <v>1253</v>
      </c>
      <c r="C400" s="4" t="s">
        <v>39</v>
      </c>
      <c r="D400" s="6"/>
      <c r="E400" s="3" t="str">
        <f t="shared" si="1"/>
        <v>現存</v>
      </c>
      <c r="F400" s="3" t="s">
        <v>1254</v>
      </c>
      <c r="G400" s="6"/>
      <c r="H400" s="3" t="str">
        <f t="shared" si="2"/>
        <v>1,4,8</v>
      </c>
      <c r="I400" s="3" t="s">
        <v>142</v>
      </c>
      <c r="J400" s="3" t="s">
        <v>125</v>
      </c>
      <c r="K400" s="3">
        <v>6.0</v>
      </c>
      <c r="L400" s="3">
        <v>1.0</v>
      </c>
      <c r="M400" s="4" t="s">
        <v>43</v>
      </c>
      <c r="N400" s="3" t="s">
        <v>156</v>
      </c>
      <c r="O400" s="3"/>
      <c r="P400" s="4" t="s">
        <v>1133</v>
      </c>
      <c r="Q400" s="3"/>
      <c r="R400" s="3"/>
      <c r="S400" s="6"/>
      <c r="T400" s="6"/>
      <c r="U400" s="6"/>
    </row>
    <row r="401" ht="15.75" customHeight="1">
      <c r="A401" s="4" t="s">
        <v>1255</v>
      </c>
      <c r="B401" s="4" t="s">
        <v>1256</v>
      </c>
      <c r="C401" s="4" t="s">
        <v>39</v>
      </c>
      <c r="D401" s="6"/>
      <c r="E401" s="3" t="str">
        <f t="shared" si="1"/>
        <v>現存</v>
      </c>
      <c r="F401" s="3" t="s">
        <v>1257</v>
      </c>
      <c r="G401" s="6"/>
      <c r="H401" s="3" t="str">
        <f t="shared" si="2"/>
        <v>1,2,8,10,12</v>
      </c>
      <c r="I401" s="3" t="s">
        <v>212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156</v>
      </c>
      <c r="O401" s="3"/>
      <c r="P401" s="4" t="s">
        <v>1133</v>
      </c>
      <c r="Q401" s="3"/>
      <c r="R401" s="3"/>
      <c r="S401" s="6"/>
      <c r="T401" s="6"/>
      <c r="U401" s="6"/>
    </row>
    <row r="402" ht="15.75" customHeight="1">
      <c r="A402" s="4" t="s">
        <v>1258</v>
      </c>
      <c r="B402" s="4" t="s">
        <v>1259</v>
      </c>
      <c r="C402" s="4" t="s">
        <v>39</v>
      </c>
      <c r="D402" s="8" t="s">
        <v>381</v>
      </c>
      <c r="E402" s="3" t="str">
        <f t="shared" si="1"/>
        <v>不收錄</v>
      </c>
      <c r="F402" s="3" t="s">
        <v>130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236</v>
      </c>
      <c r="N402" s="3"/>
      <c r="O402" s="3"/>
      <c r="P402" s="4" t="s">
        <v>1133</v>
      </c>
      <c r="Q402" s="3"/>
      <c r="R402" s="3"/>
      <c r="S402" s="6"/>
      <c r="T402" s="6"/>
      <c r="U402" s="6"/>
    </row>
    <row r="403" ht="15.75" customHeight="1">
      <c r="A403" s="4" t="s">
        <v>1260</v>
      </c>
      <c r="B403" s="4" t="s">
        <v>1261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338</v>
      </c>
      <c r="J403" s="3" t="s">
        <v>65</v>
      </c>
      <c r="K403" s="3">
        <v>2.0</v>
      </c>
      <c r="L403" s="3">
        <v>0.0</v>
      </c>
      <c r="M403" s="4" t="s">
        <v>236</v>
      </c>
      <c r="N403" s="3"/>
      <c r="O403" s="3"/>
      <c r="P403" s="4" t="s">
        <v>1133</v>
      </c>
      <c r="Q403" s="3"/>
      <c r="R403" s="3"/>
      <c r="S403" s="6"/>
      <c r="T403" s="6"/>
      <c r="U403" s="6"/>
    </row>
    <row r="404" ht="15.75" customHeight="1">
      <c r="A404" s="4" t="s">
        <v>1262</v>
      </c>
      <c r="B404" s="4" t="s">
        <v>1263</v>
      </c>
      <c r="C404" s="4" t="s">
        <v>39</v>
      </c>
      <c r="D404" s="6"/>
      <c r="E404" s="3" t="str">
        <f t="shared" si="1"/>
        <v>現存</v>
      </c>
      <c r="F404" s="3" t="s">
        <v>1264</v>
      </c>
      <c r="G404" s="6"/>
      <c r="H404" s="3" t="str">
        <f t="shared" si="2"/>
        <v>2,3,4,5,12</v>
      </c>
      <c r="I404" s="3" t="s">
        <v>426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1265</v>
      </c>
      <c r="O404" s="3"/>
      <c r="P404" s="4" t="s">
        <v>1133</v>
      </c>
      <c r="Q404" s="3"/>
      <c r="R404" s="3"/>
      <c r="S404" s="6"/>
      <c r="T404" s="6"/>
      <c r="U404" s="6"/>
    </row>
    <row r="405" ht="15.75" customHeight="1">
      <c r="A405" s="4" t="s">
        <v>1266</v>
      </c>
      <c r="B405" s="4" t="s">
        <v>1267</v>
      </c>
      <c r="C405" s="4" t="s">
        <v>39</v>
      </c>
      <c r="D405" s="6"/>
      <c r="E405" s="3" t="str">
        <f t="shared" si="1"/>
        <v>現存</v>
      </c>
      <c r="F405" s="3" t="s">
        <v>1264</v>
      </c>
      <c r="G405" s="6"/>
      <c r="H405" s="3" t="str">
        <f t="shared" si="2"/>
        <v>2,3,4,5,12</v>
      </c>
      <c r="I405" s="3" t="s">
        <v>117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156</v>
      </c>
      <c r="O405" s="3"/>
      <c r="P405" s="4" t="s">
        <v>1133</v>
      </c>
      <c r="Q405" s="3"/>
      <c r="R405" s="3"/>
      <c r="S405" s="6"/>
      <c r="T405" s="6"/>
      <c r="U405" s="6"/>
    </row>
    <row r="406" ht="15.75" customHeight="1">
      <c r="A406" s="4" t="s">
        <v>1268</v>
      </c>
      <c r="B406" s="9" t="s">
        <v>388</v>
      </c>
      <c r="C406" s="4" t="s">
        <v>39</v>
      </c>
      <c r="D406" s="6"/>
      <c r="E406" s="3" t="str">
        <f t="shared" si="1"/>
        <v>現存</v>
      </c>
      <c r="F406" s="3" t="s">
        <v>1269</v>
      </c>
      <c r="G406" s="6"/>
      <c r="H406" s="3" t="str">
        <f t="shared" si="2"/>
        <v>2,11</v>
      </c>
      <c r="I406" s="3" t="s">
        <v>1270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156</v>
      </c>
      <c r="O406" s="3"/>
      <c r="P406" s="4" t="s">
        <v>1133</v>
      </c>
      <c r="Q406" s="3"/>
      <c r="R406" s="3"/>
      <c r="S406" s="6"/>
      <c r="T406" s="6"/>
      <c r="U406" s="6"/>
    </row>
    <row r="407" ht="15.75" customHeight="1">
      <c r="A407" s="4" t="s">
        <v>1271</v>
      </c>
      <c r="B407" s="4" t="s">
        <v>1272</v>
      </c>
      <c r="C407" s="4" t="s">
        <v>39</v>
      </c>
      <c r="D407" s="6"/>
      <c r="E407" s="3" t="str">
        <f t="shared" si="1"/>
        <v>現存</v>
      </c>
      <c r="F407" s="3" t="s">
        <v>1273</v>
      </c>
      <c r="G407" s="6"/>
      <c r="H407" s="3" t="str">
        <f t="shared" si="2"/>
        <v>2,3,4,7,9,10,11,12</v>
      </c>
      <c r="I407" s="3" t="s">
        <v>709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156</v>
      </c>
      <c r="O407" s="3"/>
      <c r="P407" s="4" t="s">
        <v>1133</v>
      </c>
      <c r="Q407" s="3"/>
      <c r="R407" s="3"/>
      <c r="S407" s="6"/>
      <c r="T407" s="6"/>
      <c r="U407" s="6"/>
    </row>
    <row r="408" ht="15.75" customHeight="1">
      <c r="A408" s="4" t="s">
        <v>1274</v>
      </c>
      <c r="B408" s="4" t="s">
        <v>1275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1276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156</v>
      </c>
      <c r="O408" s="3"/>
      <c r="P408" s="4" t="s">
        <v>1133</v>
      </c>
      <c r="Q408" s="3"/>
      <c r="R408" s="3"/>
      <c r="S408" s="6"/>
      <c r="T408" s="6"/>
      <c r="U408" s="6"/>
    </row>
    <row r="409" ht="15.75" customHeight="1">
      <c r="A409" s="4" t="s">
        <v>1277</v>
      </c>
      <c r="B409" s="4" t="s">
        <v>1278</v>
      </c>
      <c r="C409" s="4" t="s">
        <v>39</v>
      </c>
      <c r="D409" s="6"/>
      <c r="E409" s="3" t="str">
        <f t="shared" si="1"/>
        <v>現存</v>
      </c>
      <c r="F409" s="3" t="s">
        <v>234</v>
      </c>
      <c r="G409" s="6"/>
      <c r="H409" s="3" t="str">
        <f t="shared" si="2"/>
        <v>2,12</v>
      </c>
      <c r="I409" s="3" t="s">
        <v>235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156</v>
      </c>
      <c r="O409" s="3"/>
      <c r="P409" s="4" t="s">
        <v>1133</v>
      </c>
      <c r="Q409" s="3"/>
      <c r="R409" s="3"/>
      <c r="S409" s="6"/>
      <c r="T409" s="6"/>
      <c r="U409" s="6"/>
    </row>
    <row r="410" ht="15.75" customHeight="1">
      <c r="A410" s="4" t="s">
        <v>1279</v>
      </c>
      <c r="B410" s="4" t="s">
        <v>1280</v>
      </c>
      <c r="C410" s="4" t="s">
        <v>39</v>
      </c>
      <c r="D410" s="6"/>
      <c r="E410" s="3" t="str">
        <f t="shared" si="1"/>
        <v>現存</v>
      </c>
      <c r="F410" s="3" t="s">
        <v>138</v>
      </c>
      <c r="G410" s="6"/>
      <c r="H410" s="3" t="str">
        <f t="shared" si="2"/>
        <v>3,4,5</v>
      </c>
      <c r="I410" s="3" t="s">
        <v>117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156</v>
      </c>
      <c r="O410" s="3"/>
      <c r="P410" s="4" t="s">
        <v>1133</v>
      </c>
      <c r="Q410" s="3"/>
      <c r="R410" s="3"/>
      <c r="S410" s="6"/>
      <c r="T410" s="6"/>
      <c r="U410" s="6"/>
    </row>
    <row r="411" ht="15.75" customHeight="1">
      <c r="A411" s="4" t="s">
        <v>1281</v>
      </c>
      <c r="B411" s="4" t="s">
        <v>1282</v>
      </c>
      <c r="C411" s="4" t="s">
        <v>39</v>
      </c>
      <c r="D411" s="6"/>
      <c r="E411" s="3" t="str">
        <f t="shared" si="1"/>
        <v>現存</v>
      </c>
      <c r="F411" s="3" t="s">
        <v>1283</v>
      </c>
      <c r="G411" s="6"/>
      <c r="H411" s="3" t="str">
        <f t="shared" si="2"/>
        <v>3,6,7,12</v>
      </c>
      <c r="I411" s="3" t="s">
        <v>1284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156</v>
      </c>
      <c r="O411" s="3"/>
      <c r="P411" s="4" t="s">
        <v>1133</v>
      </c>
      <c r="Q411" s="3"/>
      <c r="R411" s="3"/>
      <c r="S411" s="6"/>
      <c r="T411" s="6"/>
      <c r="U411" s="6"/>
    </row>
    <row r="412" ht="15.75" customHeight="1">
      <c r="A412" s="4" t="s">
        <v>1285</v>
      </c>
      <c r="B412" s="4" t="s">
        <v>1286</v>
      </c>
      <c r="C412" s="4" t="s">
        <v>39</v>
      </c>
      <c r="D412" s="8" t="s">
        <v>170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1287</v>
      </c>
      <c r="J412" s="3" t="s">
        <v>181</v>
      </c>
      <c r="K412" s="3">
        <v>1.0</v>
      </c>
      <c r="L412" s="3">
        <v>1.0</v>
      </c>
      <c r="M412" s="9" t="s">
        <v>236</v>
      </c>
      <c r="N412" s="3" t="s">
        <v>156</v>
      </c>
      <c r="O412" s="3"/>
      <c r="P412" s="4" t="s">
        <v>1133</v>
      </c>
      <c r="Q412" s="3"/>
      <c r="R412" s="3"/>
      <c r="S412" s="6"/>
      <c r="T412" s="6"/>
      <c r="U412" s="6"/>
    </row>
    <row r="413" ht="15.75" customHeight="1">
      <c r="A413" s="4" t="s">
        <v>1288</v>
      </c>
      <c r="B413" s="4" t="s">
        <v>1289</v>
      </c>
      <c r="C413" s="4" t="s">
        <v>39</v>
      </c>
      <c r="D413" s="6"/>
      <c r="E413" s="3" t="str">
        <f t="shared" si="1"/>
        <v>現存</v>
      </c>
      <c r="F413" s="3" t="s">
        <v>138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1133</v>
      </c>
      <c r="Q413" s="3"/>
      <c r="R413" s="3"/>
      <c r="S413" s="6"/>
      <c r="T413" s="6"/>
      <c r="U413" s="6"/>
    </row>
    <row r="414" ht="15.75" customHeight="1">
      <c r="A414" s="4" t="s">
        <v>1290</v>
      </c>
      <c r="B414" s="4" t="s">
        <v>1291</v>
      </c>
      <c r="C414" s="4" t="s">
        <v>39</v>
      </c>
      <c r="D414" s="6"/>
      <c r="E414" s="3" t="str">
        <f t="shared" si="1"/>
        <v>現存</v>
      </c>
      <c r="F414" s="3" t="s">
        <v>1292</v>
      </c>
      <c r="G414" s="6"/>
      <c r="H414" s="3" t="str">
        <f t="shared" si="2"/>
        <v>3,4,6,11,12</v>
      </c>
      <c r="I414" s="3" t="s">
        <v>709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156</v>
      </c>
      <c r="O414" s="3"/>
      <c r="P414" s="4" t="s">
        <v>1133</v>
      </c>
      <c r="Q414" s="3"/>
      <c r="R414" s="3"/>
      <c r="S414" s="6"/>
      <c r="T414" s="6"/>
      <c r="U414" s="6"/>
    </row>
    <row r="415" ht="15.75" customHeight="1">
      <c r="A415" s="4" t="s">
        <v>1293</v>
      </c>
      <c r="B415" s="4" t="s">
        <v>1294</v>
      </c>
      <c r="C415" s="4" t="s">
        <v>39</v>
      </c>
      <c r="D415" s="8" t="s">
        <v>170</v>
      </c>
      <c r="E415" s="3" t="str">
        <f t="shared" si="1"/>
        <v>近年未見</v>
      </c>
      <c r="F415" s="3" t="s">
        <v>1295</v>
      </c>
      <c r="G415" s="6"/>
      <c r="H415" s="3" t="str">
        <f t="shared" si="2"/>
        <v>3,4,6,7,9</v>
      </c>
      <c r="I415" s="3" t="s">
        <v>322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156</v>
      </c>
      <c r="O415" s="3"/>
      <c r="P415" s="4" t="s">
        <v>1133</v>
      </c>
      <c r="Q415" s="3"/>
      <c r="R415" s="3"/>
      <c r="S415" s="6"/>
      <c r="T415" s="6"/>
      <c r="U415" s="6"/>
    </row>
    <row r="416" ht="15.75" customHeight="1">
      <c r="A416" s="4" t="s">
        <v>1296</v>
      </c>
      <c r="B416" s="4" t="s">
        <v>1297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1298</v>
      </c>
      <c r="J416" s="3" t="s">
        <v>181</v>
      </c>
      <c r="K416" s="3">
        <v>1.0</v>
      </c>
      <c r="L416" s="3">
        <v>1.0</v>
      </c>
      <c r="M416" s="4" t="s">
        <v>43</v>
      </c>
      <c r="N416" s="3" t="s">
        <v>156</v>
      </c>
      <c r="O416" s="3"/>
      <c r="P416" s="4" t="s">
        <v>1133</v>
      </c>
      <c r="Q416" s="3"/>
      <c r="R416" s="3"/>
      <c r="S416" s="6"/>
      <c r="T416" s="6"/>
      <c r="U416" s="6"/>
    </row>
    <row r="417" ht="15.75" customHeight="1">
      <c r="A417" s="4" t="s">
        <v>1299</v>
      </c>
      <c r="B417" s="4" t="s">
        <v>1300</v>
      </c>
      <c r="C417" s="4" t="s">
        <v>39</v>
      </c>
      <c r="D417" s="6"/>
      <c r="E417" s="3" t="str">
        <f t="shared" si="1"/>
        <v>現存</v>
      </c>
      <c r="F417" s="3" t="s">
        <v>116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156</v>
      </c>
      <c r="O417" s="3"/>
      <c r="P417" s="4" t="s">
        <v>1133</v>
      </c>
      <c r="Q417" s="3"/>
      <c r="R417" s="3"/>
      <c r="S417" s="6"/>
      <c r="T417" s="6"/>
      <c r="U417" s="6"/>
    </row>
    <row r="418" ht="15.75" customHeight="1">
      <c r="A418" s="4" t="s">
        <v>1301</v>
      </c>
      <c r="B418" s="4" t="s">
        <v>1302</v>
      </c>
      <c r="C418" s="4" t="s">
        <v>39</v>
      </c>
      <c r="D418" s="6"/>
      <c r="E418" s="3" t="str">
        <f t="shared" si="1"/>
        <v>現存</v>
      </c>
      <c r="F418" s="3" t="s">
        <v>116</v>
      </c>
      <c r="G418" s="6"/>
      <c r="H418" s="3" t="str">
        <f t="shared" si="2"/>
        <v>3,4</v>
      </c>
      <c r="I418" s="3" t="s">
        <v>139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1303</v>
      </c>
      <c r="O418" s="3"/>
      <c r="P418" s="4" t="s">
        <v>1133</v>
      </c>
      <c r="Q418" s="3"/>
      <c r="R418" s="3"/>
      <c r="S418" s="6"/>
      <c r="T418" s="6"/>
      <c r="U418" s="6"/>
    </row>
    <row r="419" ht="15.75" customHeight="1">
      <c r="A419" s="4" t="s">
        <v>1304</v>
      </c>
      <c r="B419" s="4" t="s">
        <v>1305</v>
      </c>
      <c r="C419" s="4" t="s">
        <v>39</v>
      </c>
      <c r="D419" s="6"/>
      <c r="E419" s="3" t="str">
        <f t="shared" si="1"/>
        <v>現存</v>
      </c>
      <c r="F419" s="3" t="s">
        <v>1306</v>
      </c>
      <c r="G419" s="6"/>
      <c r="H419" s="3" t="str">
        <f t="shared" si="2"/>
        <v>3,4,12</v>
      </c>
      <c r="I419" s="3" t="s">
        <v>426</v>
      </c>
      <c r="J419" s="3" t="s">
        <v>125</v>
      </c>
      <c r="K419" s="3">
        <v>5.0</v>
      </c>
      <c r="L419" s="3">
        <v>1.0</v>
      </c>
      <c r="M419" s="4" t="s">
        <v>43</v>
      </c>
      <c r="N419" s="3" t="s">
        <v>156</v>
      </c>
      <c r="O419" s="3"/>
      <c r="P419" s="4" t="s">
        <v>1133</v>
      </c>
      <c r="Q419" s="3"/>
      <c r="R419" s="3"/>
      <c r="S419" s="6"/>
      <c r="T419" s="6"/>
      <c r="U419" s="6"/>
    </row>
    <row r="420" ht="15.75" customHeight="1">
      <c r="A420" s="4" t="s">
        <v>1307</v>
      </c>
      <c r="B420" s="4" t="s">
        <v>1308</v>
      </c>
      <c r="C420" s="4" t="s">
        <v>39</v>
      </c>
      <c r="D420" s="6"/>
      <c r="E420" s="3" t="str">
        <f t="shared" si="1"/>
        <v>現存</v>
      </c>
      <c r="F420" s="3" t="s">
        <v>116</v>
      </c>
      <c r="G420" s="6"/>
      <c r="H420" s="3" t="str">
        <f t="shared" si="2"/>
        <v>3,4</v>
      </c>
      <c r="I420" s="3" t="s">
        <v>426</v>
      </c>
      <c r="J420" s="3" t="s">
        <v>135</v>
      </c>
      <c r="K420" s="3">
        <v>7.0</v>
      </c>
      <c r="L420" s="3">
        <v>1.0</v>
      </c>
      <c r="M420" s="4" t="s">
        <v>43</v>
      </c>
      <c r="N420" s="3" t="s">
        <v>156</v>
      </c>
      <c r="O420" s="3"/>
      <c r="P420" s="4" t="s">
        <v>1133</v>
      </c>
      <c r="Q420" s="3"/>
      <c r="R420" s="3"/>
      <c r="S420" s="6"/>
      <c r="T420" s="6"/>
      <c r="U420" s="6"/>
    </row>
    <row r="421" ht="15.75" customHeight="1">
      <c r="A421" s="4" t="s">
        <v>1309</v>
      </c>
      <c r="B421" s="4" t="s">
        <v>1310</v>
      </c>
      <c r="C421" s="4" t="s">
        <v>39</v>
      </c>
      <c r="D421" s="6"/>
      <c r="E421" s="3" t="str">
        <f t="shared" si="1"/>
        <v>現存</v>
      </c>
      <c r="F421" s="3" t="s">
        <v>938</v>
      </c>
      <c r="G421" s="6"/>
      <c r="H421" s="3" t="str">
        <f t="shared" si="2"/>
        <v>3,5,12</v>
      </c>
      <c r="I421" s="3" t="s">
        <v>107</v>
      </c>
      <c r="J421" s="3" t="s">
        <v>125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1133</v>
      </c>
      <c r="Q421" s="3"/>
      <c r="R421" s="3"/>
      <c r="S421" s="6"/>
      <c r="T421" s="6"/>
      <c r="U421" s="6"/>
    </row>
    <row r="422" ht="15.75" customHeight="1">
      <c r="A422" s="4" t="s">
        <v>1311</v>
      </c>
      <c r="B422" s="4" t="s">
        <v>1312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1313</v>
      </c>
      <c r="J422" s="3" t="s">
        <v>181</v>
      </c>
      <c r="K422" s="3">
        <v>1.0</v>
      </c>
      <c r="L422" s="3">
        <v>1.0</v>
      </c>
      <c r="M422" s="4" t="s">
        <v>43</v>
      </c>
      <c r="N422" s="3" t="s">
        <v>156</v>
      </c>
      <c r="O422" s="3"/>
      <c r="P422" s="4" t="s">
        <v>1133</v>
      </c>
      <c r="Q422" s="3"/>
      <c r="R422" s="3"/>
      <c r="S422" s="6"/>
      <c r="T422" s="6"/>
      <c r="U422" s="6"/>
    </row>
    <row r="423" ht="15.75" customHeight="1">
      <c r="A423" s="4" t="s">
        <v>1314</v>
      </c>
      <c r="B423" s="9" t="s">
        <v>1315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135</v>
      </c>
      <c r="K423" s="3">
        <v>1.0</v>
      </c>
      <c r="L423" s="3">
        <v>1.0</v>
      </c>
      <c r="M423" s="4" t="s">
        <v>43</v>
      </c>
      <c r="N423" s="3" t="s">
        <v>156</v>
      </c>
      <c r="O423" s="3"/>
      <c r="P423" s="4" t="s">
        <v>1133</v>
      </c>
      <c r="Q423" s="3"/>
      <c r="R423" s="3"/>
      <c r="S423" s="6"/>
      <c r="T423" s="6"/>
      <c r="U423" s="6"/>
    </row>
    <row r="424" ht="15.75" customHeight="1">
      <c r="A424" s="4" t="s">
        <v>1316</v>
      </c>
      <c r="B424" s="4" t="s">
        <v>1317</v>
      </c>
      <c r="C424" s="4" t="s">
        <v>39</v>
      </c>
      <c r="D424" s="6"/>
      <c r="E424" s="3" t="str">
        <f t="shared" si="1"/>
        <v>現存</v>
      </c>
      <c r="F424" s="3" t="s">
        <v>116</v>
      </c>
      <c r="G424" s="6"/>
      <c r="H424" s="3" t="str">
        <f t="shared" si="2"/>
        <v>3,4</v>
      </c>
      <c r="I424" s="3" t="s">
        <v>560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156</v>
      </c>
      <c r="O424" s="3"/>
      <c r="P424" s="4" t="s">
        <v>1133</v>
      </c>
      <c r="Q424" s="3"/>
      <c r="R424" s="3"/>
      <c r="S424" s="6"/>
      <c r="T424" s="6"/>
      <c r="U424" s="6"/>
    </row>
    <row r="425" ht="15.75" customHeight="1">
      <c r="A425" s="4" t="s">
        <v>1318</v>
      </c>
      <c r="B425" s="4" t="s">
        <v>1319</v>
      </c>
      <c r="C425" s="4" t="s">
        <v>39</v>
      </c>
      <c r="D425" s="6"/>
      <c r="E425" s="3" t="str">
        <f t="shared" si="1"/>
        <v>現存</v>
      </c>
      <c r="F425" s="3" t="s">
        <v>425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156</v>
      </c>
      <c r="O425" s="3"/>
      <c r="P425" s="4" t="s">
        <v>1133</v>
      </c>
      <c r="Q425" s="3"/>
      <c r="R425" s="3"/>
      <c r="S425" s="6"/>
      <c r="T425" s="6"/>
      <c r="U425" s="6"/>
    </row>
    <row r="426" ht="15.75" customHeight="1">
      <c r="A426" s="4" t="s">
        <v>1320</v>
      </c>
      <c r="B426" s="4" t="s">
        <v>1321</v>
      </c>
      <c r="C426" s="4" t="s">
        <v>39</v>
      </c>
      <c r="D426" s="6"/>
      <c r="E426" s="3" t="str">
        <f t="shared" si="1"/>
        <v>現存</v>
      </c>
      <c r="F426" s="3" t="s">
        <v>418</v>
      </c>
      <c r="G426" s="6"/>
      <c r="H426" s="3" t="str">
        <f t="shared" si="2"/>
        <v>4,6</v>
      </c>
      <c r="I426" s="3" t="s">
        <v>426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156</v>
      </c>
      <c r="O426" s="3"/>
      <c r="P426" s="4" t="s">
        <v>1133</v>
      </c>
      <c r="Q426" s="3"/>
      <c r="R426" s="3"/>
      <c r="S426" s="6"/>
      <c r="T426" s="6"/>
      <c r="U426" s="6"/>
    </row>
    <row r="427" ht="15.75" customHeight="1">
      <c r="A427" s="4" t="s">
        <v>1322</v>
      </c>
      <c r="B427" s="4" t="s">
        <v>1323</v>
      </c>
      <c r="C427" s="4" t="s">
        <v>39</v>
      </c>
      <c r="D427" s="6"/>
      <c r="E427" s="3" t="str">
        <f t="shared" si="1"/>
        <v>現存</v>
      </c>
      <c r="F427" s="3" t="s">
        <v>1324</v>
      </c>
      <c r="G427" s="6"/>
      <c r="H427" s="3" t="str">
        <f t="shared" si="2"/>
        <v>4,10,12</v>
      </c>
      <c r="I427" s="3" t="s">
        <v>426</v>
      </c>
      <c r="J427" s="3" t="s">
        <v>125</v>
      </c>
      <c r="K427" s="3">
        <v>4.0</v>
      </c>
      <c r="L427" s="3">
        <v>1.0</v>
      </c>
      <c r="M427" s="4" t="s">
        <v>43</v>
      </c>
      <c r="N427" s="3" t="s">
        <v>156</v>
      </c>
      <c r="O427" s="3"/>
      <c r="P427" s="4" t="s">
        <v>1133</v>
      </c>
      <c r="Q427" s="3"/>
      <c r="R427" s="3"/>
      <c r="S427" s="6"/>
      <c r="T427" s="6"/>
      <c r="U427" s="6"/>
    </row>
    <row r="428" ht="15.75" customHeight="1">
      <c r="A428" s="4" t="s">
        <v>1325</v>
      </c>
      <c r="B428" s="4" t="s">
        <v>1326</v>
      </c>
      <c r="C428" s="4" t="s">
        <v>39</v>
      </c>
      <c r="D428" s="6"/>
      <c r="E428" s="3" t="str">
        <f t="shared" si="1"/>
        <v>現存</v>
      </c>
      <c r="F428" s="3" t="s">
        <v>270</v>
      </c>
      <c r="G428" s="6"/>
      <c r="H428" s="3" t="str">
        <f t="shared" si="2"/>
        <v>4,5,6,7,8,9,10</v>
      </c>
      <c r="I428" s="3" t="s">
        <v>303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156</v>
      </c>
      <c r="O428" s="3"/>
      <c r="P428" s="4" t="s">
        <v>1133</v>
      </c>
      <c r="Q428" s="3"/>
      <c r="R428" s="3"/>
      <c r="S428" s="6"/>
      <c r="T428" s="6"/>
      <c r="U428" s="6"/>
    </row>
    <row r="429" ht="15.75" customHeight="1">
      <c r="A429" s="4" t="s">
        <v>1327</v>
      </c>
      <c r="B429" s="4" t="s">
        <v>1328</v>
      </c>
      <c r="C429" s="4" t="s">
        <v>39</v>
      </c>
      <c r="D429" s="6"/>
      <c r="E429" s="3" t="str">
        <f t="shared" si="1"/>
        <v>現存</v>
      </c>
      <c r="F429" s="3" t="s">
        <v>1329</v>
      </c>
      <c r="G429" s="6"/>
      <c r="H429" s="3" t="str">
        <f t="shared" si="2"/>
        <v>4,5,9,10,11</v>
      </c>
      <c r="I429" s="3" t="s">
        <v>1270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156</v>
      </c>
      <c r="O429" s="3"/>
      <c r="P429" s="4" t="s">
        <v>1133</v>
      </c>
      <c r="Q429" s="3"/>
      <c r="R429" s="3"/>
      <c r="S429" s="6"/>
      <c r="T429" s="6"/>
      <c r="U429" s="6"/>
    </row>
    <row r="430" ht="15.75" customHeight="1">
      <c r="A430" s="4" t="s">
        <v>1330</v>
      </c>
      <c r="B430" s="4" t="s">
        <v>1331</v>
      </c>
      <c r="C430" s="4" t="s">
        <v>39</v>
      </c>
      <c r="D430" s="6"/>
      <c r="E430" s="3" t="str">
        <f t="shared" si="1"/>
        <v>現存</v>
      </c>
      <c r="F430" s="3" t="s">
        <v>156</v>
      </c>
      <c r="G430" s="6"/>
      <c r="H430" s="3" t="str">
        <f t="shared" si="2"/>
        <v>4</v>
      </c>
      <c r="I430" s="3" t="s">
        <v>426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156</v>
      </c>
      <c r="O430" s="3"/>
      <c r="P430" s="4" t="s">
        <v>1133</v>
      </c>
      <c r="Q430" s="3"/>
      <c r="R430" s="3"/>
      <c r="S430" s="6"/>
      <c r="T430" s="6"/>
      <c r="U430" s="6"/>
    </row>
    <row r="431" ht="15.75" customHeight="1">
      <c r="A431" s="4" t="s">
        <v>1332</v>
      </c>
      <c r="B431" s="4" t="s">
        <v>1333</v>
      </c>
      <c r="C431" s="4" t="s">
        <v>39</v>
      </c>
      <c r="D431" s="8" t="s">
        <v>170</v>
      </c>
      <c r="E431" s="3" t="str">
        <f t="shared" si="1"/>
        <v>近年未見</v>
      </c>
      <c r="F431" s="3" t="s">
        <v>148</v>
      </c>
      <c r="G431" s="6"/>
      <c r="H431" s="3" t="str">
        <f t="shared" si="2"/>
        <v>4,5</v>
      </c>
      <c r="I431" s="3" t="s">
        <v>149</v>
      </c>
      <c r="J431" s="3" t="s">
        <v>125</v>
      </c>
      <c r="K431" s="3">
        <v>2.0</v>
      </c>
      <c r="L431" s="3">
        <v>1.0</v>
      </c>
      <c r="M431" s="9" t="s">
        <v>236</v>
      </c>
      <c r="N431" s="3" t="s">
        <v>130</v>
      </c>
      <c r="O431" s="3"/>
      <c r="P431" s="4" t="s">
        <v>1133</v>
      </c>
      <c r="Q431" s="3"/>
      <c r="R431" s="3"/>
      <c r="S431" s="6"/>
      <c r="T431" s="6"/>
      <c r="U431" s="6"/>
    </row>
    <row r="432" ht="15.75" customHeight="1">
      <c r="A432" s="4" t="s">
        <v>1334</v>
      </c>
      <c r="B432" s="9" t="s">
        <v>1335</v>
      </c>
      <c r="C432" s="4" t="s">
        <v>39</v>
      </c>
      <c r="D432" s="6"/>
      <c r="E432" s="3" t="str">
        <f t="shared" si="1"/>
        <v>現存</v>
      </c>
      <c r="F432" s="3" t="s">
        <v>156</v>
      </c>
      <c r="G432" s="6"/>
      <c r="H432" s="3" t="str">
        <f t="shared" si="2"/>
        <v>4</v>
      </c>
      <c r="I432" s="3" t="s">
        <v>426</v>
      </c>
      <c r="J432" s="3" t="s">
        <v>135</v>
      </c>
      <c r="K432" s="3">
        <v>2.0</v>
      </c>
      <c r="L432" s="3">
        <v>1.0</v>
      </c>
      <c r="M432" s="4" t="s">
        <v>43</v>
      </c>
      <c r="N432" s="3" t="s">
        <v>156</v>
      </c>
      <c r="O432" s="3"/>
      <c r="P432" s="4" t="s">
        <v>1133</v>
      </c>
      <c r="Q432" s="3"/>
      <c r="R432" s="3"/>
      <c r="S432" s="6"/>
      <c r="T432" s="6"/>
      <c r="U432" s="6"/>
    </row>
    <row r="433" ht="15.75" customHeight="1">
      <c r="A433" s="4" t="s">
        <v>1336</v>
      </c>
      <c r="B433" s="4" t="s">
        <v>1337</v>
      </c>
      <c r="C433" s="4" t="s">
        <v>39</v>
      </c>
      <c r="D433" s="6"/>
      <c r="E433" s="3" t="str">
        <f t="shared" si="1"/>
        <v>現存</v>
      </c>
      <c r="F433" s="3" t="s">
        <v>156</v>
      </c>
      <c r="G433" s="6"/>
      <c r="H433" s="3" t="str">
        <f t="shared" si="2"/>
        <v>4</v>
      </c>
      <c r="I433" s="3" t="s">
        <v>142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156</v>
      </c>
      <c r="O433" s="3"/>
      <c r="P433" s="4" t="s">
        <v>1133</v>
      </c>
      <c r="Q433" s="3"/>
      <c r="R433" s="3"/>
      <c r="S433" s="6"/>
      <c r="T433" s="6"/>
      <c r="U433" s="6"/>
    </row>
    <row r="434" ht="15.75" customHeight="1">
      <c r="A434" s="4" t="s">
        <v>1338</v>
      </c>
      <c r="B434" s="9" t="s">
        <v>1339</v>
      </c>
      <c r="C434" s="4" t="s">
        <v>39</v>
      </c>
      <c r="D434" s="6"/>
      <c r="E434" s="3" t="str">
        <f t="shared" si="1"/>
        <v>現存</v>
      </c>
      <c r="F434" s="3" t="s">
        <v>148</v>
      </c>
      <c r="G434" s="6"/>
      <c r="H434" s="3" t="str">
        <f t="shared" si="2"/>
        <v>4,5</v>
      </c>
      <c r="I434" s="3" t="s">
        <v>1340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156</v>
      </c>
      <c r="O434" s="3"/>
      <c r="P434" s="4" t="s">
        <v>1133</v>
      </c>
      <c r="Q434" s="3"/>
      <c r="R434" s="3"/>
      <c r="S434" s="6"/>
      <c r="T434" s="6"/>
      <c r="U434" s="6"/>
    </row>
    <row r="435" ht="15.75" customHeight="1">
      <c r="A435" s="4" t="s">
        <v>1341</v>
      </c>
      <c r="B435" s="4" t="s">
        <v>1342</v>
      </c>
      <c r="C435" s="4" t="s">
        <v>39</v>
      </c>
      <c r="D435" s="6"/>
      <c r="E435" s="3" t="str">
        <f t="shared" si="1"/>
        <v>現存</v>
      </c>
      <c r="F435" s="3" t="s">
        <v>156</v>
      </c>
      <c r="G435" s="6"/>
      <c r="H435" s="3" t="str">
        <f t="shared" si="2"/>
        <v>4</v>
      </c>
      <c r="I435" s="3" t="s">
        <v>426</v>
      </c>
      <c r="J435" s="3" t="s">
        <v>135</v>
      </c>
      <c r="K435" s="3">
        <v>1.0</v>
      </c>
      <c r="L435" s="3">
        <v>0.0</v>
      </c>
      <c r="M435" s="4" t="s">
        <v>236</v>
      </c>
      <c r="N435" s="3"/>
      <c r="O435" s="3"/>
      <c r="P435" s="4" t="s">
        <v>1133</v>
      </c>
      <c r="Q435" s="3"/>
      <c r="R435" s="3"/>
      <c r="S435" s="6"/>
      <c r="T435" s="6"/>
      <c r="U435" s="6"/>
    </row>
    <row r="436" ht="15.75" customHeight="1">
      <c r="A436" s="4" t="s">
        <v>1343</v>
      </c>
      <c r="B436" s="4" t="s">
        <v>1344</v>
      </c>
      <c r="C436" s="4" t="s">
        <v>39</v>
      </c>
      <c r="D436" s="6"/>
      <c r="E436" s="3" t="str">
        <f t="shared" si="1"/>
        <v>現存</v>
      </c>
      <c r="F436" s="3" t="s">
        <v>156</v>
      </c>
      <c r="G436" s="6"/>
      <c r="H436" s="3" t="str">
        <f t="shared" si="2"/>
        <v>4</v>
      </c>
      <c r="I436" s="3" t="s">
        <v>726</v>
      </c>
      <c r="J436" s="3" t="s">
        <v>42</v>
      </c>
      <c r="K436" s="3">
        <v>1.0</v>
      </c>
      <c r="L436" s="3">
        <v>1.0</v>
      </c>
      <c r="M436" s="9" t="s">
        <v>236</v>
      </c>
      <c r="N436" s="3" t="s">
        <v>156</v>
      </c>
      <c r="O436" s="3"/>
      <c r="P436" s="4" t="s">
        <v>1133</v>
      </c>
      <c r="Q436" s="3"/>
      <c r="R436" s="3"/>
      <c r="S436" s="6"/>
      <c r="T436" s="6"/>
      <c r="U436" s="6"/>
    </row>
    <row r="437" ht="15.75" customHeight="1">
      <c r="A437" s="4" t="s">
        <v>1345</v>
      </c>
      <c r="B437" s="4" t="s">
        <v>1339</v>
      </c>
      <c r="C437" s="4" t="s">
        <v>39</v>
      </c>
      <c r="D437" s="8" t="s">
        <v>381</v>
      </c>
      <c r="E437" s="3" t="str">
        <f t="shared" si="1"/>
        <v>不收錄</v>
      </c>
      <c r="F437" s="3" t="s">
        <v>450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156</v>
      </c>
      <c r="O437" s="3"/>
      <c r="P437" s="4" t="s">
        <v>1133</v>
      </c>
      <c r="Q437" s="3"/>
      <c r="R437" s="3"/>
      <c r="S437" s="6"/>
      <c r="T437" s="6"/>
      <c r="U437" s="6"/>
    </row>
    <row r="438" ht="15.75" customHeight="1">
      <c r="A438" s="4" t="s">
        <v>1346</v>
      </c>
      <c r="B438" s="4" t="s">
        <v>1347</v>
      </c>
      <c r="C438" s="4" t="s">
        <v>39</v>
      </c>
      <c r="D438" s="6"/>
      <c r="E438" s="3" t="str">
        <f t="shared" si="1"/>
        <v>現存</v>
      </c>
      <c r="F438" s="3" t="s">
        <v>1348</v>
      </c>
      <c r="G438" s="6"/>
      <c r="H438" s="3" t="str">
        <f t="shared" si="2"/>
        <v>5,8,9</v>
      </c>
      <c r="I438" s="3" t="s">
        <v>145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1133</v>
      </c>
      <c r="Q438" s="3"/>
      <c r="R438" s="3"/>
      <c r="S438" s="6"/>
      <c r="T438" s="6"/>
      <c r="U438" s="6"/>
    </row>
    <row r="439" ht="15.75" customHeight="1">
      <c r="A439" s="4" t="s">
        <v>1349</v>
      </c>
      <c r="B439" s="4" t="s">
        <v>1350</v>
      </c>
      <c r="C439" s="4" t="s">
        <v>39</v>
      </c>
      <c r="D439" s="6"/>
      <c r="E439" s="3" t="str">
        <f t="shared" si="1"/>
        <v>現存</v>
      </c>
      <c r="F439" s="3" t="s">
        <v>450</v>
      </c>
      <c r="G439" s="6"/>
      <c r="H439" s="3" t="str">
        <f t="shared" si="2"/>
        <v>5</v>
      </c>
      <c r="I439" s="3" t="s">
        <v>149</v>
      </c>
      <c r="J439" s="3" t="s">
        <v>135</v>
      </c>
      <c r="K439" s="3">
        <v>1.0</v>
      </c>
      <c r="L439" s="3">
        <v>0.0</v>
      </c>
      <c r="M439" s="4" t="s">
        <v>236</v>
      </c>
      <c r="N439" s="3"/>
      <c r="O439" s="3"/>
      <c r="P439" s="4" t="s">
        <v>1133</v>
      </c>
      <c r="Q439" s="3"/>
      <c r="R439" s="3"/>
      <c r="S439" s="6"/>
      <c r="T439" s="6"/>
      <c r="U439" s="6"/>
    </row>
    <row r="440" ht="15.75" customHeight="1">
      <c r="A440" s="4" t="s">
        <v>1351</v>
      </c>
      <c r="B440" s="4" t="s">
        <v>1352</v>
      </c>
      <c r="C440" s="4" t="s">
        <v>39</v>
      </c>
      <c r="D440" s="6"/>
      <c r="E440" s="3" t="str">
        <f t="shared" si="1"/>
        <v>現存</v>
      </c>
      <c r="F440" s="3" t="s">
        <v>450</v>
      </c>
      <c r="G440" s="6"/>
      <c r="H440" s="3" t="str">
        <f t="shared" si="2"/>
        <v>5</v>
      </c>
      <c r="I440" s="3" t="s">
        <v>543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156</v>
      </c>
      <c r="O440" s="3"/>
      <c r="P440" s="4" t="s">
        <v>1133</v>
      </c>
      <c r="Q440" s="3"/>
      <c r="R440" s="3"/>
      <c r="S440" s="6"/>
      <c r="T440" s="6"/>
      <c r="U440" s="6"/>
    </row>
    <row r="441" ht="15.75" customHeight="1">
      <c r="A441" s="4" t="s">
        <v>1353</v>
      </c>
      <c r="B441" s="4" t="s">
        <v>1354</v>
      </c>
      <c r="C441" s="4" t="s">
        <v>39</v>
      </c>
      <c r="D441" s="6"/>
      <c r="E441" s="3" t="str">
        <f t="shared" si="1"/>
        <v>現存</v>
      </c>
      <c r="F441" s="3" t="s">
        <v>1355</v>
      </c>
      <c r="G441" s="6"/>
      <c r="H441" s="3" t="str">
        <f t="shared" si="2"/>
        <v>5,7,9,10,11</v>
      </c>
      <c r="I441" s="3" t="s">
        <v>1284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156</v>
      </c>
      <c r="O441" s="3"/>
      <c r="P441" s="4" t="s">
        <v>1133</v>
      </c>
      <c r="Q441" s="3"/>
      <c r="R441" s="3"/>
      <c r="S441" s="6"/>
      <c r="T441" s="6"/>
      <c r="U441" s="6"/>
    </row>
    <row r="442" ht="15.75" customHeight="1">
      <c r="A442" s="4" t="s">
        <v>1356</v>
      </c>
      <c r="B442" s="4" t="s">
        <v>1357</v>
      </c>
      <c r="C442" s="4" t="s">
        <v>39</v>
      </c>
      <c r="D442" s="6"/>
      <c r="E442" s="3" t="str">
        <f t="shared" si="1"/>
        <v>現存</v>
      </c>
      <c r="F442" s="3" t="s">
        <v>1358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156</v>
      </c>
      <c r="O442" s="3"/>
      <c r="P442" s="4" t="s">
        <v>1133</v>
      </c>
      <c r="Q442" s="3"/>
      <c r="R442" s="3"/>
      <c r="S442" s="6"/>
      <c r="T442" s="6"/>
      <c r="U442" s="6"/>
    </row>
    <row r="443" ht="15.75" customHeight="1">
      <c r="A443" s="4" t="s">
        <v>1359</v>
      </c>
      <c r="B443" s="4" t="s">
        <v>1360</v>
      </c>
      <c r="C443" s="4" t="s">
        <v>39</v>
      </c>
      <c r="D443" s="6"/>
      <c r="E443" s="3" t="str">
        <f t="shared" si="1"/>
        <v>現存</v>
      </c>
      <c r="F443" s="3" t="s">
        <v>1361</v>
      </c>
      <c r="G443" s="6"/>
      <c r="H443" s="3" t="str">
        <f t="shared" si="2"/>
        <v>6,7,12</v>
      </c>
      <c r="I443" s="3" t="s">
        <v>1207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156</v>
      </c>
      <c r="O443" s="3"/>
      <c r="P443" s="4" t="s">
        <v>1133</v>
      </c>
      <c r="Q443" s="3"/>
      <c r="R443" s="3"/>
      <c r="S443" s="6"/>
      <c r="T443" s="6"/>
      <c r="U443" s="6"/>
    </row>
    <row r="444" ht="15.75" customHeight="1">
      <c r="A444" s="4" t="s">
        <v>1362</v>
      </c>
      <c r="B444" s="9" t="s">
        <v>1363</v>
      </c>
      <c r="C444" s="4" t="s">
        <v>39</v>
      </c>
      <c r="D444" s="6"/>
      <c r="E444" s="3" t="str">
        <f t="shared" si="1"/>
        <v>現存</v>
      </c>
      <c r="F444" s="3" t="s">
        <v>310</v>
      </c>
      <c r="G444" s="6"/>
      <c r="H444" s="3" t="str">
        <f t="shared" si="2"/>
        <v>6</v>
      </c>
      <c r="I444" s="3" t="s">
        <v>472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156</v>
      </c>
      <c r="O444" s="3"/>
      <c r="P444" s="4" t="s">
        <v>1133</v>
      </c>
      <c r="Q444" s="3"/>
      <c r="R444" s="3"/>
      <c r="S444" s="6"/>
      <c r="T444" s="6"/>
      <c r="U444" s="6"/>
    </row>
    <row r="445" ht="15.75" customHeight="1">
      <c r="A445" s="4" t="s">
        <v>1364</v>
      </c>
      <c r="B445" s="4" t="s">
        <v>1365</v>
      </c>
      <c r="C445" s="4" t="s">
        <v>39</v>
      </c>
      <c r="D445" s="6"/>
      <c r="E445" s="3" t="str">
        <f t="shared" si="1"/>
        <v>現存</v>
      </c>
      <c r="F445" s="3" t="s">
        <v>595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156</v>
      </c>
      <c r="O445" s="3"/>
      <c r="P445" s="4" t="s">
        <v>1133</v>
      </c>
      <c r="Q445" s="3"/>
      <c r="R445" s="3"/>
      <c r="S445" s="6"/>
      <c r="T445" s="6"/>
      <c r="U445" s="6"/>
    </row>
    <row r="446" ht="15.75" customHeight="1">
      <c r="A446" s="4" t="s">
        <v>1366</v>
      </c>
      <c r="B446" s="4" t="s">
        <v>1367</v>
      </c>
      <c r="C446" s="4" t="s">
        <v>39</v>
      </c>
      <c r="D446" s="6"/>
      <c r="E446" s="3" t="str">
        <f t="shared" si="1"/>
        <v>現存</v>
      </c>
      <c r="F446" s="3" t="s">
        <v>314</v>
      </c>
      <c r="G446" s="6"/>
      <c r="H446" s="3" t="str">
        <f t="shared" si="2"/>
        <v>7</v>
      </c>
      <c r="I446" s="3" t="s">
        <v>1368</v>
      </c>
      <c r="J446" s="3" t="s">
        <v>181</v>
      </c>
      <c r="K446" s="3">
        <v>1.0</v>
      </c>
      <c r="L446" s="3">
        <v>1.0</v>
      </c>
      <c r="M446" s="4" t="s">
        <v>43</v>
      </c>
      <c r="N446" s="3" t="s">
        <v>156</v>
      </c>
      <c r="O446" s="3"/>
      <c r="P446" s="4" t="s">
        <v>1133</v>
      </c>
      <c r="Q446" s="3"/>
      <c r="R446" s="3"/>
      <c r="S446" s="6"/>
      <c r="T446" s="6"/>
      <c r="U446" s="6"/>
    </row>
    <row r="447" ht="15.75" customHeight="1">
      <c r="A447" s="4" t="s">
        <v>1369</v>
      </c>
      <c r="B447" s="4" t="s">
        <v>1370</v>
      </c>
      <c r="C447" s="4" t="s">
        <v>39</v>
      </c>
      <c r="D447" s="6"/>
      <c r="E447" s="3" t="str">
        <f t="shared" si="1"/>
        <v>現存</v>
      </c>
      <c r="F447" s="3" t="s">
        <v>1371</v>
      </c>
      <c r="G447" s="6"/>
      <c r="H447" s="3" t="str">
        <f t="shared" si="2"/>
        <v>8,12</v>
      </c>
      <c r="I447" s="3" t="s">
        <v>1372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156</v>
      </c>
      <c r="O447" s="3"/>
      <c r="P447" s="4" t="s">
        <v>1133</v>
      </c>
      <c r="Q447" s="3"/>
      <c r="R447" s="3"/>
      <c r="S447" s="6"/>
      <c r="T447" s="6"/>
      <c r="U447" s="6"/>
    </row>
    <row r="448" ht="15.75" customHeight="1">
      <c r="A448" s="4" t="s">
        <v>1373</v>
      </c>
      <c r="B448" s="9" t="s">
        <v>1374</v>
      </c>
      <c r="C448" s="4" t="s">
        <v>39</v>
      </c>
      <c r="D448" s="8" t="s">
        <v>381</v>
      </c>
      <c r="E448" s="3" t="str">
        <f t="shared" si="1"/>
        <v>不收錄</v>
      </c>
      <c r="F448" s="3" t="s">
        <v>179</v>
      </c>
      <c r="G448" s="6"/>
      <c r="H448" s="3" t="str">
        <f t="shared" si="2"/>
        <v>8</v>
      </c>
      <c r="I448" s="3" t="s">
        <v>1375</v>
      </c>
      <c r="J448" s="3" t="s">
        <v>893</v>
      </c>
      <c r="K448" s="3">
        <v>1.0</v>
      </c>
      <c r="L448" s="3">
        <v>1.0</v>
      </c>
      <c r="M448" s="9" t="s">
        <v>236</v>
      </c>
      <c r="N448" s="3" t="s">
        <v>156</v>
      </c>
      <c r="O448" s="3"/>
      <c r="P448" s="4" t="s">
        <v>1133</v>
      </c>
      <c r="Q448" s="3"/>
      <c r="R448" s="3"/>
      <c r="S448" s="6"/>
      <c r="T448" s="6"/>
      <c r="U448" s="6"/>
    </row>
    <row r="449" ht="15.75" customHeight="1">
      <c r="A449" s="4" t="s">
        <v>1376</v>
      </c>
      <c r="B449" s="4" t="s">
        <v>1377</v>
      </c>
      <c r="C449" s="4" t="s">
        <v>39</v>
      </c>
      <c r="D449" s="8" t="s">
        <v>170</v>
      </c>
      <c r="E449" s="3" t="str">
        <f t="shared" si="1"/>
        <v>近年未見</v>
      </c>
      <c r="F449" s="3" t="s">
        <v>179</v>
      </c>
      <c r="G449" s="6"/>
      <c r="H449" s="3" t="str">
        <f t="shared" si="2"/>
        <v>8</v>
      </c>
      <c r="I449" s="3" t="s">
        <v>1378</v>
      </c>
      <c r="J449" s="3" t="s">
        <v>42</v>
      </c>
      <c r="K449" s="3">
        <v>1.0</v>
      </c>
      <c r="L449" s="3">
        <v>1.0</v>
      </c>
      <c r="M449" s="9" t="s">
        <v>236</v>
      </c>
      <c r="N449" s="3" t="s">
        <v>156</v>
      </c>
      <c r="O449" s="3"/>
      <c r="P449" s="4" t="s">
        <v>1133</v>
      </c>
      <c r="Q449" s="3"/>
      <c r="R449" s="3"/>
      <c r="S449" s="6"/>
      <c r="T449" s="6"/>
      <c r="U449" s="6"/>
    </row>
    <row r="450" ht="15.75" customHeight="1">
      <c r="A450" s="4" t="s">
        <v>1379</v>
      </c>
      <c r="B450" s="4" t="s">
        <v>1380</v>
      </c>
      <c r="C450" s="4" t="s">
        <v>39</v>
      </c>
      <c r="D450" s="8" t="s">
        <v>170</v>
      </c>
      <c r="E450" s="3" t="str">
        <f t="shared" si="1"/>
        <v>近年未見</v>
      </c>
      <c r="F450" s="3" t="s">
        <v>179</v>
      </c>
      <c r="G450" s="6"/>
      <c r="H450" s="3" t="str">
        <f t="shared" si="2"/>
        <v>8</v>
      </c>
      <c r="I450" s="3" t="s">
        <v>1381</v>
      </c>
      <c r="J450" s="3" t="s">
        <v>181</v>
      </c>
      <c r="K450" s="3">
        <v>1.0</v>
      </c>
      <c r="L450" s="3">
        <v>1.0</v>
      </c>
      <c r="M450" s="9" t="s">
        <v>236</v>
      </c>
      <c r="N450" s="3" t="s">
        <v>156</v>
      </c>
      <c r="O450" s="3"/>
      <c r="P450" s="4" t="s">
        <v>1133</v>
      </c>
      <c r="Q450" s="3"/>
      <c r="R450" s="3"/>
      <c r="S450" s="6"/>
      <c r="T450" s="6"/>
      <c r="U450" s="6"/>
    </row>
    <row r="451" ht="15.75" customHeight="1">
      <c r="A451" s="4" t="s">
        <v>1382</v>
      </c>
      <c r="B451" s="4" t="s">
        <v>1383</v>
      </c>
      <c r="C451" s="4" t="s">
        <v>39</v>
      </c>
      <c r="D451" s="8" t="s">
        <v>1011</v>
      </c>
      <c r="E451" s="3" t="str">
        <f t="shared" si="1"/>
        <v>已不在</v>
      </c>
      <c r="F451" s="3" t="s">
        <v>326</v>
      </c>
      <c r="G451" s="6"/>
      <c r="H451" s="3" t="str">
        <f t="shared" si="2"/>
        <v>9</v>
      </c>
      <c r="I451" s="3" t="s">
        <v>1384</v>
      </c>
      <c r="J451" s="3" t="s">
        <v>893</v>
      </c>
      <c r="K451" s="3">
        <v>1.0</v>
      </c>
      <c r="L451" s="3">
        <v>1.0</v>
      </c>
      <c r="M451" s="9" t="s">
        <v>236</v>
      </c>
      <c r="N451" s="3" t="s">
        <v>156</v>
      </c>
      <c r="O451" s="3"/>
      <c r="P451" s="4" t="s">
        <v>1133</v>
      </c>
      <c r="Q451" s="3"/>
      <c r="R451" s="3"/>
      <c r="S451" s="6"/>
      <c r="T451" s="6"/>
      <c r="U451" s="6"/>
    </row>
    <row r="452" ht="15.75" customHeight="1">
      <c r="A452" s="4" t="s">
        <v>1385</v>
      </c>
      <c r="B452" s="4" t="s">
        <v>1386</v>
      </c>
      <c r="C452" s="4" t="s">
        <v>39</v>
      </c>
      <c r="D452" s="6"/>
      <c r="E452" s="3" t="str">
        <f t="shared" si="1"/>
        <v>現存</v>
      </c>
      <c r="F452" s="3" t="s">
        <v>326</v>
      </c>
      <c r="G452" s="6"/>
      <c r="H452" s="3" t="str">
        <f t="shared" si="2"/>
        <v>9</v>
      </c>
      <c r="I452" s="3" t="s">
        <v>322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156</v>
      </c>
      <c r="O452" s="3"/>
      <c r="P452" s="4" t="s">
        <v>1133</v>
      </c>
      <c r="Q452" s="3"/>
      <c r="R452" s="3"/>
      <c r="S452" s="6"/>
      <c r="T452" s="6"/>
      <c r="U452" s="6"/>
    </row>
    <row r="453" ht="15.75" customHeight="1">
      <c r="A453" s="4" t="s">
        <v>1387</v>
      </c>
      <c r="B453" s="4" t="s">
        <v>1388</v>
      </c>
      <c r="C453" s="4" t="s">
        <v>39</v>
      </c>
      <c r="D453" s="6"/>
      <c r="E453" s="3" t="str">
        <f t="shared" si="1"/>
        <v>現存</v>
      </c>
      <c r="F453" s="3" t="s">
        <v>616</v>
      </c>
      <c r="G453" s="6"/>
      <c r="H453" s="3" t="str">
        <f t="shared" si="2"/>
        <v>10,11</v>
      </c>
      <c r="I453" s="3" t="s">
        <v>1389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156</v>
      </c>
      <c r="O453" s="3"/>
      <c r="P453" s="4" t="s">
        <v>1133</v>
      </c>
      <c r="Q453" s="3"/>
      <c r="R453" s="3"/>
      <c r="S453" s="6"/>
      <c r="T453" s="6"/>
      <c r="U453" s="6"/>
    </row>
    <row r="454" ht="15.75" customHeight="1">
      <c r="A454" s="4" t="s">
        <v>1390</v>
      </c>
      <c r="B454" s="4" t="s">
        <v>1391</v>
      </c>
      <c r="C454" s="4" t="s">
        <v>39</v>
      </c>
      <c r="D454" s="6"/>
      <c r="E454" s="3" t="str">
        <f t="shared" si="1"/>
        <v>現存</v>
      </c>
      <c r="F454" s="3" t="s">
        <v>1392</v>
      </c>
      <c r="G454" s="6"/>
      <c r="H454" s="3" t="str">
        <f t="shared" si="2"/>
        <v>10,11,12</v>
      </c>
      <c r="I454" s="3" t="s">
        <v>185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156</v>
      </c>
      <c r="O454" s="3"/>
      <c r="P454" s="4" t="s">
        <v>1133</v>
      </c>
      <c r="Q454" s="3"/>
      <c r="R454" s="3"/>
      <c r="S454" s="6"/>
      <c r="T454" s="6"/>
      <c r="U454" s="6"/>
    </row>
    <row r="455" ht="15.75" customHeight="1">
      <c r="A455" s="4" t="s">
        <v>1393</v>
      </c>
      <c r="B455" s="4" t="s">
        <v>1394</v>
      </c>
      <c r="C455" s="4" t="s">
        <v>39</v>
      </c>
      <c r="D455" s="6"/>
      <c r="E455" s="3" t="str">
        <f t="shared" si="1"/>
        <v>現存</v>
      </c>
      <c r="F455" s="3" t="s">
        <v>188</v>
      </c>
      <c r="G455" s="6"/>
      <c r="H455" s="3" t="str">
        <f t="shared" si="2"/>
        <v>10</v>
      </c>
      <c r="I455" s="3" t="s">
        <v>820</v>
      </c>
      <c r="J455" s="3" t="s">
        <v>181</v>
      </c>
      <c r="K455" s="3">
        <v>1.0</v>
      </c>
      <c r="L455" s="3">
        <v>1.0</v>
      </c>
      <c r="M455" s="4" t="s">
        <v>43</v>
      </c>
      <c r="N455" s="3" t="s">
        <v>156</v>
      </c>
      <c r="O455" s="3"/>
      <c r="P455" s="4" t="s">
        <v>1133</v>
      </c>
      <c r="Q455" s="3"/>
      <c r="R455" s="3"/>
      <c r="S455" s="6"/>
      <c r="T455" s="6"/>
      <c r="U455" s="6"/>
    </row>
    <row r="456" ht="15.75" customHeight="1">
      <c r="A456" s="4" t="s">
        <v>1395</v>
      </c>
      <c r="B456" s="4" t="s">
        <v>1396</v>
      </c>
      <c r="C456" s="4" t="s">
        <v>39</v>
      </c>
      <c r="D456" s="8" t="s">
        <v>170</v>
      </c>
      <c r="E456" s="3" t="str">
        <f t="shared" si="1"/>
        <v>近年未見</v>
      </c>
      <c r="F456" s="3" t="s">
        <v>188</v>
      </c>
      <c r="G456" s="6"/>
      <c r="H456" s="3" t="str">
        <f t="shared" si="2"/>
        <v>10</v>
      </c>
      <c r="I456" s="3" t="s">
        <v>814</v>
      </c>
      <c r="J456" s="3" t="s">
        <v>181</v>
      </c>
      <c r="K456" s="3">
        <v>2.0</v>
      </c>
      <c r="L456" s="3">
        <v>1.0</v>
      </c>
      <c r="M456" s="4" t="s">
        <v>43</v>
      </c>
      <c r="N456" s="3" t="s">
        <v>156</v>
      </c>
      <c r="O456" s="3"/>
      <c r="P456" s="4" t="s">
        <v>1133</v>
      </c>
      <c r="Q456" s="3"/>
      <c r="R456" s="3"/>
      <c r="S456" s="6"/>
      <c r="T456" s="6"/>
      <c r="U456" s="6"/>
    </row>
    <row r="457" ht="15.75" customHeight="1">
      <c r="A457" s="4" t="s">
        <v>1397</v>
      </c>
      <c r="B457" s="4" t="s">
        <v>1398</v>
      </c>
      <c r="C457" s="4" t="s">
        <v>39</v>
      </c>
      <c r="D457" s="6"/>
      <c r="E457" s="3" t="str">
        <f t="shared" si="1"/>
        <v>現存</v>
      </c>
      <c r="F457" s="3" t="s">
        <v>1007</v>
      </c>
      <c r="G457" s="6"/>
      <c r="H457" s="3" t="str">
        <f t="shared" si="2"/>
        <v>11,12</v>
      </c>
      <c r="I457" s="3" t="s">
        <v>1399</v>
      </c>
      <c r="J457" s="3" t="s">
        <v>1230</v>
      </c>
      <c r="K457" s="3">
        <v>3.0</v>
      </c>
      <c r="L457" s="3">
        <v>1.0</v>
      </c>
      <c r="M457" s="4" t="s">
        <v>43</v>
      </c>
      <c r="N457" s="3" t="s">
        <v>156</v>
      </c>
      <c r="O457" s="3"/>
      <c r="P457" s="4" t="s">
        <v>1133</v>
      </c>
      <c r="Q457" s="3"/>
      <c r="R457" s="3"/>
      <c r="S457" s="6"/>
      <c r="T457" s="6"/>
      <c r="U457" s="6"/>
    </row>
    <row r="458" ht="15.75" customHeight="1">
      <c r="A458" s="4" t="s">
        <v>1400</v>
      </c>
      <c r="B458" s="4" t="s">
        <v>1401</v>
      </c>
      <c r="C458" s="4" t="s">
        <v>39</v>
      </c>
      <c r="D458" s="6"/>
      <c r="E458" s="3" t="str">
        <f t="shared" si="1"/>
        <v>現存</v>
      </c>
      <c r="F458" s="3" t="s">
        <v>634</v>
      </c>
      <c r="G458" s="6"/>
      <c r="H458" s="3" t="str">
        <f t="shared" si="2"/>
        <v>12</v>
      </c>
      <c r="I458" s="3" t="s">
        <v>252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156</v>
      </c>
      <c r="O458" s="3"/>
      <c r="P458" s="4" t="s">
        <v>1133</v>
      </c>
      <c r="Q458" s="3"/>
      <c r="R458" s="3"/>
      <c r="S458" s="6"/>
      <c r="T458" s="6"/>
      <c r="U458" s="6"/>
    </row>
    <row r="459" ht="15.75" customHeight="1">
      <c r="A459" s="4" t="s">
        <v>1402</v>
      </c>
      <c r="B459" s="4" t="s">
        <v>1403</v>
      </c>
      <c r="C459" s="4" t="s">
        <v>39</v>
      </c>
      <c r="D459" s="6"/>
      <c r="E459" s="3" t="str">
        <f t="shared" si="1"/>
        <v>現存</v>
      </c>
      <c r="F459" s="3" t="s">
        <v>634</v>
      </c>
      <c r="G459" s="6"/>
      <c r="H459" s="3" t="str">
        <f t="shared" si="2"/>
        <v>12</v>
      </c>
      <c r="I459" s="3" t="s">
        <v>1404</v>
      </c>
      <c r="J459" s="3" t="s">
        <v>181</v>
      </c>
      <c r="K459" s="3">
        <v>1.0</v>
      </c>
      <c r="L459" s="3">
        <v>1.0</v>
      </c>
      <c r="M459" s="9" t="s">
        <v>236</v>
      </c>
      <c r="N459" s="3" t="s">
        <v>156</v>
      </c>
      <c r="O459" s="3"/>
      <c r="P459" s="4" t="s">
        <v>1133</v>
      </c>
      <c r="Q459" s="3"/>
      <c r="R459" s="3"/>
      <c r="S459" s="6"/>
      <c r="T459" s="6"/>
      <c r="U459" s="6"/>
    </row>
    <row r="460" ht="15.75" customHeight="1">
      <c r="A460" s="4" t="s">
        <v>1405</v>
      </c>
      <c r="B460" s="4" t="s">
        <v>1406</v>
      </c>
      <c r="C460" s="4" t="s">
        <v>39</v>
      </c>
      <c r="D460" s="6"/>
      <c r="E460" s="3" t="str">
        <f t="shared" si="1"/>
        <v>現存</v>
      </c>
      <c r="F460" s="3" t="s">
        <v>911</v>
      </c>
      <c r="G460" s="6"/>
      <c r="H460" s="3" t="str">
        <f t="shared" si="2"/>
        <v>1,12</v>
      </c>
      <c r="I460" s="3" t="s">
        <v>49</v>
      </c>
      <c r="J460" s="3" t="s">
        <v>125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1407</v>
      </c>
      <c r="Q460" s="3"/>
      <c r="R460" s="3"/>
      <c r="S460" s="6"/>
      <c r="T460" s="6"/>
      <c r="U460" s="6"/>
    </row>
    <row r="461" ht="15.75" customHeight="1">
      <c r="A461" s="4" t="s">
        <v>1408</v>
      </c>
      <c r="B461" s="4" t="s">
        <v>1409</v>
      </c>
      <c r="C461" s="4" t="s">
        <v>39</v>
      </c>
      <c r="D461" s="6"/>
      <c r="E461" s="3" t="str">
        <f t="shared" si="1"/>
        <v>現存</v>
      </c>
      <c r="F461" s="3" t="s">
        <v>192</v>
      </c>
      <c r="G461" s="6"/>
      <c r="H461" s="3" t="str">
        <f t="shared" si="2"/>
        <v>1,11,12</v>
      </c>
      <c r="I461" s="3" t="s">
        <v>49</v>
      </c>
      <c r="J461" s="3" t="s">
        <v>1410</v>
      </c>
      <c r="K461" s="3">
        <v>3.0</v>
      </c>
      <c r="L461" s="3">
        <v>1.0</v>
      </c>
      <c r="M461" s="9" t="s">
        <v>236</v>
      </c>
      <c r="N461" s="3" t="s">
        <v>56</v>
      </c>
      <c r="O461" s="3"/>
      <c r="P461" s="4" t="s">
        <v>1407</v>
      </c>
      <c r="Q461" s="3"/>
      <c r="R461" s="3"/>
      <c r="S461" s="6"/>
      <c r="T461" s="6"/>
      <c r="U461" s="6"/>
    </row>
    <row r="462" ht="15.75" customHeight="1">
      <c r="A462" s="4" t="s">
        <v>1411</v>
      </c>
      <c r="B462" s="4" t="s">
        <v>1412</v>
      </c>
      <c r="C462" s="4" t="s">
        <v>39</v>
      </c>
      <c r="D462" s="6"/>
      <c r="E462" s="3" t="str">
        <f t="shared" si="1"/>
        <v>現存</v>
      </c>
      <c r="F462" s="3" t="s">
        <v>1413</v>
      </c>
      <c r="G462" s="6"/>
      <c r="H462" s="3" t="str">
        <f t="shared" si="2"/>
        <v>1,2,9,10,11,12</v>
      </c>
      <c r="I462" s="3" t="s">
        <v>212</v>
      </c>
      <c r="J462" s="3" t="s">
        <v>193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1407</v>
      </c>
      <c r="Q462" s="3"/>
      <c r="R462" s="3"/>
      <c r="S462" s="6"/>
      <c r="T462" s="6"/>
      <c r="U462" s="8" t="s">
        <v>1414</v>
      </c>
    </row>
    <row r="463" ht="15.75" customHeight="1">
      <c r="A463" s="4" t="s">
        <v>1415</v>
      </c>
      <c r="B463" s="4" t="s">
        <v>1416</v>
      </c>
      <c r="C463" s="4" t="s">
        <v>39</v>
      </c>
      <c r="D463" s="6"/>
      <c r="E463" s="3" t="str">
        <f t="shared" si="1"/>
        <v>現存</v>
      </c>
      <c r="F463" s="3" t="s">
        <v>1417</v>
      </c>
      <c r="G463" s="6"/>
      <c r="H463" s="3" t="str">
        <f t="shared" si="2"/>
        <v>1,3,5,6,9,10,11,12</v>
      </c>
      <c r="I463" s="3" t="s">
        <v>145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1407</v>
      </c>
      <c r="Q463" s="3"/>
      <c r="R463" s="3"/>
      <c r="S463" s="6"/>
      <c r="T463" s="6"/>
      <c r="U463" s="8" t="s">
        <v>1418</v>
      </c>
    </row>
    <row r="464" ht="15.75" customHeight="1">
      <c r="A464" s="4" t="s">
        <v>1419</v>
      </c>
      <c r="B464" s="4" t="s">
        <v>1420</v>
      </c>
      <c r="C464" s="4" t="s">
        <v>39</v>
      </c>
      <c r="D464" s="6"/>
      <c r="E464" s="3" t="str">
        <f t="shared" si="1"/>
        <v>現存</v>
      </c>
      <c r="F464" s="3" t="s">
        <v>1421</v>
      </c>
      <c r="G464" s="6"/>
      <c r="H464" s="3" t="str">
        <f t="shared" si="2"/>
        <v>1,4,5,10,12</v>
      </c>
      <c r="I464" s="3" t="s">
        <v>149</v>
      </c>
      <c r="J464" s="3" t="s">
        <v>193</v>
      </c>
      <c r="K464" s="3">
        <v>5.0</v>
      </c>
      <c r="L464" s="3">
        <v>1.0</v>
      </c>
      <c r="M464" s="4" t="s">
        <v>43</v>
      </c>
      <c r="N464" s="3" t="s">
        <v>156</v>
      </c>
      <c r="O464" s="3"/>
      <c r="P464" s="4" t="s">
        <v>1407</v>
      </c>
      <c r="Q464" s="3"/>
      <c r="R464" s="3"/>
      <c r="S464" s="6"/>
      <c r="T464" s="6"/>
      <c r="U464" s="8" t="s">
        <v>1422</v>
      </c>
    </row>
    <row r="465" ht="15.75" customHeight="1">
      <c r="A465" s="4" t="s">
        <v>1423</v>
      </c>
      <c r="B465" s="4" t="s">
        <v>1424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1407</v>
      </c>
      <c r="Q465" s="3"/>
      <c r="R465" s="3"/>
      <c r="S465" s="6"/>
      <c r="T465" s="6"/>
      <c r="U465" s="6"/>
    </row>
    <row r="466" ht="15.75" customHeight="1">
      <c r="A466" s="4" t="s">
        <v>1425</v>
      </c>
      <c r="B466" s="4" t="s">
        <v>1426</v>
      </c>
      <c r="C466" s="4" t="s">
        <v>39</v>
      </c>
      <c r="D466" s="6"/>
      <c r="E466" s="3" t="str">
        <f t="shared" si="1"/>
        <v>現存</v>
      </c>
      <c r="F466" s="3" t="s">
        <v>1427</v>
      </c>
      <c r="G466" s="6"/>
      <c r="H466" s="3" t="str">
        <f t="shared" si="2"/>
        <v>1,4,11</v>
      </c>
      <c r="I466" s="3" t="s">
        <v>49</v>
      </c>
      <c r="J466" s="3" t="s">
        <v>125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1407</v>
      </c>
      <c r="Q466" s="3"/>
      <c r="R466" s="3"/>
      <c r="S466" s="6"/>
      <c r="T466" s="6"/>
      <c r="U466" s="6"/>
    </row>
    <row r="467" ht="15.75" customHeight="1">
      <c r="A467" s="4" t="s">
        <v>1428</v>
      </c>
      <c r="B467" s="4" t="s">
        <v>1429</v>
      </c>
      <c r="C467" s="4" t="s">
        <v>39</v>
      </c>
      <c r="D467" s="6"/>
      <c r="E467" s="3" t="str">
        <f t="shared" si="1"/>
        <v>現存</v>
      </c>
      <c r="F467" s="3" t="s">
        <v>1430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1407</v>
      </c>
      <c r="Q467" s="3"/>
      <c r="R467" s="3"/>
      <c r="S467" s="6"/>
      <c r="T467" s="6"/>
      <c r="U467" s="6"/>
    </row>
    <row r="468" ht="15.75" customHeight="1">
      <c r="A468" s="4" t="s">
        <v>1431</v>
      </c>
      <c r="B468" s="4" t="s">
        <v>1432</v>
      </c>
      <c r="C468" s="4" t="s">
        <v>39</v>
      </c>
      <c r="D468" s="6"/>
      <c r="E468" s="3" t="str">
        <f t="shared" si="1"/>
        <v>現存</v>
      </c>
      <c r="F468" s="3" t="s">
        <v>130</v>
      </c>
      <c r="G468" s="6"/>
      <c r="H468" s="3" t="str">
        <f t="shared" si="2"/>
        <v>1</v>
      </c>
      <c r="I468" s="3" t="s">
        <v>1433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1407</v>
      </c>
      <c r="Q468" s="3"/>
      <c r="R468" s="3"/>
      <c r="S468" s="6"/>
      <c r="T468" s="6"/>
      <c r="U468" s="6"/>
    </row>
    <row r="469" ht="15.75" customHeight="1">
      <c r="A469" s="4" t="s">
        <v>1434</v>
      </c>
      <c r="B469" s="4" t="s">
        <v>1435</v>
      </c>
      <c r="C469" s="4" t="s">
        <v>39</v>
      </c>
      <c r="D469" s="6"/>
      <c r="E469" s="3" t="str">
        <f t="shared" si="1"/>
        <v>現存</v>
      </c>
      <c r="F469" s="3" t="s">
        <v>1110</v>
      </c>
      <c r="G469" s="6"/>
      <c r="H469" s="3" t="str">
        <f t="shared" si="2"/>
        <v>1,2,11,12</v>
      </c>
      <c r="I469" s="3" t="s">
        <v>64</v>
      </c>
      <c r="J469" s="3" t="s">
        <v>125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1407</v>
      </c>
      <c r="Q469" s="3"/>
      <c r="R469" s="3"/>
      <c r="S469" s="6"/>
      <c r="T469" s="6"/>
      <c r="U469" s="6"/>
    </row>
    <row r="470" ht="15.75" customHeight="1">
      <c r="A470" s="4" t="s">
        <v>1436</v>
      </c>
      <c r="B470" s="4" t="s">
        <v>1437</v>
      </c>
      <c r="C470" s="4" t="s">
        <v>39</v>
      </c>
      <c r="D470" s="6"/>
      <c r="E470" s="3" t="str">
        <f t="shared" si="1"/>
        <v>現存</v>
      </c>
      <c r="F470" s="3" t="s">
        <v>188</v>
      </c>
      <c r="G470" s="6"/>
      <c r="H470" s="3" t="str">
        <f t="shared" si="2"/>
        <v>10</v>
      </c>
      <c r="I470" s="3" t="s">
        <v>995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1407</v>
      </c>
      <c r="Q470" s="3"/>
      <c r="R470" s="3"/>
      <c r="S470" s="6"/>
      <c r="T470" s="6"/>
      <c r="U470" s="6"/>
    </row>
    <row r="471" ht="15.75" customHeight="1">
      <c r="A471" s="4" t="s">
        <v>1438</v>
      </c>
      <c r="B471" s="4" t="s">
        <v>1439</v>
      </c>
      <c r="C471" s="4" t="s">
        <v>39</v>
      </c>
      <c r="D471" s="6"/>
      <c r="E471" s="3" t="str">
        <f t="shared" si="1"/>
        <v>現存</v>
      </c>
      <c r="F471" s="3" t="s">
        <v>188</v>
      </c>
      <c r="G471" s="6"/>
      <c r="H471" s="3" t="str">
        <f t="shared" si="2"/>
        <v>10</v>
      </c>
      <c r="I471" s="3" t="s">
        <v>577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1407</v>
      </c>
      <c r="Q471" s="3"/>
      <c r="R471" s="3"/>
      <c r="S471" s="6"/>
      <c r="T471" s="6"/>
      <c r="U471" s="6"/>
    </row>
    <row r="472" ht="15.75" customHeight="1">
      <c r="A472" s="4" t="s">
        <v>1440</v>
      </c>
      <c r="B472" s="4" t="s">
        <v>1441</v>
      </c>
      <c r="C472" s="4" t="s">
        <v>39</v>
      </c>
      <c r="D472" s="6"/>
      <c r="E472" s="3" t="str">
        <f t="shared" si="1"/>
        <v>現存</v>
      </c>
      <c r="F472" s="3" t="s">
        <v>188</v>
      </c>
      <c r="G472" s="6"/>
      <c r="H472" s="3" t="str">
        <f t="shared" si="2"/>
        <v>10</v>
      </c>
      <c r="I472" s="3" t="s">
        <v>577</v>
      </c>
      <c r="J472" s="3" t="s">
        <v>42</v>
      </c>
      <c r="K472" s="3">
        <v>1.0</v>
      </c>
      <c r="L472" s="3">
        <v>0.0</v>
      </c>
      <c r="M472" s="4" t="s">
        <v>236</v>
      </c>
      <c r="N472" s="3"/>
      <c r="O472" s="3"/>
      <c r="P472" s="4" t="s">
        <v>1407</v>
      </c>
      <c r="Q472" s="3"/>
      <c r="R472" s="3"/>
      <c r="S472" s="6"/>
      <c r="T472" s="6"/>
      <c r="U472" s="6"/>
    </row>
    <row r="473" ht="15.75" customHeight="1">
      <c r="A473" s="4" t="s">
        <v>1442</v>
      </c>
      <c r="B473" s="4" t="s">
        <v>1443</v>
      </c>
      <c r="C473" s="4" t="s">
        <v>39</v>
      </c>
      <c r="D473" s="8" t="s">
        <v>1011</v>
      </c>
      <c r="E473" s="3" t="str">
        <f t="shared" si="1"/>
        <v>已不在</v>
      </c>
      <c r="F473" s="3" t="s">
        <v>188</v>
      </c>
      <c r="G473" s="6"/>
      <c r="H473" s="3" t="str">
        <f t="shared" si="2"/>
        <v>10</v>
      </c>
      <c r="I473" s="3" t="s">
        <v>1444</v>
      </c>
      <c r="J473" s="3" t="s">
        <v>893</v>
      </c>
      <c r="K473" s="3">
        <v>1.0</v>
      </c>
      <c r="L473" s="3">
        <v>1.0</v>
      </c>
      <c r="M473" s="9" t="s">
        <v>236</v>
      </c>
      <c r="N473" s="3" t="s">
        <v>56</v>
      </c>
      <c r="O473" s="3"/>
      <c r="P473" s="4" t="s">
        <v>1407</v>
      </c>
      <c r="Q473" s="3"/>
      <c r="R473" s="3"/>
      <c r="S473" s="6"/>
      <c r="T473" s="6"/>
      <c r="U473" s="6"/>
    </row>
    <row r="474" ht="15.75" customHeight="1">
      <c r="A474" s="4" t="s">
        <v>1445</v>
      </c>
      <c r="B474" s="4" t="s">
        <v>1446</v>
      </c>
      <c r="C474" s="4" t="s">
        <v>39</v>
      </c>
      <c r="D474" s="6"/>
      <c r="E474" s="3" t="str">
        <f t="shared" si="1"/>
        <v>現存</v>
      </c>
      <c r="F474" s="3" t="s">
        <v>616</v>
      </c>
      <c r="G474" s="6"/>
      <c r="H474" s="3" t="str">
        <f t="shared" si="2"/>
        <v>10,11</v>
      </c>
      <c r="I474" s="3" t="s">
        <v>626</v>
      </c>
      <c r="J474" s="3" t="s">
        <v>253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1407</v>
      </c>
      <c r="Q474" s="3"/>
      <c r="R474" s="3"/>
      <c r="S474" s="6"/>
      <c r="T474" s="6"/>
      <c r="U474" s="6"/>
    </row>
    <row r="475" ht="15.75" customHeight="1">
      <c r="A475" s="4" t="s">
        <v>1447</v>
      </c>
      <c r="B475" s="4" t="s">
        <v>1448</v>
      </c>
      <c r="C475" s="4" t="s">
        <v>39</v>
      </c>
      <c r="D475" s="6"/>
      <c r="E475" s="3" t="str">
        <f t="shared" si="1"/>
        <v>現存</v>
      </c>
      <c r="F475" s="3" t="s">
        <v>188</v>
      </c>
      <c r="G475" s="6"/>
      <c r="H475" s="3" t="str">
        <f t="shared" si="2"/>
        <v>10</v>
      </c>
      <c r="I475" s="3" t="s">
        <v>1449</v>
      </c>
      <c r="J475" s="3" t="s">
        <v>181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1450</v>
      </c>
      <c r="P475" s="4" t="s">
        <v>1407</v>
      </c>
      <c r="Q475" s="3"/>
      <c r="R475" s="3"/>
      <c r="S475" s="6"/>
      <c r="T475" s="6"/>
      <c r="U475" s="6"/>
    </row>
    <row r="476" ht="15.75" customHeight="1">
      <c r="A476" s="4" t="s">
        <v>1451</v>
      </c>
      <c r="B476" s="4" t="s">
        <v>1452</v>
      </c>
      <c r="C476" s="4" t="s">
        <v>39</v>
      </c>
      <c r="D476" s="6"/>
      <c r="E476" s="3" t="str">
        <f t="shared" si="1"/>
        <v>現存</v>
      </c>
      <c r="F476" s="3" t="s">
        <v>616</v>
      </c>
      <c r="G476" s="6"/>
      <c r="H476" s="3" t="str">
        <f t="shared" si="2"/>
        <v>10,11</v>
      </c>
      <c r="I476" s="3" t="s">
        <v>1086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1450</v>
      </c>
      <c r="P476" s="4" t="s">
        <v>1407</v>
      </c>
      <c r="Q476" s="3"/>
      <c r="R476" s="3"/>
      <c r="S476" s="6"/>
      <c r="T476" s="6"/>
      <c r="U476" s="6"/>
    </row>
    <row r="477" ht="15.75" customHeight="1">
      <c r="A477" s="4" t="s">
        <v>1453</v>
      </c>
      <c r="B477" s="4" t="s">
        <v>1454</v>
      </c>
      <c r="C477" s="4" t="s">
        <v>39</v>
      </c>
      <c r="D477" s="6"/>
      <c r="E477" s="3" t="str">
        <f t="shared" si="1"/>
        <v>現存</v>
      </c>
      <c r="F477" s="3" t="s">
        <v>515</v>
      </c>
      <c r="G477" s="6"/>
      <c r="H477" s="3" t="str">
        <f t="shared" si="2"/>
        <v>11</v>
      </c>
      <c r="I477" s="3" t="s">
        <v>1008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1450</v>
      </c>
      <c r="P477" s="4" t="s">
        <v>1407</v>
      </c>
      <c r="Q477" s="3"/>
      <c r="R477" s="3"/>
      <c r="S477" s="6"/>
      <c r="T477" s="6"/>
      <c r="U477" s="6"/>
    </row>
    <row r="478" ht="15.75" customHeight="1">
      <c r="A478" s="4" t="s">
        <v>1455</v>
      </c>
      <c r="B478" s="4" t="s">
        <v>1456</v>
      </c>
      <c r="C478" s="4" t="s">
        <v>39</v>
      </c>
      <c r="D478" s="6"/>
      <c r="E478" s="3" t="str">
        <f t="shared" si="1"/>
        <v>現存</v>
      </c>
      <c r="F478" s="3" t="s">
        <v>515</v>
      </c>
      <c r="G478" s="6"/>
      <c r="H478" s="3" t="str">
        <f t="shared" si="2"/>
        <v>11</v>
      </c>
      <c r="I478" s="3" t="s">
        <v>626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1407</v>
      </c>
      <c r="Q478" s="3"/>
      <c r="R478" s="3"/>
      <c r="S478" s="6"/>
      <c r="T478" s="6"/>
      <c r="U478" s="6"/>
    </row>
    <row r="479" ht="15.75" customHeight="1">
      <c r="A479" s="4" t="s">
        <v>1457</v>
      </c>
      <c r="B479" s="4" t="s">
        <v>1458</v>
      </c>
      <c r="C479" s="4" t="s">
        <v>39</v>
      </c>
      <c r="D479" s="6"/>
      <c r="E479" s="3" t="str">
        <f t="shared" si="1"/>
        <v>現存</v>
      </c>
      <c r="F479" s="3" t="s">
        <v>515</v>
      </c>
      <c r="G479" s="6"/>
      <c r="H479" s="3" t="str">
        <f t="shared" si="2"/>
        <v>11</v>
      </c>
      <c r="I479" s="3" t="s">
        <v>1459</v>
      </c>
      <c r="J479" s="3" t="s">
        <v>181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1450</v>
      </c>
      <c r="P479" s="4" t="s">
        <v>1407</v>
      </c>
      <c r="Q479" s="3"/>
      <c r="R479" s="3"/>
      <c r="S479" s="6"/>
      <c r="T479" s="6"/>
      <c r="U479" s="6"/>
    </row>
    <row r="480" ht="15.75" customHeight="1">
      <c r="A480" s="4" t="s">
        <v>1460</v>
      </c>
      <c r="B480" s="4" t="s">
        <v>1461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1407</v>
      </c>
      <c r="Q480" s="3"/>
      <c r="R480" s="3"/>
      <c r="S480" s="6"/>
      <c r="T480" s="6"/>
      <c r="U480" s="6"/>
    </row>
    <row r="481" ht="15.75" customHeight="1">
      <c r="A481" s="4" t="s">
        <v>1462</v>
      </c>
      <c r="B481" s="4" t="s">
        <v>1463</v>
      </c>
      <c r="C481" s="4" t="s">
        <v>39</v>
      </c>
      <c r="D481" s="8" t="s">
        <v>170</v>
      </c>
      <c r="E481" s="3" t="str">
        <f t="shared" si="1"/>
        <v>近年未見</v>
      </c>
      <c r="F481" s="3" t="s">
        <v>634</v>
      </c>
      <c r="G481" s="6"/>
      <c r="H481" s="3" t="str">
        <f t="shared" si="2"/>
        <v>12</v>
      </c>
      <c r="I481" s="3" t="s">
        <v>1464</v>
      </c>
      <c r="J481" s="3" t="s">
        <v>893</v>
      </c>
      <c r="K481" s="3">
        <v>1.0</v>
      </c>
      <c r="L481" s="3">
        <v>1.0</v>
      </c>
      <c r="M481" s="9" t="s">
        <v>236</v>
      </c>
      <c r="N481" s="3" t="s">
        <v>56</v>
      </c>
      <c r="O481" s="9" t="s">
        <v>1450</v>
      </c>
      <c r="P481" s="4" t="s">
        <v>1407</v>
      </c>
      <c r="Q481" s="3"/>
      <c r="R481" s="3"/>
      <c r="S481" s="6"/>
      <c r="T481" s="6"/>
      <c r="U481" s="6"/>
    </row>
    <row r="482" ht="15.75" customHeight="1">
      <c r="A482" s="4" t="s">
        <v>1465</v>
      </c>
      <c r="B482" s="4" t="s">
        <v>1466</v>
      </c>
      <c r="C482" s="4" t="s">
        <v>39</v>
      </c>
      <c r="D482" s="6"/>
      <c r="E482" s="3" t="str">
        <f t="shared" si="1"/>
        <v>現存</v>
      </c>
      <c r="F482" s="3" t="s">
        <v>634</v>
      </c>
      <c r="G482" s="6"/>
      <c r="H482" s="3" t="str">
        <f t="shared" si="2"/>
        <v>12</v>
      </c>
      <c r="I482" s="3" t="s">
        <v>988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1450</v>
      </c>
      <c r="P482" s="4" t="s">
        <v>1407</v>
      </c>
      <c r="Q482" s="3"/>
      <c r="R482" s="3"/>
      <c r="S482" s="6"/>
      <c r="T482" s="6"/>
      <c r="U482" s="6"/>
    </row>
    <row r="483" ht="15.75" customHeight="1">
      <c r="A483" s="4" t="s">
        <v>1467</v>
      </c>
      <c r="B483" s="4" t="s">
        <v>1468</v>
      </c>
      <c r="C483" s="4" t="s">
        <v>39</v>
      </c>
      <c r="D483" s="6"/>
      <c r="E483" s="3" t="str">
        <f t="shared" si="1"/>
        <v>現存</v>
      </c>
      <c r="F483" s="3" t="s">
        <v>202</v>
      </c>
      <c r="G483" s="6"/>
      <c r="H483" s="3" t="str">
        <f t="shared" si="2"/>
        <v>1,2,3,12</v>
      </c>
      <c r="I483" s="3" t="s">
        <v>117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1469</v>
      </c>
      <c r="O483" s="3"/>
      <c r="P483" s="4" t="s">
        <v>1407</v>
      </c>
      <c r="Q483" s="3"/>
      <c r="R483" s="3"/>
      <c r="S483" s="6"/>
      <c r="T483" s="6"/>
      <c r="U483" s="6"/>
    </row>
    <row r="484" ht="15.75" customHeight="1">
      <c r="A484" s="4" t="s">
        <v>1470</v>
      </c>
      <c r="B484" s="4" t="s">
        <v>1471</v>
      </c>
      <c r="C484" s="4" t="s">
        <v>39</v>
      </c>
      <c r="D484" s="6"/>
      <c r="E484" s="3" t="str">
        <f t="shared" si="1"/>
        <v>現存</v>
      </c>
      <c r="F484" s="3" t="s">
        <v>1472</v>
      </c>
      <c r="G484" s="6"/>
      <c r="H484" s="3" t="str">
        <f t="shared" si="2"/>
        <v>1,2,9,12</v>
      </c>
      <c r="I484" s="3" t="s">
        <v>198</v>
      </c>
      <c r="J484" s="3" t="s">
        <v>193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1407</v>
      </c>
      <c r="Q484" s="3"/>
      <c r="R484" s="3"/>
      <c r="S484" s="6"/>
      <c r="T484" s="6"/>
      <c r="U484" s="6"/>
    </row>
    <row r="485" ht="15.75" customHeight="1">
      <c r="A485" s="4" t="s">
        <v>1473</v>
      </c>
      <c r="B485" s="4" t="s">
        <v>1474</v>
      </c>
      <c r="C485" s="4" t="s">
        <v>39</v>
      </c>
      <c r="D485" s="6"/>
      <c r="E485" s="3" t="str">
        <f t="shared" si="1"/>
        <v>現存</v>
      </c>
      <c r="F485" s="3" t="s">
        <v>1475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1407</v>
      </c>
      <c r="Q485" s="3"/>
      <c r="R485" s="3"/>
      <c r="S485" s="6"/>
      <c r="T485" s="6"/>
      <c r="U485" s="6"/>
    </row>
    <row r="486" ht="15.75" customHeight="1">
      <c r="A486" s="4" t="s">
        <v>1476</v>
      </c>
      <c r="B486" s="4" t="s">
        <v>1477</v>
      </c>
      <c r="C486" s="4" t="s">
        <v>39</v>
      </c>
      <c r="D486" s="6"/>
      <c r="E486" s="3" t="str">
        <f t="shared" si="1"/>
        <v>現存</v>
      </c>
      <c r="F486" s="3" t="s">
        <v>1478</v>
      </c>
      <c r="G486" s="6"/>
      <c r="H486" s="3" t="str">
        <f t="shared" si="2"/>
        <v>2,3,4,5,6,8,9,10,12</v>
      </c>
      <c r="I486" s="3" t="s">
        <v>303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1407</v>
      </c>
      <c r="Q486" s="3"/>
      <c r="R486" s="3"/>
      <c r="S486" s="6"/>
      <c r="T486" s="6"/>
      <c r="U486" s="6"/>
    </row>
    <row r="487" ht="15.75" customHeight="1">
      <c r="A487" s="4" t="s">
        <v>1479</v>
      </c>
      <c r="B487" s="4" t="s">
        <v>1480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212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1481</v>
      </c>
      <c r="O487" s="3"/>
      <c r="P487" s="4" t="s">
        <v>1407</v>
      </c>
      <c r="Q487" s="3"/>
      <c r="R487" s="3"/>
      <c r="S487" s="6"/>
      <c r="T487" s="6"/>
      <c r="U487" s="6"/>
    </row>
    <row r="488" ht="15.75" customHeight="1">
      <c r="A488" s="4" t="s">
        <v>1482</v>
      </c>
      <c r="B488" s="4" t="s">
        <v>1483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135</v>
      </c>
      <c r="K488" s="3">
        <v>1.0</v>
      </c>
      <c r="L488" s="3">
        <v>1.0</v>
      </c>
      <c r="M488" s="9" t="s">
        <v>236</v>
      </c>
      <c r="N488" s="3" t="s">
        <v>56</v>
      </c>
      <c r="O488" s="3"/>
      <c r="P488" s="4" t="s">
        <v>1407</v>
      </c>
      <c r="Q488" s="3"/>
      <c r="R488" s="3"/>
      <c r="S488" s="6"/>
      <c r="T488" s="6"/>
      <c r="U488" s="6"/>
    </row>
    <row r="489" ht="15.75" customHeight="1">
      <c r="A489" s="4" t="s">
        <v>1484</v>
      </c>
      <c r="B489" s="4" t="s">
        <v>1485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135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1407</v>
      </c>
      <c r="Q489" s="3"/>
      <c r="R489" s="3"/>
      <c r="S489" s="6"/>
      <c r="T489" s="6"/>
      <c r="U489" s="6"/>
    </row>
    <row r="490" ht="15.75" customHeight="1">
      <c r="A490" s="4" t="s">
        <v>1486</v>
      </c>
      <c r="B490" s="4" t="s">
        <v>1487</v>
      </c>
      <c r="C490" s="4" t="s">
        <v>39</v>
      </c>
      <c r="D490" s="6"/>
      <c r="E490" s="3" t="str">
        <f t="shared" si="1"/>
        <v>現存</v>
      </c>
      <c r="F490" s="3" t="s">
        <v>1488</v>
      </c>
      <c r="G490" s="6"/>
      <c r="H490" s="3" t="str">
        <f t="shared" si="2"/>
        <v>2,10</v>
      </c>
      <c r="I490" s="3" t="s">
        <v>198</v>
      </c>
      <c r="J490" s="3" t="s">
        <v>125</v>
      </c>
      <c r="K490" s="3">
        <v>2.0</v>
      </c>
      <c r="L490" s="3">
        <v>1.0</v>
      </c>
      <c r="M490" s="4" t="s">
        <v>43</v>
      </c>
      <c r="N490" s="3" t="s">
        <v>130</v>
      </c>
      <c r="O490" s="3"/>
      <c r="P490" s="4" t="s">
        <v>1407</v>
      </c>
      <c r="Q490" s="3"/>
      <c r="R490" s="3"/>
      <c r="S490" s="6"/>
      <c r="T490" s="6"/>
      <c r="U490" s="6"/>
    </row>
    <row r="491" ht="15.75" customHeight="1">
      <c r="A491" s="4" t="s">
        <v>1489</v>
      </c>
      <c r="B491" s="4" t="s">
        <v>1490</v>
      </c>
      <c r="C491" s="4" t="s">
        <v>170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1491</v>
      </c>
      <c r="J491" s="3" t="s">
        <v>42</v>
      </c>
      <c r="K491" s="3">
        <v>1.0</v>
      </c>
      <c r="L491" s="3">
        <v>0.0</v>
      </c>
      <c r="M491" s="4" t="s">
        <v>236</v>
      </c>
      <c r="N491" s="3"/>
      <c r="O491" s="3"/>
      <c r="P491" s="4" t="s">
        <v>1407</v>
      </c>
      <c r="Q491" s="3"/>
      <c r="R491" s="3"/>
      <c r="S491" s="6"/>
      <c r="T491" s="6"/>
      <c r="U491" s="6"/>
    </row>
    <row r="492" ht="15.75" customHeight="1">
      <c r="A492" s="4" t="s">
        <v>1492</v>
      </c>
      <c r="B492" s="4" t="s">
        <v>1493</v>
      </c>
      <c r="C492" s="4" t="s">
        <v>39</v>
      </c>
      <c r="D492" s="6"/>
      <c r="E492" s="3" t="str">
        <f t="shared" si="1"/>
        <v>現存</v>
      </c>
      <c r="F492" s="3" t="s">
        <v>357</v>
      </c>
      <c r="G492" s="6"/>
      <c r="H492" s="3" t="str">
        <f t="shared" si="2"/>
        <v>2,3,7</v>
      </c>
      <c r="I492" s="3" t="s">
        <v>112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1407</v>
      </c>
      <c r="Q492" s="4" t="s">
        <v>1494</v>
      </c>
      <c r="R492" s="3"/>
      <c r="S492" s="6"/>
      <c r="T492" s="6"/>
      <c r="U492" s="6"/>
    </row>
    <row r="493" ht="15.75" customHeight="1">
      <c r="A493" s="4" t="s">
        <v>1495</v>
      </c>
      <c r="B493" s="4" t="s">
        <v>1496</v>
      </c>
      <c r="C493" s="4" t="s">
        <v>39</v>
      </c>
      <c r="D493" s="6"/>
      <c r="E493" s="3" t="str">
        <f t="shared" si="1"/>
        <v>現存</v>
      </c>
      <c r="F493" s="3" t="s">
        <v>218</v>
      </c>
      <c r="G493" s="6"/>
      <c r="H493" s="3" t="str">
        <f t="shared" si="2"/>
        <v>2,3</v>
      </c>
      <c r="I493" s="3" t="s">
        <v>117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1497</v>
      </c>
      <c r="O493" s="3"/>
      <c r="P493" s="4" t="s">
        <v>1407</v>
      </c>
      <c r="Q493" s="3"/>
      <c r="R493" s="3"/>
      <c r="S493" s="6"/>
      <c r="T493" s="6"/>
      <c r="U493" s="6"/>
    </row>
    <row r="494" ht="15.75" customHeight="1">
      <c r="A494" s="4" t="s">
        <v>1498</v>
      </c>
      <c r="B494" s="4" t="s">
        <v>1499</v>
      </c>
      <c r="C494" s="4" t="s">
        <v>39</v>
      </c>
      <c r="D494" s="6"/>
      <c r="E494" s="3" t="str">
        <f t="shared" si="1"/>
        <v>現存</v>
      </c>
      <c r="F494" s="3" t="s">
        <v>1500</v>
      </c>
      <c r="G494" s="6"/>
      <c r="H494" s="3" t="str">
        <f t="shared" si="2"/>
        <v>2,4,5,7,9,10</v>
      </c>
      <c r="I494" s="3" t="s">
        <v>142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1407</v>
      </c>
      <c r="Q494" s="3"/>
      <c r="R494" s="3"/>
      <c r="S494" s="6"/>
      <c r="T494" s="6"/>
      <c r="U494" s="6"/>
    </row>
    <row r="495" ht="15.75" customHeight="1">
      <c r="A495" s="4" t="s">
        <v>1501</v>
      </c>
      <c r="B495" s="4" t="s">
        <v>1502</v>
      </c>
      <c r="C495" s="4" t="s">
        <v>39</v>
      </c>
      <c r="D495" s="6"/>
      <c r="E495" s="3" t="str">
        <f t="shared" si="1"/>
        <v>現存</v>
      </c>
      <c r="F495" s="3" t="s">
        <v>218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1450</v>
      </c>
      <c r="P495" s="4" t="s">
        <v>1407</v>
      </c>
      <c r="Q495" s="3"/>
      <c r="R495" s="3"/>
      <c r="S495" s="6"/>
      <c r="T495" s="6"/>
      <c r="U495" s="6"/>
    </row>
    <row r="496" ht="15.75" customHeight="1">
      <c r="A496" s="4" t="s">
        <v>1503</v>
      </c>
      <c r="B496" s="4" t="s">
        <v>1504</v>
      </c>
      <c r="C496" s="4" t="s">
        <v>39</v>
      </c>
      <c r="D496" s="8" t="s">
        <v>170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1505</v>
      </c>
      <c r="J496" s="3" t="s">
        <v>42</v>
      </c>
      <c r="K496" s="3">
        <v>1.0</v>
      </c>
      <c r="L496" s="3">
        <v>1.0</v>
      </c>
      <c r="M496" s="9" t="s">
        <v>236</v>
      </c>
      <c r="N496" s="3" t="s">
        <v>56</v>
      </c>
      <c r="O496" s="9" t="s">
        <v>1450</v>
      </c>
      <c r="P496" s="4" t="s">
        <v>1407</v>
      </c>
      <c r="Q496" s="3"/>
      <c r="R496" s="3"/>
      <c r="S496" s="6"/>
      <c r="T496" s="6"/>
      <c r="U496" s="6"/>
    </row>
    <row r="497" ht="15.75" customHeight="1">
      <c r="A497" s="4" t="s">
        <v>1506</v>
      </c>
      <c r="B497" s="4" t="s">
        <v>1507</v>
      </c>
      <c r="C497" s="4" t="s">
        <v>39</v>
      </c>
      <c r="D497" s="6"/>
      <c r="E497" s="3" t="str">
        <f t="shared" si="1"/>
        <v>現存</v>
      </c>
      <c r="F497" s="3" t="s">
        <v>1508</v>
      </c>
      <c r="G497" s="6"/>
      <c r="H497" s="3" t="str">
        <f t="shared" si="2"/>
        <v>2,6,7</v>
      </c>
      <c r="I497" s="3" t="s">
        <v>857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1407</v>
      </c>
      <c r="Q497" s="3"/>
      <c r="R497" s="3"/>
      <c r="S497" s="6"/>
      <c r="T497" s="6"/>
      <c r="U497" s="6"/>
    </row>
    <row r="498" ht="15.75" customHeight="1">
      <c r="A498" s="4" t="s">
        <v>1509</v>
      </c>
      <c r="B498" s="4" t="s">
        <v>1510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1505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1450</v>
      </c>
      <c r="P498" s="4" t="s">
        <v>1407</v>
      </c>
      <c r="Q498" s="3"/>
      <c r="R498" s="3"/>
      <c r="S498" s="6"/>
      <c r="T498" s="6"/>
      <c r="U498" s="6"/>
    </row>
    <row r="499" ht="15.75" customHeight="1">
      <c r="A499" s="4" t="s">
        <v>1511</v>
      </c>
      <c r="B499" s="4" t="s">
        <v>1512</v>
      </c>
      <c r="C499" s="4" t="s">
        <v>39</v>
      </c>
      <c r="D499" s="6"/>
      <c r="E499" s="3" t="str">
        <f t="shared" si="1"/>
        <v>現存</v>
      </c>
      <c r="F499" s="3" t="s">
        <v>1513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1407</v>
      </c>
      <c r="Q499" s="3"/>
      <c r="R499" s="3"/>
      <c r="S499" s="6"/>
      <c r="T499" s="6"/>
      <c r="U499" s="6"/>
    </row>
    <row r="500" ht="15.75" customHeight="1">
      <c r="A500" s="4" t="s">
        <v>1514</v>
      </c>
      <c r="B500" s="4" t="s">
        <v>1515</v>
      </c>
      <c r="C500" s="4" t="s">
        <v>39</v>
      </c>
      <c r="D500" s="6"/>
      <c r="E500" s="3" t="str">
        <f t="shared" si="1"/>
        <v>現存</v>
      </c>
      <c r="F500" s="3" t="s">
        <v>116</v>
      </c>
      <c r="G500" s="6"/>
      <c r="H500" s="3" t="str">
        <f t="shared" si="2"/>
        <v>3,4</v>
      </c>
      <c r="I500" s="3" t="s">
        <v>560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1450</v>
      </c>
      <c r="P500" s="4" t="s">
        <v>1407</v>
      </c>
      <c r="Q500" s="3"/>
      <c r="R500" s="3"/>
      <c r="S500" s="6"/>
      <c r="T500" s="6"/>
      <c r="U500" s="6"/>
    </row>
    <row r="501" ht="15.75" customHeight="1">
      <c r="A501" s="4" t="s">
        <v>1516</v>
      </c>
      <c r="B501" s="4" t="s">
        <v>1517</v>
      </c>
      <c r="C501" s="4" t="s">
        <v>39</v>
      </c>
      <c r="D501" s="6"/>
      <c r="E501" s="3" t="str">
        <f t="shared" si="1"/>
        <v>現存</v>
      </c>
      <c r="F501" s="3" t="s">
        <v>1140</v>
      </c>
      <c r="G501" s="6"/>
      <c r="H501" s="3" t="str">
        <f t="shared" si="2"/>
        <v>3,5</v>
      </c>
      <c r="I501" s="3" t="s">
        <v>107</v>
      </c>
      <c r="J501" s="3" t="s">
        <v>135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1407</v>
      </c>
      <c r="Q501" s="3"/>
      <c r="R501" s="3"/>
      <c r="S501" s="6"/>
      <c r="T501" s="6"/>
      <c r="U501" s="6"/>
    </row>
    <row r="502" ht="15.75" customHeight="1">
      <c r="A502" s="4" t="s">
        <v>1518</v>
      </c>
      <c r="B502" s="4" t="s">
        <v>1519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236</v>
      </c>
      <c r="N502" s="3" t="s">
        <v>56</v>
      </c>
      <c r="O502" s="9" t="s">
        <v>1450</v>
      </c>
      <c r="P502" s="4" t="s">
        <v>1407</v>
      </c>
      <c r="Q502" s="3"/>
      <c r="R502" s="3"/>
      <c r="S502" s="6"/>
      <c r="T502" s="6"/>
      <c r="U502" s="6"/>
    </row>
    <row r="503" ht="15.75" customHeight="1">
      <c r="A503" s="4" t="s">
        <v>1520</v>
      </c>
      <c r="B503" s="4" t="s">
        <v>1521</v>
      </c>
      <c r="C503" s="4" t="s">
        <v>39</v>
      </c>
      <c r="D503" s="6"/>
      <c r="E503" s="3" t="str">
        <f t="shared" si="1"/>
        <v>現存</v>
      </c>
      <c r="F503" s="3" t="s">
        <v>116</v>
      </c>
      <c r="G503" s="6"/>
      <c r="H503" s="3" t="str">
        <f t="shared" si="2"/>
        <v>3,4</v>
      </c>
      <c r="I503" s="3" t="s">
        <v>139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1407</v>
      </c>
      <c r="Q503" s="3"/>
      <c r="R503" s="3"/>
      <c r="S503" s="6"/>
      <c r="T503" s="6"/>
      <c r="U503" s="6"/>
    </row>
    <row r="504" ht="15.75" customHeight="1">
      <c r="A504" s="4" t="s">
        <v>1522</v>
      </c>
      <c r="B504" s="4" t="s">
        <v>1523</v>
      </c>
      <c r="C504" s="4" t="s">
        <v>39</v>
      </c>
      <c r="D504" s="6"/>
      <c r="E504" s="3" t="str">
        <f t="shared" si="1"/>
        <v>現存</v>
      </c>
      <c r="F504" s="3" t="s">
        <v>1524</v>
      </c>
      <c r="G504" s="6"/>
      <c r="H504" s="3" t="str">
        <f t="shared" si="2"/>
        <v>3,4,5,6,7</v>
      </c>
      <c r="I504" s="3" t="s">
        <v>857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1407</v>
      </c>
      <c r="Q504" s="3"/>
      <c r="R504" s="3"/>
      <c r="S504" s="6"/>
      <c r="T504" s="6"/>
      <c r="U504" s="6"/>
    </row>
    <row r="505" ht="15.75" customHeight="1">
      <c r="A505" s="4" t="s">
        <v>1525</v>
      </c>
      <c r="B505" s="4" t="s">
        <v>1526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117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1407</v>
      </c>
      <c r="Q505" s="3"/>
      <c r="R505" s="3"/>
      <c r="S505" s="6"/>
      <c r="T505" s="6"/>
      <c r="U505" s="6"/>
    </row>
    <row r="506" ht="15.75" customHeight="1">
      <c r="A506" s="4" t="s">
        <v>1527</v>
      </c>
      <c r="B506" s="9" t="s">
        <v>1528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779</v>
      </c>
      <c r="J506" s="3" t="s">
        <v>181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1407</v>
      </c>
      <c r="Q506" s="3"/>
      <c r="R506" s="3"/>
      <c r="S506" s="6"/>
      <c r="T506" s="6"/>
      <c r="U506" s="6"/>
    </row>
    <row r="507" ht="15.75" customHeight="1">
      <c r="A507" s="4" t="s">
        <v>1529</v>
      </c>
      <c r="B507" s="4" t="s">
        <v>1530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117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1450</v>
      </c>
      <c r="P507" s="4" t="s">
        <v>1407</v>
      </c>
      <c r="Q507" s="3"/>
      <c r="R507" s="3"/>
      <c r="S507" s="6"/>
      <c r="T507" s="6"/>
      <c r="U507" s="6"/>
    </row>
    <row r="508" ht="15.75" customHeight="1">
      <c r="A508" s="4" t="s">
        <v>1531</v>
      </c>
      <c r="B508" s="4" t="s">
        <v>1532</v>
      </c>
      <c r="C508" s="4" t="s">
        <v>39</v>
      </c>
      <c r="D508" s="6"/>
      <c r="E508" s="3" t="str">
        <f t="shared" si="1"/>
        <v>現存</v>
      </c>
      <c r="F508" s="3" t="s">
        <v>116</v>
      </c>
      <c r="G508" s="6"/>
      <c r="H508" s="3" t="str">
        <f t="shared" si="2"/>
        <v>3,4</v>
      </c>
      <c r="I508" s="3" t="s">
        <v>426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1407</v>
      </c>
      <c r="Q508" s="3"/>
      <c r="R508" s="3"/>
      <c r="S508" s="6"/>
      <c r="T508" s="6"/>
      <c r="U508" s="6"/>
    </row>
    <row r="509" ht="15.75" customHeight="1">
      <c r="A509" s="4" t="s">
        <v>1533</v>
      </c>
      <c r="B509" s="4" t="s">
        <v>1534</v>
      </c>
      <c r="C509" s="4" t="s">
        <v>39</v>
      </c>
      <c r="D509" s="6"/>
      <c r="E509" s="3" t="str">
        <f t="shared" si="1"/>
        <v>現存</v>
      </c>
      <c r="F509" s="3" t="s">
        <v>1535</v>
      </c>
      <c r="G509" s="6"/>
      <c r="H509" s="3" t="str">
        <f t="shared" si="2"/>
        <v>3,5,8,11</v>
      </c>
      <c r="I509" s="3" t="s">
        <v>319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1407</v>
      </c>
      <c r="Q509" s="3"/>
      <c r="R509" s="3"/>
      <c r="S509" s="6"/>
      <c r="T509" s="6"/>
      <c r="U509" s="6"/>
    </row>
    <row r="510" ht="15.75" customHeight="1">
      <c r="A510" s="4" t="s">
        <v>1536</v>
      </c>
      <c r="B510" s="4" t="s">
        <v>1537</v>
      </c>
      <c r="C510" s="4" t="s">
        <v>39</v>
      </c>
      <c r="D510" s="8" t="s">
        <v>381</v>
      </c>
      <c r="E510" s="3" t="str">
        <f t="shared" si="1"/>
        <v>不收錄</v>
      </c>
      <c r="F510" s="3" t="s">
        <v>1538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236</v>
      </c>
      <c r="N510" s="3" t="s">
        <v>56</v>
      </c>
      <c r="O510" s="3"/>
      <c r="P510" s="4" t="s">
        <v>1407</v>
      </c>
      <c r="Q510" s="3"/>
      <c r="R510" s="3"/>
      <c r="S510" s="6"/>
      <c r="T510" s="6"/>
      <c r="U510" s="6"/>
    </row>
    <row r="511" ht="15.75" customHeight="1">
      <c r="A511" s="4" t="s">
        <v>1539</v>
      </c>
      <c r="B511" s="4" t="s">
        <v>1540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117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1407</v>
      </c>
      <c r="Q511" s="3"/>
      <c r="R511" s="3"/>
      <c r="S511" s="6"/>
      <c r="T511" s="6"/>
      <c r="U511" s="6"/>
    </row>
    <row r="512" ht="15.75" customHeight="1">
      <c r="A512" s="4" t="s">
        <v>1541</v>
      </c>
      <c r="B512" s="4" t="s">
        <v>1542</v>
      </c>
      <c r="C512" s="4" t="s">
        <v>39</v>
      </c>
      <c r="D512" s="6"/>
      <c r="E512" s="3" t="str">
        <f t="shared" si="1"/>
        <v>現存</v>
      </c>
      <c r="F512" s="3" t="s">
        <v>1543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1407</v>
      </c>
      <c r="Q512" s="3"/>
      <c r="R512" s="3"/>
      <c r="S512" s="6"/>
      <c r="T512" s="6"/>
      <c r="U512" s="6"/>
    </row>
    <row r="513" ht="15.75" customHeight="1">
      <c r="A513" s="4" t="s">
        <v>1544</v>
      </c>
      <c r="B513" s="9" t="s">
        <v>1545</v>
      </c>
      <c r="C513" s="4" t="s">
        <v>39</v>
      </c>
      <c r="D513" s="6"/>
      <c r="E513" s="3" t="str">
        <f t="shared" si="1"/>
        <v>現存</v>
      </c>
      <c r="F513" s="3" t="s">
        <v>156</v>
      </c>
      <c r="G513" s="6"/>
      <c r="H513" s="3" t="str">
        <f t="shared" si="2"/>
        <v>4</v>
      </c>
      <c r="I513" s="3" t="s">
        <v>142</v>
      </c>
      <c r="J513" s="3" t="s">
        <v>135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1407</v>
      </c>
      <c r="Q513" s="3"/>
      <c r="R513" s="3"/>
      <c r="S513" s="6"/>
      <c r="T513" s="6"/>
      <c r="U513" s="6"/>
    </row>
    <row r="514" ht="15.75" customHeight="1">
      <c r="A514" s="4" t="s">
        <v>1546</v>
      </c>
      <c r="B514" s="4" t="s">
        <v>1547</v>
      </c>
      <c r="C514" s="4" t="s">
        <v>39</v>
      </c>
      <c r="D514" s="6"/>
      <c r="E514" s="3" t="str">
        <f t="shared" si="1"/>
        <v>現存</v>
      </c>
      <c r="F514" s="3" t="s">
        <v>156</v>
      </c>
      <c r="G514" s="6"/>
      <c r="H514" s="3" t="str">
        <f t="shared" si="2"/>
        <v>4</v>
      </c>
      <c r="I514" s="3" t="s">
        <v>1548</v>
      </c>
      <c r="J514" s="3" t="s">
        <v>181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1407</v>
      </c>
      <c r="Q514" s="3"/>
      <c r="R514" s="3"/>
      <c r="S514" s="6"/>
      <c r="T514" s="6"/>
      <c r="U514" s="6"/>
    </row>
    <row r="515" ht="15.75" customHeight="1">
      <c r="A515" s="4" t="s">
        <v>1549</v>
      </c>
      <c r="B515" s="4" t="s">
        <v>1550</v>
      </c>
      <c r="C515" s="4" t="s">
        <v>39</v>
      </c>
      <c r="D515" s="6"/>
      <c r="E515" s="3" t="str">
        <f t="shared" si="1"/>
        <v>現存</v>
      </c>
      <c r="F515" s="3" t="s">
        <v>156</v>
      </c>
      <c r="G515" s="6"/>
      <c r="H515" s="3" t="str">
        <f t="shared" si="2"/>
        <v>4</v>
      </c>
      <c r="I515" s="3" t="s">
        <v>335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1407</v>
      </c>
      <c r="Q515" s="3"/>
      <c r="R515" s="3"/>
      <c r="S515" s="6"/>
      <c r="T515" s="6"/>
      <c r="U515" s="6"/>
    </row>
    <row r="516" ht="15.75" customHeight="1">
      <c r="A516" s="4" t="s">
        <v>1551</v>
      </c>
      <c r="B516" s="4" t="s">
        <v>1552</v>
      </c>
      <c r="C516" s="4" t="s">
        <v>39</v>
      </c>
      <c r="D516" s="8" t="s">
        <v>381</v>
      </c>
      <c r="E516" s="3" t="str">
        <f t="shared" si="1"/>
        <v>不收錄</v>
      </c>
      <c r="F516" s="3" t="s">
        <v>156</v>
      </c>
      <c r="G516" s="6"/>
      <c r="H516" s="3" t="str">
        <f t="shared" si="2"/>
        <v>4</v>
      </c>
      <c r="I516" s="3" t="s">
        <v>426</v>
      </c>
      <c r="J516" s="3" t="s">
        <v>135</v>
      </c>
      <c r="K516" s="3">
        <v>2.0</v>
      </c>
      <c r="L516" s="3">
        <v>1.0</v>
      </c>
      <c r="M516" s="9" t="s">
        <v>236</v>
      </c>
      <c r="N516" s="3" t="s">
        <v>56</v>
      </c>
      <c r="O516" s="3"/>
      <c r="P516" s="4" t="s">
        <v>1407</v>
      </c>
      <c r="Q516" s="3"/>
      <c r="R516" s="3"/>
      <c r="S516" s="6"/>
      <c r="T516" s="6"/>
      <c r="U516" s="6"/>
    </row>
    <row r="517" ht="15.75" customHeight="1">
      <c r="A517" s="4" t="s">
        <v>1553</v>
      </c>
      <c r="B517" s="4" t="s">
        <v>1554</v>
      </c>
      <c r="C517" s="4" t="s">
        <v>39</v>
      </c>
      <c r="D517" s="6"/>
      <c r="E517" s="3" t="str">
        <f t="shared" si="1"/>
        <v>現存</v>
      </c>
      <c r="F517" s="3" t="s">
        <v>156</v>
      </c>
      <c r="G517" s="6"/>
      <c r="H517" s="3" t="str">
        <f t="shared" si="2"/>
        <v>4</v>
      </c>
      <c r="I517" s="3" t="s">
        <v>83</v>
      </c>
      <c r="J517" s="3" t="s">
        <v>135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1450</v>
      </c>
      <c r="P517" s="4" t="s">
        <v>1407</v>
      </c>
      <c r="Q517" s="3"/>
      <c r="R517" s="3"/>
      <c r="S517" s="6"/>
      <c r="T517" s="6"/>
      <c r="U517" s="6"/>
    </row>
    <row r="518" ht="15.75" customHeight="1">
      <c r="A518" s="4" t="s">
        <v>1555</v>
      </c>
      <c r="B518" s="4" t="s">
        <v>1556</v>
      </c>
      <c r="C518" s="4" t="s">
        <v>39</v>
      </c>
      <c r="D518" s="8" t="s">
        <v>381</v>
      </c>
      <c r="E518" s="3" t="str">
        <f t="shared" si="1"/>
        <v>不收錄</v>
      </c>
      <c r="F518" s="3" t="s">
        <v>156</v>
      </c>
      <c r="G518" s="6"/>
      <c r="H518" s="3" t="str">
        <f t="shared" si="2"/>
        <v>4</v>
      </c>
      <c r="I518" s="3" t="s">
        <v>1557</v>
      </c>
      <c r="J518" s="3" t="s">
        <v>181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1558</v>
      </c>
      <c r="P518" s="4" t="s">
        <v>1407</v>
      </c>
      <c r="Q518" s="3"/>
      <c r="R518" s="3"/>
      <c r="S518" s="6"/>
      <c r="T518" s="6"/>
      <c r="U518" s="6"/>
    </row>
    <row r="519" ht="15.75" customHeight="1">
      <c r="A519" s="4" t="s">
        <v>1559</v>
      </c>
      <c r="B519" s="4" t="s">
        <v>1560</v>
      </c>
      <c r="C519" s="4" t="s">
        <v>39</v>
      </c>
      <c r="D519" s="6"/>
      <c r="E519" s="3" t="str">
        <f t="shared" si="1"/>
        <v>現存</v>
      </c>
      <c r="F519" s="3" t="s">
        <v>156</v>
      </c>
      <c r="G519" s="6"/>
      <c r="H519" s="3" t="str">
        <f t="shared" si="2"/>
        <v>4</v>
      </c>
      <c r="I519" s="3" t="s">
        <v>426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1450</v>
      </c>
      <c r="P519" s="4" t="s">
        <v>1407</v>
      </c>
      <c r="Q519" s="3"/>
      <c r="R519" s="3"/>
      <c r="S519" s="6"/>
      <c r="T519" s="6"/>
      <c r="U519" s="6"/>
    </row>
    <row r="520" ht="15.75" customHeight="1">
      <c r="A520" s="4" t="s">
        <v>1561</v>
      </c>
      <c r="B520" s="4" t="s">
        <v>1562</v>
      </c>
      <c r="C520" s="4" t="s">
        <v>39</v>
      </c>
      <c r="D520" s="6"/>
      <c r="E520" s="3" t="str">
        <f t="shared" si="1"/>
        <v>現存</v>
      </c>
      <c r="F520" s="3" t="s">
        <v>1563</v>
      </c>
      <c r="G520" s="6"/>
      <c r="H520" s="3" t="str">
        <f t="shared" si="2"/>
        <v>4,11,12</v>
      </c>
      <c r="I520" s="3" t="s">
        <v>1270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1450</v>
      </c>
      <c r="P520" s="4" t="s">
        <v>1407</v>
      </c>
      <c r="Q520" s="3"/>
      <c r="R520" s="3"/>
      <c r="S520" s="6"/>
      <c r="T520" s="6"/>
      <c r="U520" s="6"/>
    </row>
    <row r="521" ht="15.75" customHeight="1">
      <c r="A521" s="4" t="s">
        <v>1564</v>
      </c>
      <c r="B521" s="4" t="s">
        <v>1565</v>
      </c>
      <c r="C521" s="4" t="s">
        <v>39</v>
      </c>
      <c r="D521" s="6"/>
      <c r="E521" s="3" t="str">
        <f t="shared" si="1"/>
        <v>現存</v>
      </c>
      <c r="F521" s="3" t="s">
        <v>156</v>
      </c>
      <c r="G521" s="6"/>
      <c r="H521" s="3" t="str">
        <f t="shared" si="2"/>
        <v>4</v>
      </c>
      <c r="I521" s="3" t="s">
        <v>139</v>
      </c>
      <c r="J521" s="3" t="s">
        <v>135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1407</v>
      </c>
      <c r="Q521" s="3"/>
      <c r="R521" s="3"/>
      <c r="S521" s="6"/>
      <c r="T521" s="6"/>
      <c r="U521" s="6"/>
    </row>
    <row r="522" ht="15.75" customHeight="1">
      <c r="A522" s="4" t="s">
        <v>1566</v>
      </c>
      <c r="B522" s="4" t="s">
        <v>1567</v>
      </c>
      <c r="C522" s="4" t="s">
        <v>39</v>
      </c>
      <c r="D522" s="6"/>
      <c r="E522" s="3" t="str">
        <f t="shared" si="1"/>
        <v>現存</v>
      </c>
      <c r="F522" s="3" t="s">
        <v>1568</v>
      </c>
      <c r="G522" s="6"/>
      <c r="H522" s="3" t="str">
        <f t="shared" si="2"/>
        <v>4,5,6,7,11</v>
      </c>
      <c r="I522" s="3" t="s">
        <v>364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1407</v>
      </c>
      <c r="Q522" s="3"/>
      <c r="R522" s="3"/>
      <c r="S522" s="6"/>
      <c r="T522" s="6"/>
      <c r="U522" s="6"/>
    </row>
    <row r="523" ht="15.75" customHeight="1">
      <c r="A523" s="4" t="s">
        <v>1569</v>
      </c>
      <c r="B523" s="4" t="s">
        <v>1570</v>
      </c>
      <c r="C523" s="4" t="s">
        <v>39</v>
      </c>
      <c r="D523" s="6"/>
      <c r="E523" s="3" t="str">
        <f t="shared" si="1"/>
        <v>現存</v>
      </c>
      <c r="F523" s="3" t="s">
        <v>156</v>
      </c>
      <c r="G523" s="6"/>
      <c r="H523" s="3" t="str">
        <f t="shared" si="2"/>
        <v>4</v>
      </c>
      <c r="I523" s="3" t="s">
        <v>726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1450</v>
      </c>
      <c r="P523" s="4" t="s">
        <v>1407</v>
      </c>
      <c r="Q523" s="3"/>
      <c r="R523" s="3"/>
      <c r="S523" s="6"/>
      <c r="T523" s="6"/>
      <c r="U523" s="6"/>
    </row>
    <row r="524" ht="15.75" customHeight="1">
      <c r="A524" s="4" t="s">
        <v>1571</v>
      </c>
      <c r="B524" s="4" t="s">
        <v>1572</v>
      </c>
      <c r="C524" s="4" t="s">
        <v>39</v>
      </c>
      <c r="D524" s="6"/>
      <c r="E524" s="3" t="str">
        <f t="shared" si="1"/>
        <v>現存</v>
      </c>
      <c r="F524" s="3" t="s">
        <v>156</v>
      </c>
      <c r="G524" s="6"/>
      <c r="H524" s="3" t="str">
        <f t="shared" si="2"/>
        <v>4</v>
      </c>
      <c r="I524" s="3" t="s">
        <v>726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1450</v>
      </c>
      <c r="P524" s="4" t="s">
        <v>1407</v>
      </c>
      <c r="Q524" s="3"/>
      <c r="R524" s="3"/>
      <c r="S524" s="6"/>
      <c r="T524" s="6"/>
      <c r="U524" s="6"/>
    </row>
    <row r="525" ht="15.75" customHeight="1">
      <c r="A525" s="4" t="s">
        <v>1573</v>
      </c>
      <c r="B525" s="4" t="s">
        <v>1574</v>
      </c>
      <c r="C525" s="4" t="s">
        <v>39</v>
      </c>
      <c r="D525" s="6"/>
      <c r="E525" s="3" t="str">
        <f t="shared" si="1"/>
        <v>現存</v>
      </c>
      <c r="F525" s="3" t="s">
        <v>156</v>
      </c>
      <c r="G525" s="6"/>
      <c r="H525" s="3" t="str">
        <f t="shared" si="2"/>
        <v>4</v>
      </c>
      <c r="I525" s="3" t="s">
        <v>1575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1407</v>
      </c>
      <c r="Q525" s="3"/>
      <c r="R525" s="3"/>
      <c r="S525" s="6"/>
      <c r="T525" s="6"/>
      <c r="U525" s="6"/>
    </row>
    <row r="526" ht="15.75" customHeight="1">
      <c r="A526" s="4" t="s">
        <v>1576</v>
      </c>
      <c r="B526" s="4" t="s">
        <v>1374</v>
      </c>
      <c r="C526" s="4" t="s">
        <v>39</v>
      </c>
      <c r="D526" s="6"/>
      <c r="E526" s="3" t="str">
        <f t="shared" si="1"/>
        <v>現存</v>
      </c>
      <c r="F526" s="3" t="s">
        <v>407</v>
      </c>
      <c r="G526" s="6"/>
      <c r="H526" s="3" t="str">
        <f t="shared" si="2"/>
        <v>4,7,8</v>
      </c>
      <c r="I526" s="3" t="s">
        <v>142</v>
      </c>
      <c r="J526" s="3" t="s">
        <v>912</v>
      </c>
      <c r="K526" s="3">
        <v>3.0</v>
      </c>
      <c r="L526" s="3">
        <v>1.0</v>
      </c>
      <c r="M526" s="4" t="s">
        <v>43</v>
      </c>
      <c r="N526" s="3" t="s">
        <v>156</v>
      </c>
      <c r="O526" s="3"/>
      <c r="P526" s="9" t="s">
        <v>1133</v>
      </c>
      <c r="Q526" s="3"/>
      <c r="R526" s="3"/>
      <c r="S526" s="6"/>
      <c r="T526" s="6"/>
      <c r="U526" s="6"/>
    </row>
    <row r="527" ht="15.75" customHeight="1">
      <c r="A527" s="4" t="s">
        <v>1577</v>
      </c>
      <c r="B527" s="4" t="s">
        <v>1578</v>
      </c>
      <c r="C527" s="4" t="s">
        <v>39</v>
      </c>
      <c r="D527" s="6"/>
      <c r="E527" s="3" t="str">
        <f t="shared" si="1"/>
        <v>現存</v>
      </c>
      <c r="F527" s="3" t="s">
        <v>425</v>
      </c>
      <c r="G527" s="6"/>
      <c r="H527" s="3" t="str">
        <f t="shared" si="2"/>
        <v>4,5,6</v>
      </c>
      <c r="I527" s="3" t="s">
        <v>444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1579</v>
      </c>
      <c r="O527" s="3"/>
      <c r="P527" s="4" t="s">
        <v>1407</v>
      </c>
      <c r="Q527" s="3"/>
      <c r="R527" s="3"/>
      <c r="S527" s="6"/>
      <c r="T527" s="6"/>
      <c r="U527" s="6"/>
    </row>
    <row r="528" ht="15.75" customHeight="1">
      <c r="A528" s="4" t="s">
        <v>1580</v>
      </c>
      <c r="B528" s="4" t="s">
        <v>1581</v>
      </c>
      <c r="C528" s="4" t="s">
        <v>39</v>
      </c>
      <c r="D528" s="6"/>
      <c r="E528" s="3" t="str">
        <f t="shared" si="1"/>
        <v>現存</v>
      </c>
      <c r="F528" s="3" t="s">
        <v>148</v>
      </c>
      <c r="G528" s="6"/>
      <c r="H528" s="3" t="str">
        <f t="shared" si="2"/>
        <v>4,5</v>
      </c>
      <c r="I528" s="3" t="s">
        <v>160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1407</v>
      </c>
      <c r="Q528" s="3"/>
      <c r="R528" s="3"/>
      <c r="S528" s="6"/>
      <c r="T528" s="6"/>
      <c r="U528" s="6"/>
    </row>
    <row r="529" ht="15.75" customHeight="1">
      <c r="A529" s="4" t="s">
        <v>1582</v>
      </c>
      <c r="B529" s="4" t="s">
        <v>1583</v>
      </c>
      <c r="C529" s="4" t="s">
        <v>39</v>
      </c>
      <c r="D529" s="8" t="s">
        <v>170</v>
      </c>
      <c r="E529" s="3" t="str">
        <f t="shared" si="1"/>
        <v>近年未見</v>
      </c>
      <c r="F529" s="3" t="s">
        <v>156</v>
      </c>
      <c r="G529" s="6"/>
      <c r="H529" s="3" t="str">
        <f t="shared" si="2"/>
        <v>4</v>
      </c>
      <c r="I529" s="3" t="s">
        <v>1584</v>
      </c>
      <c r="J529" s="3" t="s">
        <v>181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1407</v>
      </c>
      <c r="Q529" s="3"/>
      <c r="R529" s="3"/>
      <c r="S529" s="6"/>
      <c r="T529" s="6"/>
      <c r="U529" s="6"/>
    </row>
    <row r="530" ht="15.75" customHeight="1">
      <c r="A530" s="4" t="s">
        <v>1585</v>
      </c>
      <c r="B530" s="4" t="s">
        <v>1586</v>
      </c>
      <c r="C530" s="4" t="s">
        <v>39</v>
      </c>
      <c r="D530" s="6"/>
      <c r="E530" s="3" t="str">
        <f t="shared" si="1"/>
        <v>現存</v>
      </c>
      <c r="F530" s="3" t="s">
        <v>1587</v>
      </c>
      <c r="G530" s="6"/>
      <c r="H530" s="3" t="str">
        <f t="shared" si="2"/>
        <v>5,7,8,11</v>
      </c>
      <c r="I530" s="3" t="s">
        <v>319</v>
      </c>
      <c r="J530" s="3" t="s">
        <v>253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1407</v>
      </c>
      <c r="Q530" s="3"/>
      <c r="R530" s="3"/>
      <c r="S530" s="6"/>
      <c r="T530" s="6"/>
      <c r="U530" s="6"/>
    </row>
    <row r="531" ht="15.75" customHeight="1">
      <c r="A531" s="4" t="s">
        <v>1588</v>
      </c>
      <c r="B531" s="4" t="s">
        <v>1589</v>
      </c>
      <c r="C531" s="4" t="s">
        <v>39</v>
      </c>
      <c r="D531" s="6"/>
      <c r="E531" s="3" t="str">
        <f t="shared" si="1"/>
        <v>現存</v>
      </c>
      <c r="F531" s="3" t="s">
        <v>171</v>
      </c>
      <c r="G531" s="6"/>
      <c r="H531" s="3" t="str">
        <f t="shared" si="2"/>
        <v>5,6</v>
      </c>
      <c r="I531" s="3" t="s">
        <v>857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1407</v>
      </c>
      <c r="Q531" s="3"/>
      <c r="R531" s="3"/>
      <c r="S531" s="6"/>
      <c r="T531" s="6"/>
      <c r="U531" s="6"/>
    </row>
    <row r="532" ht="15.75" customHeight="1">
      <c r="A532" s="4" t="s">
        <v>1590</v>
      </c>
      <c r="B532" s="4" t="s">
        <v>1545</v>
      </c>
      <c r="C532" s="4" t="s">
        <v>39</v>
      </c>
      <c r="D532" s="6"/>
      <c r="E532" s="3" t="str">
        <f t="shared" si="1"/>
        <v>現存</v>
      </c>
      <c r="F532" s="3" t="s">
        <v>290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236</v>
      </c>
      <c r="N532" s="3"/>
      <c r="O532" s="3"/>
      <c r="P532" s="4" t="s">
        <v>1407</v>
      </c>
      <c r="Q532" s="3"/>
      <c r="R532" s="3"/>
      <c r="S532" s="6"/>
      <c r="T532" s="6"/>
      <c r="U532" s="6"/>
    </row>
    <row r="533" ht="15.75" customHeight="1">
      <c r="A533" s="4" t="s">
        <v>1591</v>
      </c>
      <c r="B533" s="4" t="s">
        <v>1592</v>
      </c>
      <c r="C533" s="4" t="s">
        <v>39</v>
      </c>
      <c r="D533" s="6"/>
      <c r="E533" s="3" t="str">
        <f t="shared" si="1"/>
        <v>現存</v>
      </c>
      <c r="F533" s="3" t="s">
        <v>450</v>
      </c>
      <c r="G533" s="6"/>
      <c r="H533" s="3" t="str">
        <f t="shared" si="2"/>
        <v>5</v>
      </c>
      <c r="I533" s="3" t="s">
        <v>1593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1450</v>
      </c>
      <c r="P533" s="4" t="s">
        <v>1407</v>
      </c>
      <c r="Q533" s="3"/>
      <c r="R533" s="3"/>
      <c r="S533" s="6"/>
      <c r="T533" s="6"/>
      <c r="U533" s="6"/>
    </row>
    <row r="534" ht="15.75" customHeight="1">
      <c r="A534" s="4" t="s">
        <v>1594</v>
      </c>
      <c r="B534" s="4" t="s">
        <v>1595</v>
      </c>
      <c r="C534" s="4" t="s">
        <v>39</v>
      </c>
      <c r="D534" s="6"/>
      <c r="E534" s="3" t="str">
        <f t="shared" si="1"/>
        <v>現存</v>
      </c>
      <c r="F534" s="3" t="s">
        <v>459</v>
      </c>
      <c r="G534" s="8"/>
      <c r="H534" s="3" t="str">
        <f t="shared" si="2"/>
        <v>5,10</v>
      </c>
      <c r="I534" s="3" t="s">
        <v>1596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1450</v>
      </c>
      <c r="P534" s="4" t="s">
        <v>1407</v>
      </c>
      <c r="Q534" s="3"/>
      <c r="R534" s="3"/>
      <c r="S534" s="6"/>
      <c r="T534" s="6"/>
      <c r="U534" s="6"/>
    </row>
    <row r="535" ht="15.75" customHeight="1">
      <c r="A535" s="4" t="s">
        <v>1597</v>
      </c>
      <c r="B535" s="4" t="s">
        <v>1598</v>
      </c>
      <c r="C535" s="4" t="s">
        <v>39</v>
      </c>
      <c r="D535" s="6"/>
      <c r="E535" s="3" t="str">
        <f t="shared" si="1"/>
        <v>現存</v>
      </c>
      <c r="F535" s="3" t="s">
        <v>167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1407</v>
      </c>
      <c r="Q535" s="3"/>
      <c r="R535" s="3"/>
      <c r="S535" s="6"/>
      <c r="T535" s="6"/>
      <c r="U535" s="6"/>
    </row>
    <row r="536" ht="15.75" customHeight="1">
      <c r="A536" s="4" t="s">
        <v>1599</v>
      </c>
      <c r="B536" s="4" t="s">
        <v>1600</v>
      </c>
      <c r="C536" s="4" t="s">
        <v>39</v>
      </c>
      <c r="D536" s="6"/>
      <c r="E536" s="3" t="str">
        <f t="shared" si="1"/>
        <v>現存</v>
      </c>
      <c r="F536" s="3" t="s">
        <v>1601</v>
      </c>
      <c r="G536" s="6"/>
      <c r="H536" s="3" t="str">
        <f t="shared" si="2"/>
        <v>5,11</v>
      </c>
      <c r="I536" s="3" t="s">
        <v>1089</v>
      </c>
      <c r="J536" s="3" t="s">
        <v>181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1407</v>
      </c>
      <c r="Q536" s="3"/>
      <c r="R536" s="3"/>
      <c r="S536" s="6"/>
      <c r="T536" s="6"/>
      <c r="U536" s="6"/>
    </row>
    <row r="537" ht="15.75" customHeight="1">
      <c r="A537" s="4" t="s">
        <v>1602</v>
      </c>
      <c r="B537" s="4" t="s">
        <v>1603</v>
      </c>
      <c r="C537" s="4" t="s">
        <v>39</v>
      </c>
      <c r="D537" s="6"/>
      <c r="E537" s="3" t="str">
        <f t="shared" si="1"/>
        <v>現存</v>
      </c>
      <c r="F537" s="3" t="s">
        <v>450</v>
      </c>
      <c r="G537" s="6"/>
      <c r="H537" s="3" t="str">
        <f t="shared" si="2"/>
        <v>5</v>
      </c>
      <c r="I537" s="3" t="s">
        <v>853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1450</v>
      </c>
      <c r="P537" s="4" t="s">
        <v>1407</v>
      </c>
      <c r="Q537" s="3"/>
      <c r="R537" s="3"/>
      <c r="S537" s="6"/>
      <c r="T537" s="6"/>
      <c r="U537" s="6"/>
    </row>
    <row r="538" ht="15.75" customHeight="1">
      <c r="A538" s="4" t="s">
        <v>1604</v>
      </c>
      <c r="B538" s="4" t="s">
        <v>1605</v>
      </c>
      <c r="C538" s="4" t="s">
        <v>39</v>
      </c>
      <c r="D538" s="6"/>
      <c r="E538" s="3" t="str">
        <f t="shared" si="1"/>
        <v>現存</v>
      </c>
      <c r="F538" s="3" t="s">
        <v>1606</v>
      </c>
      <c r="G538" s="6"/>
      <c r="H538" s="3" t="str">
        <f t="shared" si="2"/>
        <v>5,6,8,9</v>
      </c>
      <c r="I538" s="3" t="s">
        <v>499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1407</v>
      </c>
      <c r="Q538" s="3"/>
      <c r="R538" s="3"/>
      <c r="S538" s="6"/>
      <c r="T538" s="6"/>
      <c r="U538" s="6"/>
    </row>
    <row r="539" ht="15.75" customHeight="1">
      <c r="A539" s="4" t="s">
        <v>1607</v>
      </c>
      <c r="B539" s="4" t="s">
        <v>1608</v>
      </c>
      <c r="C539" s="4" t="s">
        <v>39</v>
      </c>
      <c r="D539" s="6"/>
      <c r="E539" s="3" t="str">
        <f t="shared" si="1"/>
        <v>現存</v>
      </c>
      <c r="F539" s="3" t="s">
        <v>1609</v>
      </c>
      <c r="G539" s="6"/>
      <c r="H539" s="3" t="str">
        <f t="shared" si="2"/>
        <v>5,6,8,9,10</v>
      </c>
      <c r="I539" s="3" t="s">
        <v>145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1407</v>
      </c>
      <c r="Q539" s="3"/>
      <c r="R539" s="3"/>
      <c r="S539" s="6"/>
      <c r="T539" s="6"/>
      <c r="U539" s="6"/>
    </row>
    <row r="540" ht="15.75" customHeight="1">
      <c r="A540" s="4" t="s">
        <v>1610</v>
      </c>
      <c r="B540" s="9" t="s">
        <v>1537</v>
      </c>
      <c r="C540" s="4" t="s">
        <v>39</v>
      </c>
      <c r="D540" s="6"/>
      <c r="E540" s="3" t="str">
        <f t="shared" si="1"/>
        <v>現存</v>
      </c>
      <c r="F540" s="3" t="s">
        <v>443</v>
      </c>
      <c r="G540" s="6"/>
      <c r="H540" s="3" t="str">
        <f t="shared" si="2"/>
        <v>5,6,7</v>
      </c>
      <c r="I540" s="3" t="s">
        <v>1207</v>
      </c>
      <c r="J540" s="3" t="s">
        <v>482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1407</v>
      </c>
      <c r="Q540" s="3"/>
      <c r="R540" s="3"/>
      <c r="S540" s="6"/>
      <c r="T540" s="6"/>
      <c r="U540" s="6"/>
    </row>
    <row r="541" ht="15.75" customHeight="1">
      <c r="A541" s="4" t="s">
        <v>1611</v>
      </c>
      <c r="B541" s="4" t="s">
        <v>1612</v>
      </c>
      <c r="C541" s="4" t="s">
        <v>39</v>
      </c>
      <c r="D541" s="6"/>
      <c r="E541" s="3" t="str">
        <f t="shared" si="1"/>
        <v>現存</v>
      </c>
      <c r="F541" s="3" t="s">
        <v>1613</v>
      </c>
      <c r="G541" s="6"/>
      <c r="H541" s="3" t="str">
        <f t="shared" si="2"/>
        <v>5,8</v>
      </c>
      <c r="I541" s="3" t="s">
        <v>1372</v>
      </c>
      <c r="J541" s="3" t="s">
        <v>135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1450</v>
      </c>
      <c r="P541" s="4" t="s">
        <v>1407</v>
      </c>
      <c r="Q541" s="3"/>
      <c r="R541" s="3"/>
      <c r="S541" s="6"/>
      <c r="T541" s="6"/>
      <c r="U541" s="6"/>
    </row>
    <row r="542" ht="15.75" customHeight="1">
      <c r="A542" s="4" t="s">
        <v>1614</v>
      </c>
      <c r="B542" s="4" t="s">
        <v>1615</v>
      </c>
      <c r="C542" s="4" t="s">
        <v>39</v>
      </c>
      <c r="D542" s="6"/>
      <c r="E542" s="3" t="str">
        <f t="shared" si="1"/>
        <v>現存</v>
      </c>
      <c r="F542" s="3" t="s">
        <v>443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1407</v>
      </c>
      <c r="Q542" s="3"/>
      <c r="R542" s="3"/>
      <c r="S542" s="6"/>
      <c r="T542" s="6"/>
      <c r="U542" s="6"/>
    </row>
    <row r="543" ht="15.75" customHeight="1">
      <c r="A543" s="4" t="s">
        <v>1616</v>
      </c>
      <c r="B543" s="4" t="s">
        <v>1617</v>
      </c>
      <c r="C543" s="4" t="s">
        <v>39</v>
      </c>
      <c r="D543" s="6"/>
      <c r="E543" s="3" t="str">
        <f t="shared" si="1"/>
        <v>現存</v>
      </c>
      <c r="F543" s="3" t="s">
        <v>171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1450</v>
      </c>
      <c r="P543" s="4" t="s">
        <v>1407</v>
      </c>
      <c r="Q543" s="3"/>
      <c r="R543" s="3"/>
      <c r="S543" s="6"/>
      <c r="T543" s="6"/>
      <c r="U543" s="6"/>
    </row>
    <row r="544" ht="15.75" customHeight="1">
      <c r="A544" s="4" t="s">
        <v>1618</v>
      </c>
      <c r="B544" s="4" t="s">
        <v>1619</v>
      </c>
      <c r="C544" s="4" t="s">
        <v>39</v>
      </c>
      <c r="D544" s="8" t="s">
        <v>381</v>
      </c>
      <c r="E544" s="3" t="str">
        <f t="shared" si="1"/>
        <v>不收錄</v>
      </c>
      <c r="F544" s="3" t="s">
        <v>1620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236</v>
      </c>
      <c r="N544" s="3" t="s">
        <v>56</v>
      </c>
      <c r="O544" s="3"/>
      <c r="P544" s="4" t="s">
        <v>1407</v>
      </c>
      <c r="Q544" s="3"/>
      <c r="R544" s="3"/>
      <c r="S544" s="6"/>
      <c r="T544" s="6"/>
      <c r="U544" s="6"/>
    </row>
    <row r="545" ht="15.75" customHeight="1">
      <c r="A545" s="4" t="s">
        <v>1621</v>
      </c>
      <c r="B545" s="4" t="s">
        <v>1622</v>
      </c>
      <c r="C545" s="4" t="s">
        <v>39</v>
      </c>
      <c r="D545" s="6"/>
      <c r="E545" s="3" t="str">
        <f t="shared" si="1"/>
        <v>現存</v>
      </c>
      <c r="F545" s="3" t="s">
        <v>310</v>
      </c>
      <c r="G545" s="6"/>
      <c r="H545" s="3" t="str">
        <f t="shared" si="2"/>
        <v>6</v>
      </c>
      <c r="I545" s="3" t="s">
        <v>1623</v>
      </c>
      <c r="J545" s="3" t="s">
        <v>181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1450</v>
      </c>
      <c r="P545" s="4" t="s">
        <v>1407</v>
      </c>
      <c r="Q545" s="3"/>
      <c r="R545" s="3"/>
      <c r="S545" s="6"/>
      <c r="T545" s="6"/>
      <c r="U545" s="6"/>
    </row>
    <row r="546" ht="15.75" customHeight="1">
      <c r="A546" s="4" t="s">
        <v>1624</v>
      </c>
      <c r="B546" s="4" t="s">
        <v>1625</v>
      </c>
      <c r="C546" s="4" t="s">
        <v>39</v>
      </c>
      <c r="D546" s="6"/>
      <c r="E546" s="3" t="str">
        <f t="shared" si="1"/>
        <v>現存</v>
      </c>
      <c r="F546" s="3" t="s">
        <v>310</v>
      </c>
      <c r="G546" s="6"/>
      <c r="H546" s="3" t="str">
        <f t="shared" si="2"/>
        <v>6</v>
      </c>
      <c r="I546" s="3" t="s">
        <v>1626</v>
      </c>
      <c r="J546" s="3" t="s">
        <v>181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1407</v>
      </c>
      <c r="Q546" s="3"/>
      <c r="R546" s="3"/>
      <c r="S546" s="6"/>
      <c r="T546" s="6"/>
      <c r="U546" s="6"/>
    </row>
    <row r="547" ht="15.75" customHeight="1">
      <c r="A547" s="4" t="s">
        <v>1627</v>
      </c>
      <c r="B547" s="4" t="s">
        <v>1628</v>
      </c>
      <c r="C547" s="4" t="s">
        <v>39</v>
      </c>
      <c r="D547" s="6"/>
      <c r="E547" s="3" t="str">
        <f t="shared" si="1"/>
        <v>現存</v>
      </c>
      <c r="F547" s="3" t="s">
        <v>310</v>
      </c>
      <c r="G547" s="6"/>
      <c r="H547" s="3" t="str">
        <f t="shared" si="2"/>
        <v>6</v>
      </c>
      <c r="I547" s="3" t="s">
        <v>172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1407</v>
      </c>
      <c r="Q547" s="3"/>
      <c r="R547" s="3"/>
      <c r="S547" s="6"/>
      <c r="T547" s="6"/>
      <c r="U547" s="6"/>
    </row>
    <row r="548" ht="15.75" customHeight="1">
      <c r="A548" s="4" t="s">
        <v>1629</v>
      </c>
      <c r="B548" s="4" t="s">
        <v>1630</v>
      </c>
      <c r="C548" s="4" t="s">
        <v>39</v>
      </c>
      <c r="D548" s="8" t="s">
        <v>170</v>
      </c>
      <c r="E548" s="3" t="str">
        <f t="shared" si="1"/>
        <v>近年未見</v>
      </c>
      <c r="F548" s="3" t="s">
        <v>310</v>
      </c>
      <c r="G548" s="6"/>
      <c r="H548" s="3" t="str">
        <f t="shared" si="2"/>
        <v>6</v>
      </c>
      <c r="I548" s="3" t="s">
        <v>1631</v>
      </c>
      <c r="J548" s="3" t="s">
        <v>181</v>
      </c>
      <c r="K548" s="3">
        <v>1.0</v>
      </c>
      <c r="L548" s="3">
        <v>1.0</v>
      </c>
      <c r="M548" s="9" t="s">
        <v>236</v>
      </c>
      <c r="N548" s="3" t="s">
        <v>56</v>
      </c>
      <c r="O548" s="9" t="s">
        <v>1450</v>
      </c>
      <c r="P548" s="4" t="s">
        <v>1407</v>
      </c>
      <c r="Q548" s="3"/>
      <c r="R548" s="3"/>
      <c r="S548" s="6"/>
      <c r="T548" s="6"/>
      <c r="U548" s="6"/>
    </row>
    <row r="549" ht="15.75" customHeight="1">
      <c r="A549" s="4" t="s">
        <v>1632</v>
      </c>
      <c r="B549" s="4" t="s">
        <v>1633</v>
      </c>
      <c r="C549" s="4" t="s">
        <v>39</v>
      </c>
      <c r="D549" s="6"/>
      <c r="E549" s="3" t="str">
        <f t="shared" si="1"/>
        <v>現存</v>
      </c>
      <c r="F549" s="3" t="s">
        <v>1634</v>
      </c>
      <c r="G549" s="6"/>
      <c r="H549" s="3" t="str">
        <f t="shared" si="2"/>
        <v>6,11</v>
      </c>
      <c r="I549" s="3" t="s">
        <v>1635</v>
      </c>
      <c r="J549" s="3" t="s">
        <v>181</v>
      </c>
      <c r="K549" s="3">
        <v>2.0</v>
      </c>
      <c r="L549" s="3">
        <v>1.0</v>
      </c>
      <c r="M549" s="9" t="s">
        <v>236</v>
      </c>
      <c r="N549" s="3" t="s">
        <v>56</v>
      </c>
      <c r="O549" s="3"/>
      <c r="P549" s="4" t="s">
        <v>1407</v>
      </c>
      <c r="Q549" s="3"/>
      <c r="R549" s="3"/>
      <c r="S549" s="6"/>
      <c r="T549" s="6"/>
      <c r="U549" s="6"/>
    </row>
    <row r="550" ht="15.75" customHeight="1">
      <c r="A550" s="4" t="s">
        <v>1636</v>
      </c>
      <c r="B550" s="4" t="s">
        <v>1637</v>
      </c>
      <c r="C550" s="4" t="s">
        <v>39</v>
      </c>
      <c r="D550" s="6"/>
      <c r="E550" s="3" t="str">
        <f t="shared" si="1"/>
        <v>現存</v>
      </c>
      <c r="F550" s="3" t="s">
        <v>1638</v>
      </c>
      <c r="G550" s="6"/>
      <c r="H550" s="3" t="str">
        <f t="shared" si="2"/>
        <v>6,7,8,9,10,11,12</v>
      </c>
      <c r="I550" s="3" t="s">
        <v>1372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1407</v>
      </c>
      <c r="Q550" s="3"/>
      <c r="R550" s="3"/>
      <c r="S550" s="6"/>
      <c r="T550" s="6"/>
      <c r="U550" s="6"/>
    </row>
    <row r="551" ht="15.75" customHeight="1">
      <c r="A551" s="4" t="s">
        <v>1639</v>
      </c>
      <c r="B551" s="4" t="s">
        <v>1640</v>
      </c>
      <c r="C551" s="4" t="s">
        <v>39</v>
      </c>
      <c r="D551" s="6"/>
      <c r="E551" s="3" t="str">
        <f t="shared" si="1"/>
        <v>現存</v>
      </c>
      <c r="F551" s="3" t="s">
        <v>310</v>
      </c>
      <c r="G551" s="6"/>
      <c r="H551" s="3" t="str">
        <f t="shared" si="2"/>
        <v>6</v>
      </c>
      <c r="I551" s="3" t="s">
        <v>1626</v>
      </c>
      <c r="J551" s="3" t="s">
        <v>181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1450</v>
      </c>
      <c r="P551" s="4" t="s">
        <v>1407</v>
      </c>
      <c r="Q551" s="3"/>
      <c r="R551" s="3"/>
      <c r="S551" s="6"/>
      <c r="T551" s="6"/>
      <c r="U551" s="6"/>
    </row>
    <row r="552" ht="15.75" customHeight="1">
      <c r="A552" s="4" t="s">
        <v>1641</v>
      </c>
      <c r="B552" s="4" t="s">
        <v>1642</v>
      </c>
      <c r="C552" s="4" t="s">
        <v>39</v>
      </c>
      <c r="D552" s="6"/>
      <c r="E552" s="3" t="str">
        <f t="shared" si="1"/>
        <v>現存</v>
      </c>
      <c r="F552" s="3" t="s">
        <v>972</v>
      </c>
      <c r="G552" s="6"/>
      <c r="H552" s="3" t="str">
        <f t="shared" si="2"/>
        <v>6,9</v>
      </c>
      <c r="I552" s="3" t="s">
        <v>92</v>
      </c>
      <c r="J552" s="3" t="s">
        <v>125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1450</v>
      </c>
      <c r="P552" s="4" t="s">
        <v>1407</v>
      </c>
      <c r="Q552" s="3"/>
      <c r="R552" s="3"/>
      <c r="S552" s="6"/>
      <c r="T552" s="6"/>
      <c r="U552" s="6"/>
    </row>
    <row r="553" ht="15.75" customHeight="1">
      <c r="A553" s="4" t="s">
        <v>1643</v>
      </c>
      <c r="B553" s="4" t="s">
        <v>1644</v>
      </c>
      <c r="C553" s="4" t="s">
        <v>39</v>
      </c>
      <c r="D553" s="6"/>
      <c r="E553" s="3" t="str">
        <f t="shared" si="1"/>
        <v>現存</v>
      </c>
      <c r="F553" s="3" t="s">
        <v>1645</v>
      </c>
      <c r="G553" s="6"/>
      <c r="H553" s="3" t="str">
        <f t="shared" si="2"/>
        <v>6,7,9,10,11</v>
      </c>
      <c r="I553" s="3" t="s">
        <v>516</v>
      </c>
      <c r="J553" s="3" t="s">
        <v>482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1407</v>
      </c>
      <c r="Q553" s="3"/>
      <c r="R553" s="3"/>
      <c r="S553" s="6"/>
      <c r="T553" s="6"/>
      <c r="U553" s="6"/>
    </row>
    <row r="554" ht="15.75" customHeight="1">
      <c r="A554" s="4" t="s">
        <v>1646</v>
      </c>
      <c r="B554" s="4" t="s">
        <v>1647</v>
      </c>
      <c r="C554" s="4" t="s">
        <v>39</v>
      </c>
      <c r="D554" s="6"/>
      <c r="E554" s="3" t="str">
        <f t="shared" si="1"/>
        <v>現存</v>
      </c>
      <c r="F554" s="3" t="s">
        <v>795</v>
      </c>
      <c r="G554" s="6"/>
      <c r="H554" s="3" t="str">
        <f t="shared" si="2"/>
        <v>6,7,8</v>
      </c>
      <c r="I554" s="3" t="s">
        <v>520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1450</v>
      </c>
      <c r="P554" s="4" t="s">
        <v>1407</v>
      </c>
      <c r="Q554" s="3"/>
      <c r="R554" s="3"/>
      <c r="S554" s="6"/>
      <c r="T554" s="6"/>
      <c r="U554" s="6"/>
    </row>
    <row r="555" ht="15.75" customHeight="1">
      <c r="A555" s="4" t="s">
        <v>1648</v>
      </c>
      <c r="B555" s="4" t="s">
        <v>1649</v>
      </c>
      <c r="C555" s="4" t="s">
        <v>39</v>
      </c>
      <c r="D555" s="6"/>
      <c r="E555" s="3" t="str">
        <f t="shared" si="1"/>
        <v>現存</v>
      </c>
      <c r="F555" s="3" t="s">
        <v>1220</v>
      </c>
      <c r="G555" s="6"/>
      <c r="H555" s="3" t="str">
        <f t="shared" si="2"/>
        <v>6,8</v>
      </c>
      <c r="I555" s="3" t="s">
        <v>857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1407</v>
      </c>
      <c r="Q555" s="3"/>
      <c r="R555" s="3"/>
      <c r="S555" s="6"/>
      <c r="T555" s="6"/>
      <c r="U555" s="6"/>
    </row>
    <row r="556" ht="15.75" customHeight="1">
      <c r="A556" s="4" t="s">
        <v>1650</v>
      </c>
      <c r="B556" s="4" t="s">
        <v>1651</v>
      </c>
      <c r="C556" s="4" t="s">
        <v>39</v>
      </c>
      <c r="D556" s="6"/>
      <c r="E556" s="3" t="str">
        <f t="shared" si="1"/>
        <v>現存</v>
      </c>
      <c r="F556" s="3" t="s">
        <v>1210</v>
      </c>
      <c r="G556" s="6"/>
      <c r="H556" s="3" t="str">
        <f t="shared" si="2"/>
        <v>6,7,9</v>
      </c>
      <c r="I556" s="3" t="s">
        <v>644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1407</v>
      </c>
      <c r="Q556" s="3"/>
      <c r="R556" s="3"/>
      <c r="S556" s="6"/>
      <c r="T556" s="6"/>
      <c r="U556" s="6"/>
    </row>
    <row r="557" ht="15.75" customHeight="1">
      <c r="A557" s="4" t="s">
        <v>1652</v>
      </c>
      <c r="B557" s="4" t="s">
        <v>1653</v>
      </c>
      <c r="C557" s="4" t="s">
        <v>39</v>
      </c>
      <c r="D557" s="6"/>
      <c r="E557" s="3" t="str">
        <f t="shared" si="1"/>
        <v>現存</v>
      </c>
      <c r="F557" s="3" t="s">
        <v>310</v>
      </c>
      <c r="G557" s="6"/>
      <c r="H557" s="3" t="str">
        <f t="shared" si="2"/>
        <v>6</v>
      </c>
      <c r="I557" s="3" t="s">
        <v>1623</v>
      </c>
      <c r="J557" s="3" t="s">
        <v>181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1450</v>
      </c>
      <c r="P557" s="4" t="s">
        <v>1407</v>
      </c>
      <c r="Q557" s="3"/>
      <c r="R557" s="3"/>
      <c r="S557" s="6"/>
      <c r="T557" s="6"/>
      <c r="U557" s="6"/>
    </row>
    <row r="558" ht="15.75" customHeight="1">
      <c r="A558" s="4" t="s">
        <v>1654</v>
      </c>
      <c r="B558" s="4" t="s">
        <v>1655</v>
      </c>
      <c r="C558" s="4" t="s">
        <v>39</v>
      </c>
      <c r="D558" s="6"/>
      <c r="E558" s="3" t="str">
        <f t="shared" si="1"/>
        <v>現存</v>
      </c>
      <c r="F558" s="3" t="s">
        <v>314</v>
      </c>
      <c r="G558" s="6"/>
      <c r="H558" s="3" t="str">
        <f t="shared" si="2"/>
        <v>7</v>
      </c>
      <c r="I558" s="3" t="s">
        <v>315</v>
      </c>
      <c r="J558" s="3" t="s">
        <v>181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1450</v>
      </c>
      <c r="P558" s="4" t="s">
        <v>1407</v>
      </c>
      <c r="Q558" s="3"/>
      <c r="R558" s="3"/>
      <c r="S558" s="6"/>
      <c r="T558" s="6"/>
      <c r="U558" s="6"/>
    </row>
    <row r="559" ht="15.75" customHeight="1">
      <c r="A559" s="4" t="s">
        <v>1656</v>
      </c>
      <c r="B559" s="4" t="s">
        <v>1657</v>
      </c>
      <c r="C559" s="4" t="s">
        <v>39</v>
      </c>
      <c r="D559" s="6"/>
      <c r="E559" s="3" t="str">
        <f t="shared" si="1"/>
        <v>現存</v>
      </c>
      <c r="F559" s="3" t="s">
        <v>1658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1450</v>
      </c>
      <c r="P559" s="4" t="s">
        <v>1407</v>
      </c>
      <c r="Q559" s="3"/>
      <c r="R559" s="3"/>
      <c r="S559" s="6"/>
      <c r="T559" s="6"/>
      <c r="U559" s="6"/>
    </row>
    <row r="560" ht="15.75" customHeight="1">
      <c r="A560" s="4" t="s">
        <v>1659</v>
      </c>
      <c r="B560" s="4" t="s">
        <v>1660</v>
      </c>
      <c r="C560" s="4" t="s">
        <v>170</v>
      </c>
      <c r="D560" s="8" t="s">
        <v>381</v>
      </c>
      <c r="E560" s="3" t="str">
        <f t="shared" si="1"/>
        <v>不收錄</v>
      </c>
      <c r="F560" s="3" t="s">
        <v>314</v>
      </c>
      <c r="G560" s="6"/>
      <c r="H560" s="3" t="str">
        <f t="shared" si="2"/>
        <v>7</v>
      </c>
      <c r="I560" s="3" t="s">
        <v>808</v>
      </c>
      <c r="J560" s="3" t="s">
        <v>181</v>
      </c>
      <c r="K560" s="3">
        <v>1.0</v>
      </c>
      <c r="L560" s="3">
        <v>0.0</v>
      </c>
      <c r="M560" s="4" t="s">
        <v>236</v>
      </c>
      <c r="N560" s="3"/>
      <c r="O560" s="3"/>
      <c r="P560" s="4" t="s">
        <v>1407</v>
      </c>
      <c r="Q560" s="3"/>
      <c r="R560" s="3"/>
      <c r="S560" s="6"/>
      <c r="T560" s="6"/>
      <c r="U560" s="6"/>
    </row>
    <row r="561" ht="15.75" customHeight="1">
      <c r="A561" s="4" t="s">
        <v>1661</v>
      </c>
      <c r="B561" s="4" t="s">
        <v>1662</v>
      </c>
      <c r="C561" s="4" t="s">
        <v>39</v>
      </c>
      <c r="D561" s="6"/>
      <c r="E561" s="3" t="str">
        <f t="shared" si="1"/>
        <v>現存</v>
      </c>
      <c r="F561" s="3" t="s">
        <v>314</v>
      </c>
      <c r="G561" s="6"/>
      <c r="H561" s="3" t="str">
        <f t="shared" si="2"/>
        <v>7</v>
      </c>
      <c r="I561" s="3" t="s">
        <v>557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1407</v>
      </c>
      <c r="Q561" s="3"/>
      <c r="R561" s="3"/>
      <c r="S561" s="6"/>
      <c r="T561" s="6"/>
      <c r="U561" s="6"/>
    </row>
    <row r="562" ht="15.75" customHeight="1">
      <c r="A562" s="4" t="s">
        <v>1663</v>
      </c>
      <c r="B562" s="4" t="s">
        <v>1664</v>
      </c>
      <c r="C562" s="4" t="s">
        <v>39</v>
      </c>
      <c r="D562" s="6"/>
      <c r="E562" s="3" t="str">
        <f t="shared" si="1"/>
        <v>現存</v>
      </c>
      <c r="F562" s="3" t="s">
        <v>478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1407</v>
      </c>
      <c r="Q562" s="3"/>
      <c r="R562" s="3"/>
      <c r="S562" s="6"/>
      <c r="T562" s="6"/>
      <c r="U562" s="6"/>
    </row>
    <row r="563" ht="15.75" customHeight="1">
      <c r="A563" s="4" t="s">
        <v>1665</v>
      </c>
      <c r="B563" s="4" t="s">
        <v>1666</v>
      </c>
      <c r="C563" s="4" t="s">
        <v>39</v>
      </c>
      <c r="D563" s="8" t="s">
        <v>170</v>
      </c>
      <c r="E563" s="3" t="str">
        <f t="shared" si="1"/>
        <v>近年未見</v>
      </c>
      <c r="F563" s="3" t="s">
        <v>314</v>
      </c>
      <c r="G563" s="6"/>
      <c r="H563" s="3" t="str">
        <f t="shared" si="2"/>
        <v>7</v>
      </c>
      <c r="I563" s="3" t="s">
        <v>520</v>
      </c>
      <c r="J563" s="3" t="s">
        <v>42</v>
      </c>
      <c r="K563" s="3">
        <v>1.0</v>
      </c>
      <c r="L563" s="3">
        <v>1.0</v>
      </c>
      <c r="M563" s="9" t="s">
        <v>236</v>
      </c>
      <c r="N563" s="3" t="s">
        <v>56</v>
      </c>
      <c r="O563" s="9" t="s">
        <v>1450</v>
      </c>
      <c r="P563" s="4" t="s">
        <v>1407</v>
      </c>
      <c r="Q563" s="3"/>
      <c r="R563" s="3"/>
      <c r="S563" s="6"/>
      <c r="T563" s="6"/>
      <c r="U563" s="6"/>
    </row>
    <row r="564" ht="15.75" customHeight="1">
      <c r="A564" s="4" t="s">
        <v>1667</v>
      </c>
      <c r="B564" s="4" t="s">
        <v>1668</v>
      </c>
      <c r="C564" s="4" t="s">
        <v>39</v>
      </c>
      <c r="D564" s="6"/>
      <c r="E564" s="3" t="str">
        <f t="shared" si="1"/>
        <v>現存</v>
      </c>
      <c r="F564" s="3" t="s">
        <v>179</v>
      </c>
      <c r="G564" s="6"/>
      <c r="H564" s="3" t="str">
        <f t="shared" si="2"/>
        <v>8</v>
      </c>
      <c r="I564" s="3" t="s">
        <v>1669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1407</v>
      </c>
      <c r="Q564" s="3"/>
      <c r="R564" s="3"/>
      <c r="S564" s="6"/>
      <c r="T564" s="6"/>
      <c r="U564" s="6"/>
    </row>
    <row r="565" ht="15.75" customHeight="1">
      <c r="A565" s="4" t="s">
        <v>1670</v>
      </c>
      <c r="B565" s="4" t="s">
        <v>1671</v>
      </c>
      <c r="C565" s="4" t="s">
        <v>39</v>
      </c>
      <c r="D565" s="6"/>
      <c r="E565" s="3" t="str">
        <f t="shared" si="1"/>
        <v>現存</v>
      </c>
      <c r="F565" s="3" t="s">
        <v>175</v>
      </c>
      <c r="G565" s="6"/>
      <c r="H565" s="3" t="str">
        <f t="shared" si="2"/>
        <v>8,9</v>
      </c>
      <c r="I565" s="3" t="s">
        <v>60</v>
      </c>
      <c r="J565" s="3" t="s">
        <v>912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1407</v>
      </c>
      <c r="Q565" s="3"/>
      <c r="R565" s="3"/>
      <c r="S565" s="6"/>
      <c r="T565" s="6"/>
      <c r="U565" s="6"/>
    </row>
    <row r="566" ht="15.75" customHeight="1">
      <c r="A566" s="4" t="s">
        <v>1672</v>
      </c>
      <c r="B566" s="9" t="s">
        <v>1619</v>
      </c>
      <c r="C566" s="4" t="s">
        <v>39</v>
      </c>
      <c r="D566" s="6"/>
      <c r="E566" s="3" t="str">
        <f t="shared" si="1"/>
        <v>現存</v>
      </c>
      <c r="F566" s="3" t="s">
        <v>175</v>
      </c>
      <c r="G566" s="6"/>
      <c r="H566" s="3" t="str">
        <f t="shared" si="2"/>
        <v>8,9</v>
      </c>
      <c r="I566" s="3" t="s">
        <v>1184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1407</v>
      </c>
      <c r="Q566" s="3"/>
      <c r="R566" s="3"/>
      <c r="S566" s="6"/>
      <c r="T566" s="6"/>
      <c r="U566" s="6"/>
    </row>
    <row r="567" ht="15.75" customHeight="1">
      <c r="A567" s="4" t="s">
        <v>1673</v>
      </c>
      <c r="B567" s="4" t="s">
        <v>1674</v>
      </c>
      <c r="C567" s="4" t="s">
        <v>39</v>
      </c>
      <c r="D567" s="6"/>
      <c r="E567" s="3" t="str">
        <f t="shared" si="1"/>
        <v>現存</v>
      </c>
      <c r="F567" s="3" t="s">
        <v>175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1450</v>
      </c>
      <c r="P567" s="4" t="s">
        <v>1407</v>
      </c>
      <c r="Q567" s="3"/>
      <c r="R567" s="3"/>
      <c r="S567" s="6"/>
      <c r="T567" s="6"/>
      <c r="U567" s="6"/>
    </row>
    <row r="568" ht="15.75" customHeight="1">
      <c r="A568" s="4" t="s">
        <v>1675</v>
      </c>
      <c r="B568" s="4" t="s">
        <v>1676</v>
      </c>
      <c r="C568" s="4" t="s">
        <v>39</v>
      </c>
      <c r="D568" s="6"/>
      <c r="E568" s="3" t="str">
        <f t="shared" si="1"/>
        <v>現存</v>
      </c>
      <c r="F568" s="3" t="s">
        <v>326</v>
      </c>
      <c r="G568" s="6"/>
      <c r="H568" s="3" t="str">
        <f t="shared" si="2"/>
        <v>9</v>
      </c>
      <c r="I568" s="3" t="s">
        <v>327</v>
      </c>
      <c r="J568" s="3" t="s">
        <v>181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1450</v>
      </c>
      <c r="P568" s="4" t="s">
        <v>1407</v>
      </c>
      <c r="Q568" s="3"/>
      <c r="R568" s="3"/>
      <c r="S568" s="6"/>
      <c r="T568" s="6"/>
      <c r="U568" s="6"/>
    </row>
    <row r="569" ht="15.75" customHeight="1">
      <c r="A569" s="4" t="s">
        <v>1677</v>
      </c>
      <c r="B569" s="4" t="s">
        <v>1678</v>
      </c>
      <c r="C569" s="4" t="s">
        <v>39</v>
      </c>
      <c r="D569" s="6"/>
      <c r="E569" s="3" t="str">
        <f t="shared" si="1"/>
        <v>現存</v>
      </c>
      <c r="F569" s="3" t="s">
        <v>498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1407</v>
      </c>
      <c r="Q569" s="3"/>
      <c r="R569" s="3"/>
      <c r="S569" s="6"/>
      <c r="T569" s="6"/>
      <c r="U569" s="6"/>
    </row>
    <row r="570" ht="15.75" customHeight="1">
      <c r="A570" s="4" t="s">
        <v>1679</v>
      </c>
      <c r="B570" s="4" t="s">
        <v>1680</v>
      </c>
      <c r="C570" s="4" t="s">
        <v>39</v>
      </c>
      <c r="D570" s="6"/>
      <c r="E570" s="3" t="str">
        <f t="shared" si="1"/>
        <v>現存</v>
      </c>
      <c r="F570" s="3" t="s">
        <v>326</v>
      </c>
      <c r="G570" s="6"/>
      <c r="H570" s="3" t="str">
        <f t="shared" si="2"/>
        <v>9</v>
      </c>
      <c r="I570" s="3" t="s">
        <v>1681</v>
      </c>
      <c r="J570" s="3" t="s">
        <v>181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1450</v>
      </c>
      <c r="P570" s="4" t="s">
        <v>1407</v>
      </c>
      <c r="Q570" s="3"/>
      <c r="R570" s="3"/>
      <c r="S570" s="6"/>
      <c r="T570" s="6"/>
      <c r="U570" s="6"/>
    </row>
    <row r="571" ht="15.75" customHeight="1">
      <c r="A571" s="4" t="s">
        <v>1682</v>
      </c>
      <c r="B571" s="4" t="s">
        <v>1683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117</v>
      </c>
      <c r="J571" s="3" t="s">
        <v>135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1684</v>
      </c>
      <c r="Q571" s="3"/>
      <c r="R571" s="3"/>
      <c r="S571" s="6"/>
      <c r="T571" s="6"/>
      <c r="U571" s="6"/>
    </row>
    <row r="572" ht="15.75" customHeight="1">
      <c r="A572" s="4" t="s">
        <v>1685</v>
      </c>
      <c r="B572" s="4" t="s">
        <v>1686</v>
      </c>
      <c r="C572" s="4" t="s">
        <v>39</v>
      </c>
      <c r="D572" s="6"/>
      <c r="E572" s="3" t="str">
        <f t="shared" si="1"/>
        <v>現存</v>
      </c>
      <c r="F572" s="3" t="s">
        <v>1687</v>
      </c>
      <c r="G572" s="6"/>
      <c r="H572" s="3" t="str">
        <f t="shared" si="2"/>
        <v>1,5,6,9</v>
      </c>
      <c r="I572" s="3" t="s">
        <v>447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1684</v>
      </c>
      <c r="Q572" s="4" t="s">
        <v>1688</v>
      </c>
      <c r="R572" s="3"/>
      <c r="S572" s="6"/>
      <c r="T572" s="6"/>
      <c r="U572" s="6"/>
    </row>
    <row r="573" ht="15.75" customHeight="1">
      <c r="A573" s="4" t="s">
        <v>1689</v>
      </c>
      <c r="B573" s="4" t="s">
        <v>1690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1684</v>
      </c>
      <c r="Q573" s="3"/>
      <c r="R573" s="3"/>
      <c r="S573" s="6"/>
      <c r="T573" s="6"/>
      <c r="U573" s="6"/>
    </row>
    <row r="574" ht="15.75" customHeight="1">
      <c r="A574" s="4" t="s">
        <v>1691</v>
      </c>
      <c r="B574" s="4" t="s">
        <v>1692</v>
      </c>
      <c r="C574" s="4" t="s">
        <v>39</v>
      </c>
      <c r="D574" s="6"/>
      <c r="E574" s="3" t="str">
        <f t="shared" si="1"/>
        <v>現存</v>
      </c>
      <c r="F574" s="3" t="s">
        <v>1693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156</v>
      </c>
      <c r="O574" s="3"/>
      <c r="P574" s="4" t="s">
        <v>1684</v>
      </c>
      <c r="Q574" s="3"/>
      <c r="R574" s="3"/>
      <c r="S574" s="6"/>
      <c r="T574" s="6"/>
      <c r="U574" s="6"/>
    </row>
    <row r="575" ht="15.75" customHeight="1">
      <c r="A575" s="4" t="s">
        <v>1694</v>
      </c>
      <c r="B575" s="9" t="s">
        <v>1683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530</v>
      </c>
      <c r="J575" s="3" t="s">
        <v>125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1684</v>
      </c>
      <c r="Q575" s="3"/>
      <c r="R575" s="3"/>
      <c r="S575" s="6"/>
      <c r="T575" s="6"/>
      <c r="U575" s="6"/>
    </row>
    <row r="576" ht="15.75" customHeight="1">
      <c r="A576" s="4" t="s">
        <v>1695</v>
      </c>
      <c r="B576" s="4" t="s">
        <v>1696</v>
      </c>
      <c r="C576" s="4" t="s">
        <v>39</v>
      </c>
      <c r="D576" s="6"/>
      <c r="E576" s="3" t="str">
        <f t="shared" si="1"/>
        <v>現存</v>
      </c>
      <c r="F576" s="3" t="s">
        <v>1697</v>
      </c>
      <c r="G576" s="6"/>
      <c r="H576" s="3" t="str">
        <f t="shared" si="2"/>
        <v>1,4,5,6,7,8,9,10</v>
      </c>
      <c r="I576" s="3" t="s">
        <v>589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1684</v>
      </c>
      <c r="Q576" s="3"/>
      <c r="R576" s="3"/>
      <c r="S576" s="6"/>
      <c r="T576" s="6"/>
      <c r="U576" s="6"/>
    </row>
    <row r="577" ht="15.75" customHeight="1">
      <c r="A577" s="4" t="s">
        <v>1698</v>
      </c>
      <c r="B577" s="4" t="s">
        <v>1699</v>
      </c>
      <c r="C577" s="4" t="s">
        <v>39</v>
      </c>
      <c r="D577" s="6"/>
      <c r="E577" s="3" t="str">
        <f t="shared" si="1"/>
        <v>現存</v>
      </c>
      <c r="F577" s="3" t="s">
        <v>1700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1684</v>
      </c>
      <c r="Q577" s="3"/>
      <c r="R577" s="3"/>
      <c r="S577" s="6"/>
      <c r="T577" s="6"/>
      <c r="U577" s="6"/>
    </row>
    <row r="578" ht="15.75" customHeight="1">
      <c r="A578" s="4" t="s">
        <v>1701</v>
      </c>
      <c r="B578" s="4" t="s">
        <v>1702</v>
      </c>
      <c r="C578" s="4" t="s">
        <v>39</v>
      </c>
      <c r="D578" s="6"/>
      <c r="E578" s="3" t="str">
        <f t="shared" si="1"/>
        <v>現存</v>
      </c>
      <c r="F578" s="3" t="s">
        <v>1703</v>
      </c>
      <c r="G578" s="6"/>
      <c r="H578" s="3" t="str">
        <f t="shared" si="2"/>
        <v>1,3,10</v>
      </c>
      <c r="I578" s="3" t="s">
        <v>338</v>
      </c>
      <c r="J578" s="3" t="s">
        <v>125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1684</v>
      </c>
      <c r="Q578" s="3"/>
      <c r="R578" s="3"/>
      <c r="S578" s="6"/>
      <c r="T578" s="6"/>
      <c r="U578" s="6"/>
    </row>
    <row r="579" ht="15.75" customHeight="1">
      <c r="A579" s="4" t="s">
        <v>1704</v>
      </c>
      <c r="B579" s="4" t="s">
        <v>1705</v>
      </c>
      <c r="C579" s="4" t="s">
        <v>39</v>
      </c>
      <c r="D579" s="6"/>
      <c r="E579" s="3" t="str">
        <f t="shared" si="1"/>
        <v>現存</v>
      </c>
      <c r="F579" s="3" t="s">
        <v>1706</v>
      </c>
      <c r="G579" s="6"/>
      <c r="H579" s="3" t="str">
        <f t="shared" si="2"/>
        <v>1,4,6,9,11,12</v>
      </c>
      <c r="I579" s="3" t="s">
        <v>447</v>
      </c>
      <c r="J579" s="3" t="s">
        <v>193</v>
      </c>
      <c r="K579" s="3">
        <v>8.0</v>
      </c>
      <c r="L579" s="3">
        <v>1.0</v>
      </c>
      <c r="M579" s="4" t="s">
        <v>43</v>
      </c>
      <c r="N579" s="3" t="s">
        <v>156</v>
      </c>
      <c r="O579" s="3"/>
      <c r="P579" s="4" t="s">
        <v>1684</v>
      </c>
      <c r="Q579" s="3"/>
      <c r="R579" s="3"/>
      <c r="S579" s="6"/>
      <c r="T579" s="6"/>
      <c r="U579" s="6"/>
    </row>
    <row r="580" ht="15.75" customHeight="1">
      <c r="A580" s="4" t="s">
        <v>1707</v>
      </c>
      <c r="B580" s="4" t="s">
        <v>1708</v>
      </c>
      <c r="C580" s="4" t="s">
        <v>39</v>
      </c>
      <c r="D580" s="6"/>
      <c r="E580" s="3" t="str">
        <f t="shared" si="1"/>
        <v>現存</v>
      </c>
      <c r="F580" s="3" t="s">
        <v>221</v>
      </c>
      <c r="G580" s="6"/>
      <c r="H580" s="3" t="str">
        <f t="shared" si="2"/>
        <v>2,3,5</v>
      </c>
      <c r="I580" s="3" t="s">
        <v>160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1684</v>
      </c>
      <c r="Q580" s="3"/>
      <c r="R580" s="3"/>
      <c r="S580" s="6"/>
      <c r="T580" s="6"/>
      <c r="U580" s="6"/>
    </row>
    <row r="581" ht="15.75" customHeight="1">
      <c r="A581" s="4" t="s">
        <v>1709</v>
      </c>
      <c r="B581" s="4" t="s">
        <v>1710</v>
      </c>
      <c r="C581" s="4" t="s">
        <v>39</v>
      </c>
      <c r="D581" s="6"/>
      <c r="E581" s="3" t="str">
        <f t="shared" si="1"/>
        <v>現存</v>
      </c>
      <c r="F581" s="3" t="s">
        <v>1711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1684</v>
      </c>
      <c r="Q581" s="3"/>
      <c r="R581" s="3"/>
      <c r="S581" s="6"/>
      <c r="T581" s="6"/>
      <c r="U581" s="6"/>
    </row>
    <row r="582" ht="15.75" customHeight="1">
      <c r="A582" s="4" t="s">
        <v>1712</v>
      </c>
      <c r="B582" s="4" t="s">
        <v>1713</v>
      </c>
      <c r="C582" s="4" t="s">
        <v>39</v>
      </c>
      <c r="D582" s="6"/>
      <c r="E582" s="3" t="str">
        <f t="shared" si="1"/>
        <v>現存</v>
      </c>
      <c r="F582" s="3" t="s">
        <v>371</v>
      </c>
      <c r="G582" s="6"/>
      <c r="H582" s="3" t="str">
        <f t="shared" si="2"/>
        <v>2,8</v>
      </c>
      <c r="I582" s="3" t="s">
        <v>1669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1684</v>
      </c>
      <c r="Q582" s="3"/>
      <c r="R582" s="3"/>
      <c r="S582" s="6"/>
      <c r="T582" s="6"/>
      <c r="U582" s="6"/>
    </row>
    <row r="583" ht="15.75" customHeight="1">
      <c r="A583" s="4" t="s">
        <v>1714</v>
      </c>
      <c r="B583" s="4" t="s">
        <v>1715</v>
      </c>
      <c r="C583" s="4" t="s">
        <v>39</v>
      </c>
      <c r="D583" s="6"/>
      <c r="E583" s="3" t="str">
        <f t="shared" si="1"/>
        <v>現存</v>
      </c>
      <c r="F583" s="3" t="s">
        <v>935</v>
      </c>
      <c r="G583" s="6"/>
      <c r="H583" s="3" t="str">
        <f t="shared" si="2"/>
        <v>2,3,4</v>
      </c>
      <c r="I583" s="3" t="s">
        <v>142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1684</v>
      </c>
      <c r="Q583" s="3"/>
      <c r="R583" s="3"/>
      <c r="S583" s="6"/>
      <c r="T583" s="6"/>
      <c r="U583" s="6"/>
    </row>
    <row r="584" ht="15.75" customHeight="1">
      <c r="A584" s="4" t="s">
        <v>1716</v>
      </c>
      <c r="B584" s="4" t="s">
        <v>1717</v>
      </c>
      <c r="C584" s="4" t="s">
        <v>39</v>
      </c>
      <c r="D584" s="6"/>
      <c r="E584" s="3" t="str">
        <f t="shared" si="1"/>
        <v>現存</v>
      </c>
      <c r="F584" s="3" t="s">
        <v>1488</v>
      </c>
      <c r="G584" s="6"/>
      <c r="H584" s="3" t="str">
        <f t="shared" si="2"/>
        <v>2,10</v>
      </c>
      <c r="I584" s="3" t="s">
        <v>212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1684</v>
      </c>
      <c r="Q584" s="3"/>
      <c r="R584" s="3"/>
      <c r="S584" s="6"/>
      <c r="T584" s="6"/>
      <c r="U584" s="6"/>
    </row>
    <row r="585" ht="15.75" customHeight="1">
      <c r="A585" s="4" t="s">
        <v>1718</v>
      </c>
      <c r="B585" s="4" t="s">
        <v>1719</v>
      </c>
      <c r="C585" s="4" t="s">
        <v>39</v>
      </c>
      <c r="D585" s="6"/>
      <c r="E585" s="3" t="str">
        <f t="shared" si="1"/>
        <v>現存</v>
      </c>
      <c r="F585" s="3" t="s">
        <v>1720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130</v>
      </c>
      <c r="O585" s="3"/>
      <c r="P585" s="4" t="s">
        <v>1684</v>
      </c>
      <c r="Q585" s="3"/>
      <c r="R585" s="3"/>
      <c r="S585" s="6"/>
      <c r="T585" s="6"/>
      <c r="U585" s="6"/>
    </row>
    <row r="586" ht="15.75" customHeight="1">
      <c r="A586" s="4" t="s">
        <v>1721</v>
      </c>
      <c r="B586" s="4" t="s">
        <v>1722</v>
      </c>
      <c r="C586" s="4" t="s">
        <v>39</v>
      </c>
      <c r="D586" s="6"/>
      <c r="E586" s="3" t="str">
        <f t="shared" si="1"/>
        <v>現存</v>
      </c>
      <c r="F586" s="3" t="s">
        <v>1723</v>
      </c>
      <c r="G586" s="6"/>
      <c r="H586" s="3" t="str">
        <f t="shared" si="2"/>
        <v>2,10,11,12</v>
      </c>
      <c r="I586" s="3" t="s">
        <v>635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1684</v>
      </c>
      <c r="Q586" s="3"/>
      <c r="R586" s="3"/>
      <c r="S586" s="6"/>
      <c r="T586" s="6"/>
      <c r="U586" s="6"/>
    </row>
    <row r="587" ht="15.75" customHeight="1">
      <c r="A587" s="4" t="s">
        <v>1724</v>
      </c>
      <c r="B587" s="4" t="s">
        <v>1725</v>
      </c>
      <c r="C587" s="4" t="s">
        <v>39</v>
      </c>
      <c r="D587" s="6"/>
      <c r="E587" s="3" t="str">
        <f t="shared" si="1"/>
        <v>現存</v>
      </c>
      <c r="F587" s="3" t="s">
        <v>116</v>
      </c>
      <c r="G587" s="6"/>
      <c r="H587" s="3" t="str">
        <f t="shared" si="2"/>
        <v>3,4</v>
      </c>
      <c r="I587" s="3" t="s">
        <v>426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1726</v>
      </c>
      <c r="O587" s="3"/>
      <c r="P587" s="4" t="s">
        <v>1684</v>
      </c>
      <c r="Q587" s="3"/>
      <c r="R587" s="3"/>
      <c r="S587" s="6"/>
      <c r="T587" s="6"/>
      <c r="U587" s="6"/>
    </row>
    <row r="588" ht="15.75" customHeight="1">
      <c r="A588" s="4" t="s">
        <v>1727</v>
      </c>
      <c r="B588" s="4" t="s">
        <v>1728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699</v>
      </c>
      <c r="J588" s="3" t="s">
        <v>42</v>
      </c>
      <c r="K588" s="3">
        <v>1.0</v>
      </c>
      <c r="L588" s="3">
        <v>1.0</v>
      </c>
      <c r="M588" s="9" t="s">
        <v>236</v>
      </c>
      <c r="N588" s="3" t="s">
        <v>56</v>
      </c>
      <c r="O588" s="3"/>
      <c r="P588" s="4" t="s">
        <v>1684</v>
      </c>
      <c r="Q588" s="3"/>
      <c r="R588" s="3"/>
      <c r="S588" s="6"/>
      <c r="T588" s="6"/>
      <c r="U588" s="6"/>
    </row>
    <row r="589" ht="15.75" customHeight="1">
      <c r="A589" s="4" t="s">
        <v>1729</v>
      </c>
      <c r="B589" s="4" t="s">
        <v>1730</v>
      </c>
      <c r="C589" s="4" t="s">
        <v>39</v>
      </c>
      <c r="D589" s="6"/>
      <c r="E589" s="3" t="str">
        <f t="shared" si="1"/>
        <v>現存</v>
      </c>
      <c r="F589" s="3" t="s">
        <v>116</v>
      </c>
      <c r="G589" s="6"/>
      <c r="H589" s="3" t="str">
        <f t="shared" si="2"/>
        <v>3,4</v>
      </c>
      <c r="I589" s="3" t="s">
        <v>117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1684</v>
      </c>
      <c r="Q589" s="3"/>
      <c r="R589" s="3"/>
      <c r="S589" s="6"/>
      <c r="T589" s="6"/>
      <c r="U589" s="6"/>
    </row>
    <row r="590" ht="15.75" customHeight="1">
      <c r="A590" s="4" t="s">
        <v>1731</v>
      </c>
      <c r="B590" s="4" t="s">
        <v>1732</v>
      </c>
      <c r="C590" s="4" t="s">
        <v>39</v>
      </c>
      <c r="D590" s="6"/>
      <c r="E590" s="3" t="str">
        <f t="shared" si="1"/>
        <v>現存</v>
      </c>
      <c r="F590" s="3" t="s">
        <v>1037</v>
      </c>
      <c r="G590" s="6"/>
      <c r="H590" s="3" t="str">
        <f t="shared" si="2"/>
        <v>3,4,5,6</v>
      </c>
      <c r="I590" s="3" t="s">
        <v>142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1684</v>
      </c>
      <c r="Q590" s="3"/>
      <c r="R590" s="3"/>
      <c r="S590" s="6"/>
      <c r="T590" s="6"/>
      <c r="U590" s="6"/>
    </row>
    <row r="591" ht="15.75" customHeight="1">
      <c r="A591" s="4" t="s">
        <v>1733</v>
      </c>
      <c r="B591" s="4" t="s">
        <v>1734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1735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1684</v>
      </c>
      <c r="Q591" s="3"/>
      <c r="R591" s="3"/>
      <c r="S591" s="6"/>
      <c r="T591" s="6"/>
      <c r="U591" s="6"/>
    </row>
    <row r="592" ht="15.75" customHeight="1">
      <c r="A592" s="4" t="s">
        <v>1736</v>
      </c>
      <c r="B592" s="4" t="s">
        <v>1737</v>
      </c>
      <c r="C592" s="4" t="s">
        <v>39</v>
      </c>
      <c r="D592" s="6"/>
      <c r="E592" s="3" t="str">
        <f t="shared" si="1"/>
        <v>現存</v>
      </c>
      <c r="F592" s="3" t="s">
        <v>138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1738</v>
      </c>
      <c r="O592" s="3"/>
      <c r="P592" s="4" t="s">
        <v>1684</v>
      </c>
      <c r="Q592" s="3"/>
      <c r="R592" s="3"/>
      <c r="S592" s="6"/>
      <c r="T592" s="6"/>
      <c r="U592" s="6"/>
    </row>
    <row r="593" ht="15.75" customHeight="1">
      <c r="A593" s="4" t="s">
        <v>1739</v>
      </c>
      <c r="B593" s="4" t="s">
        <v>1740</v>
      </c>
      <c r="C593" s="4" t="s">
        <v>39</v>
      </c>
      <c r="D593" s="6"/>
      <c r="E593" s="3" t="str">
        <f t="shared" si="1"/>
        <v>現存</v>
      </c>
      <c r="F593" s="3" t="s">
        <v>116</v>
      </c>
      <c r="G593" s="6"/>
      <c r="H593" s="3" t="str">
        <f t="shared" si="2"/>
        <v>3,4</v>
      </c>
      <c r="I593" s="3" t="s">
        <v>709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1684</v>
      </c>
      <c r="Q593" s="3"/>
      <c r="R593" s="3"/>
      <c r="S593" s="6"/>
      <c r="T593" s="6"/>
      <c r="U593" s="6"/>
    </row>
    <row r="594" ht="15.75" customHeight="1">
      <c r="A594" s="4" t="s">
        <v>1741</v>
      </c>
      <c r="B594" s="4" t="s">
        <v>1742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1684</v>
      </c>
      <c r="Q594" s="3"/>
      <c r="R594" s="3"/>
      <c r="S594" s="6"/>
      <c r="T594" s="6"/>
      <c r="U594" s="6"/>
    </row>
    <row r="595" ht="15.75" customHeight="1">
      <c r="A595" s="4" t="s">
        <v>1743</v>
      </c>
      <c r="B595" s="9" t="s">
        <v>1744</v>
      </c>
      <c r="C595" s="4" t="s">
        <v>39</v>
      </c>
      <c r="D595" s="6"/>
      <c r="E595" s="3" t="str">
        <f t="shared" si="1"/>
        <v>現存</v>
      </c>
      <c r="F595" s="3" t="s">
        <v>418</v>
      </c>
      <c r="G595" s="6"/>
      <c r="H595" s="3" t="str">
        <f t="shared" si="2"/>
        <v>4,6</v>
      </c>
      <c r="I595" s="3" t="s">
        <v>1631</v>
      </c>
      <c r="J595" s="3" t="s">
        <v>181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1684</v>
      </c>
      <c r="Q595" s="3"/>
      <c r="R595" s="3"/>
      <c r="S595" s="6"/>
      <c r="T595" s="6"/>
      <c r="U595" s="6"/>
    </row>
    <row r="596" ht="15.75" customHeight="1">
      <c r="A596" s="4" t="s">
        <v>1745</v>
      </c>
      <c r="B596" s="4" t="s">
        <v>1746</v>
      </c>
      <c r="C596" s="4" t="s">
        <v>39</v>
      </c>
      <c r="D596" s="6"/>
      <c r="E596" s="3" t="str">
        <f t="shared" si="1"/>
        <v>現存</v>
      </c>
      <c r="F596" s="3" t="s">
        <v>1060</v>
      </c>
      <c r="G596" s="6"/>
      <c r="H596" s="3" t="str">
        <f t="shared" si="2"/>
        <v>4,12</v>
      </c>
      <c r="I596" s="3" t="s">
        <v>635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1684</v>
      </c>
      <c r="Q596" s="3"/>
      <c r="R596" s="3"/>
      <c r="S596" s="6"/>
      <c r="T596" s="6"/>
      <c r="U596" s="6"/>
    </row>
    <row r="597" ht="15.75" customHeight="1">
      <c r="A597" s="4" t="s">
        <v>1747</v>
      </c>
      <c r="B597" s="4" t="s">
        <v>1748</v>
      </c>
      <c r="C597" s="4" t="s">
        <v>39</v>
      </c>
      <c r="D597" s="6"/>
      <c r="E597" s="3" t="str">
        <f t="shared" si="1"/>
        <v>現存</v>
      </c>
      <c r="F597" s="3" t="s">
        <v>156</v>
      </c>
      <c r="G597" s="6"/>
      <c r="H597" s="3" t="str">
        <f t="shared" si="2"/>
        <v>4</v>
      </c>
      <c r="I597" s="3" t="s">
        <v>714</v>
      </c>
      <c r="J597" s="3" t="s">
        <v>181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1684</v>
      </c>
      <c r="Q597" s="3"/>
      <c r="R597" s="3"/>
      <c r="S597" s="6"/>
      <c r="T597" s="6"/>
      <c r="U597" s="6"/>
    </row>
    <row r="598" ht="15.75" customHeight="1">
      <c r="A598" s="4" t="s">
        <v>1749</v>
      </c>
      <c r="B598" s="4" t="s">
        <v>1750</v>
      </c>
      <c r="C598" s="4" t="s">
        <v>39</v>
      </c>
      <c r="D598" s="6"/>
      <c r="E598" s="3" t="str">
        <f t="shared" si="1"/>
        <v>現存</v>
      </c>
      <c r="F598" s="3" t="s">
        <v>1751</v>
      </c>
      <c r="G598" s="6"/>
      <c r="H598" s="3" t="str">
        <f t="shared" si="2"/>
        <v>4,5,6,7,8</v>
      </c>
      <c r="I598" s="3" t="s">
        <v>271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1684</v>
      </c>
      <c r="Q598" s="3"/>
      <c r="R598" s="3"/>
      <c r="S598" s="6"/>
      <c r="T598" s="6"/>
      <c r="U598" s="6"/>
    </row>
    <row r="599" ht="15.75" customHeight="1">
      <c r="A599" s="4" t="s">
        <v>1752</v>
      </c>
      <c r="B599" s="4" t="s">
        <v>1753</v>
      </c>
      <c r="C599" s="4" t="s">
        <v>39</v>
      </c>
      <c r="D599" s="6"/>
      <c r="E599" s="3" t="str">
        <f t="shared" si="1"/>
        <v>現存</v>
      </c>
      <c r="F599" s="3" t="s">
        <v>156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1684</v>
      </c>
      <c r="Q599" s="3"/>
      <c r="R599" s="3"/>
      <c r="S599" s="6"/>
      <c r="T599" s="6"/>
      <c r="U599" s="6"/>
    </row>
    <row r="600" ht="15.75" customHeight="1">
      <c r="A600" s="4" t="s">
        <v>1754</v>
      </c>
      <c r="B600" s="4" t="s">
        <v>1755</v>
      </c>
      <c r="C600" s="4" t="s">
        <v>39</v>
      </c>
      <c r="D600" s="6"/>
      <c r="E600" s="3" t="str">
        <f t="shared" si="1"/>
        <v>現存</v>
      </c>
      <c r="F600" s="3" t="s">
        <v>171</v>
      </c>
      <c r="G600" s="6"/>
      <c r="H600" s="3" t="str">
        <f t="shared" si="2"/>
        <v>5,6</v>
      </c>
      <c r="I600" s="3" t="s">
        <v>447</v>
      </c>
      <c r="J600" s="3" t="s">
        <v>125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1684</v>
      </c>
      <c r="Q600" s="3"/>
      <c r="R600" s="3"/>
      <c r="S600" s="6"/>
      <c r="T600" s="6"/>
      <c r="U600" s="6"/>
    </row>
    <row r="601" ht="15.75" customHeight="1">
      <c r="A601" s="4" t="s">
        <v>1756</v>
      </c>
      <c r="B601" s="4" t="s">
        <v>1757</v>
      </c>
      <c r="C601" s="4" t="s">
        <v>39</v>
      </c>
      <c r="D601" s="6"/>
      <c r="E601" s="3" t="str">
        <f t="shared" si="1"/>
        <v>現存</v>
      </c>
      <c r="F601" s="3" t="s">
        <v>450</v>
      </c>
      <c r="G601" s="6"/>
      <c r="H601" s="3" t="str">
        <f t="shared" si="2"/>
        <v>5</v>
      </c>
      <c r="I601" s="3" t="s">
        <v>1758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1684</v>
      </c>
      <c r="Q601" s="3"/>
      <c r="R601" s="3"/>
      <c r="S601" s="6"/>
      <c r="T601" s="6"/>
      <c r="U601" s="6"/>
    </row>
    <row r="602" ht="15.75" customHeight="1">
      <c r="A602" s="4" t="s">
        <v>1759</v>
      </c>
      <c r="B602" s="9" t="s">
        <v>1744</v>
      </c>
      <c r="C602" s="4" t="s">
        <v>39</v>
      </c>
      <c r="D602" s="8" t="s">
        <v>381</v>
      </c>
      <c r="E602" s="3" t="str">
        <f t="shared" si="1"/>
        <v>不收錄</v>
      </c>
      <c r="F602" s="3" t="s">
        <v>171</v>
      </c>
      <c r="G602" s="6"/>
      <c r="H602" s="3" t="str">
        <f t="shared" si="2"/>
        <v>5,6</v>
      </c>
      <c r="I602" s="3" t="s">
        <v>447</v>
      </c>
      <c r="J602" s="3" t="s">
        <v>65</v>
      </c>
      <c r="K602" s="3">
        <v>2.0</v>
      </c>
      <c r="L602" s="3">
        <v>1.0</v>
      </c>
      <c r="M602" s="9" t="s">
        <v>236</v>
      </c>
      <c r="N602" s="3" t="s">
        <v>56</v>
      </c>
      <c r="O602" s="3"/>
      <c r="P602" s="4" t="s">
        <v>1684</v>
      </c>
      <c r="Q602" s="3"/>
      <c r="R602" s="3"/>
      <c r="S602" s="6"/>
      <c r="T602" s="6"/>
      <c r="U602" s="6"/>
    </row>
    <row r="603" ht="15.75" customHeight="1">
      <c r="A603" s="4" t="s">
        <v>1760</v>
      </c>
      <c r="B603" s="4" t="s">
        <v>1761</v>
      </c>
      <c r="C603" s="4" t="s">
        <v>39</v>
      </c>
      <c r="D603" s="6"/>
      <c r="E603" s="3" t="str">
        <f t="shared" si="1"/>
        <v>現存</v>
      </c>
      <c r="F603" s="3" t="s">
        <v>443</v>
      </c>
      <c r="G603" s="6"/>
      <c r="H603" s="3" t="str">
        <f t="shared" si="2"/>
        <v>5,6,7</v>
      </c>
      <c r="I603" s="3" t="s">
        <v>444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1684</v>
      </c>
      <c r="Q603" s="3"/>
      <c r="R603" s="3"/>
      <c r="S603" s="6"/>
      <c r="T603" s="6"/>
      <c r="U603" s="6"/>
    </row>
    <row r="604" ht="15.75" customHeight="1">
      <c r="A604" s="4" t="s">
        <v>1762</v>
      </c>
      <c r="B604" s="4" t="s">
        <v>1763</v>
      </c>
      <c r="C604" s="4" t="s">
        <v>39</v>
      </c>
      <c r="D604" s="6"/>
      <c r="E604" s="3" t="str">
        <f t="shared" si="1"/>
        <v>現存</v>
      </c>
      <c r="F604" s="3" t="s">
        <v>1196</v>
      </c>
      <c r="G604" s="6"/>
      <c r="H604" s="3" t="str">
        <f t="shared" si="2"/>
        <v>5,6,7,8</v>
      </c>
      <c r="I604" s="3" t="s">
        <v>160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1684</v>
      </c>
      <c r="Q604" s="3"/>
      <c r="R604" s="3"/>
      <c r="S604" s="6"/>
      <c r="T604" s="6"/>
      <c r="U604" s="6"/>
    </row>
    <row r="605" ht="15.75" customHeight="1">
      <c r="A605" s="4" t="s">
        <v>1764</v>
      </c>
      <c r="B605" s="4" t="s">
        <v>1765</v>
      </c>
      <c r="C605" s="4" t="s">
        <v>39</v>
      </c>
      <c r="D605" s="6"/>
      <c r="E605" s="3" t="str">
        <f t="shared" si="1"/>
        <v>現存</v>
      </c>
      <c r="F605" s="3" t="s">
        <v>450</v>
      </c>
      <c r="G605" s="6"/>
      <c r="H605" s="3" t="str">
        <f t="shared" si="2"/>
        <v>5</v>
      </c>
      <c r="I605" s="3" t="s">
        <v>681</v>
      </c>
      <c r="J605" s="3" t="s">
        <v>181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1684</v>
      </c>
      <c r="Q605" s="3"/>
      <c r="R605" s="3"/>
      <c r="S605" s="6"/>
      <c r="T605" s="6"/>
      <c r="U605" s="6"/>
    </row>
    <row r="606" ht="15.75" customHeight="1">
      <c r="A606" s="4" t="s">
        <v>1766</v>
      </c>
      <c r="B606" s="4" t="s">
        <v>1767</v>
      </c>
      <c r="C606" s="4" t="s">
        <v>39</v>
      </c>
      <c r="D606" s="6"/>
      <c r="E606" s="3" t="str">
        <f t="shared" si="1"/>
        <v>現存</v>
      </c>
      <c r="F606" s="3" t="s">
        <v>171</v>
      </c>
      <c r="G606" s="6"/>
      <c r="H606" s="3" t="str">
        <f t="shared" si="2"/>
        <v>5,6</v>
      </c>
      <c r="I606" s="3" t="s">
        <v>145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1684</v>
      </c>
      <c r="Q606" s="3"/>
      <c r="R606" s="3"/>
      <c r="S606" s="6"/>
      <c r="T606" s="6"/>
      <c r="U606" s="6"/>
    </row>
    <row r="607" ht="15.75" customHeight="1">
      <c r="A607" s="4" t="s">
        <v>1768</v>
      </c>
      <c r="B607" s="4" t="s">
        <v>1769</v>
      </c>
      <c r="C607" s="4" t="s">
        <v>39</v>
      </c>
      <c r="D607" s="6"/>
      <c r="E607" s="3" t="str">
        <f t="shared" si="1"/>
        <v>現存</v>
      </c>
      <c r="F607" s="3" t="s">
        <v>171</v>
      </c>
      <c r="G607" s="6"/>
      <c r="H607" s="3" t="str">
        <f t="shared" si="2"/>
        <v>5,6</v>
      </c>
      <c r="I607" s="3" t="s">
        <v>447</v>
      </c>
      <c r="J607" s="3" t="s">
        <v>135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1684</v>
      </c>
      <c r="Q607" s="3"/>
      <c r="R607" s="3"/>
      <c r="S607" s="6"/>
      <c r="T607" s="6"/>
      <c r="U607" s="6"/>
    </row>
    <row r="608" ht="15.75" customHeight="1">
      <c r="A608" s="4" t="s">
        <v>1770</v>
      </c>
      <c r="B608" s="4" t="s">
        <v>1771</v>
      </c>
      <c r="C608" s="4" t="s">
        <v>39</v>
      </c>
      <c r="D608" s="6"/>
      <c r="E608" s="3" t="str">
        <f t="shared" si="1"/>
        <v>現存</v>
      </c>
      <c r="F608" s="3" t="s">
        <v>310</v>
      </c>
      <c r="G608" s="6"/>
      <c r="H608" s="3" t="str">
        <f t="shared" si="2"/>
        <v>6</v>
      </c>
      <c r="I608" s="3" t="s">
        <v>447</v>
      </c>
      <c r="J608" s="3" t="s">
        <v>135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1684</v>
      </c>
      <c r="Q608" s="3"/>
      <c r="R608" s="3"/>
      <c r="S608" s="6"/>
      <c r="T608" s="6"/>
      <c r="U608" s="6"/>
    </row>
    <row r="609" ht="15.75" customHeight="1">
      <c r="A609" s="4" t="s">
        <v>1772</v>
      </c>
      <c r="B609" s="4" t="s">
        <v>1773</v>
      </c>
      <c r="C609" s="4" t="s">
        <v>39</v>
      </c>
      <c r="D609" s="6"/>
      <c r="E609" s="3" t="str">
        <f t="shared" si="1"/>
        <v>現存</v>
      </c>
      <c r="F609" s="3" t="s">
        <v>795</v>
      </c>
      <c r="G609" s="6"/>
      <c r="H609" s="3" t="str">
        <f t="shared" si="2"/>
        <v>6,7,8</v>
      </c>
      <c r="I609" s="3" t="s">
        <v>444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1684</v>
      </c>
      <c r="Q609" s="3"/>
      <c r="R609" s="3"/>
      <c r="S609" s="6"/>
      <c r="T609" s="6"/>
      <c r="U609" s="6"/>
    </row>
    <row r="610" ht="15.75" customHeight="1">
      <c r="A610" s="4" t="s">
        <v>1774</v>
      </c>
      <c r="B610" s="4" t="s">
        <v>1775</v>
      </c>
      <c r="C610" s="4" t="s">
        <v>39</v>
      </c>
      <c r="D610" s="6"/>
      <c r="E610" s="3" t="str">
        <f t="shared" si="1"/>
        <v>現存</v>
      </c>
      <c r="F610" s="3" t="s">
        <v>310</v>
      </c>
      <c r="G610" s="6"/>
      <c r="H610" s="3" t="str">
        <f t="shared" si="2"/>
        <v>6</v>
      </c>
      <c r="I610" s="3" t="s">
        <v>585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1684</v>
      </c>
      <c r="Q610" s="3"/>
      <c r="R610" s="3"/>
      <c r="S610" s="6"/>
      <c r="T610" s="6"/>
      <c r="U610" s="6"/>
    </row>
    <row r="611" ht="15.75" customHeight="1">
      <c r="A611" s="4" t="s">
        <v>1776</v>
      </c>
      <c r="B611" s="4" t="s">
        <v>1777</v>
      </c>
      <c r="C611" s="4" t="s">
        <v>39</v>
      </c>
      <c r="D611" s="6"/>
      <c r="E611" s="3" t="str">
        <f t="shared" si="1"/>
        <v>現存</v>
      </c>
      <c r="F611" s="3" t="s">
        <v>588</v>
      </c>
      <c r="G611" s="6"/>
      <c r="H611" s="3" t="str">
        <f t="shared" si="2"/>
        <v>6,7</v>
      </c>
      <c r="I611" s="3" t="s">
        <v>773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1684</v>
      </c>
      <c r="Q611" s="3"/>
      <c r="R611" s="3"/>
      <c r="S611" s="6"/>
      <c r="T611" s="6"/>
      <c r="U611" s="6"/>
    </row>
    <row r="612" ht="15.75" customHeight="1">
      <c r="A612" s="4" t="s">
        <v>1778</v>
      </c>
      <c r="B612" s="4" t="s">
        <v>1779</v>
      </c>
      <c r="C612" s="4" t="s">
        <v>39</v>
      </c>
      <c r="D612" s="6"/>
      <c r="E612" s="3" t="str">
        <f t="shared" si="1"/>
        <v>現存</v>
      </c>
      <c r="F612" s="3" t="s">
        <v>478</v>
      </c>
      <c r="G612" s="6"/>
      <c r="H612" s="3" t="str">
        <f t="shared" si="2"/>
        <v>7,8</v>
      </c>
      <c r="I612" s="3" t="s">
        <v>738</v>
      </c>
      <c r="J612" s="3" t="s">
        <v>65</v>
      </c>
      <c r="K612" s="3">
        <v>2.0</v>
      </c>
      <c r="L612" s="3">
        <v>0.0</v>
      </c>
      <c r="M612" s="4" t="s">
        <v>236</v>
      </c>
      <c r="N612" s="3"/>
      <c r="O612" s="3"/>
      <c r="P612" s="4" t="s">
        <v>1684</v>
      </c>
      <c r="Q612" s="3"/>
      <c r="R612" s="3"/>
      <c r="S612" s="6"/>
      <c r="T612" s="6"/>
      <c r="U612" s="6"/>
    </row>
    <row r="613" ht="15.75" customHeight="1">
      <c r="A613" s="4" t="s">
        <v>1780</v>
      </c>
      <c r="B613" s="4" t="s">
        <v>1781</v>
      </c>
      <c r="C613" s="4" t="s">
        <v>39</v>
      </c>
      <c r="D613" s="6"/>
      <c r="E613" s="3" t="str">
        <f t="shared" si="1"/>
        <v>現存</v>
      </c>
      <c r="F613" s="3" t="s">
        <v>478</v>
      </c>
      <c r="G613" s="6"/>
      <c r="H613" s="3" t="str">
        <f t="shared" si="2"/>
        <v>7,8</v>
      </c>
      <c r="I613" s="3" t="s">
        <v>738</v>
      </c>
      <c r="J613" s="3" t="s">
        <v>912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1684</v>
      </c>
      <c r="Q613" s="3"/>
      <c r="R613" s="3"/>
      <c r="S613" s="6"/>
      <c r="T613" s="6"/>
      <c r="U613" s="6"/>
    </row>
    <row r="614" ht="15.75" customHeight="1">
      <c r="A614" s="4" t="s">
        <v>1782</v>
      </c>
      <c r="B614" s="4" t="s">
        <v>1783</v>
      </c>
      <c r="C614" s="4" t="s">
        <v>39</v>
      </c>
      <c r="D614" s="6"/>
      <c r="E614" s="3" t="str">
        <f t="shared" si="1"/>
        <v>現存</v>
      </c>
      <c r="F614" s="3" t="s">
        <v>1784</v>
      </c>
      <c r="G614" s="6"/>
      <c r="H614" s="3" t="str">
        <f t="shared" si="2"/>
        <v>7,10</v>
      </c>
      <c r="I614" s="3" t="s">
        <v>112</v>
      </c>
      <c r="J614" s="3" t="s">
        <v>912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1684</v>
      </c>
      <c r="Q614" s="3"/>
      <c r="R614" s="3"/>
      <c r="S614" s="6"/>
      <c r="T614" s="6"/>
      <c r="U614" s="6"/>
    </row>
    <row r="615" ht="15.75" customHeight="1">
      <c r="A615" s="4" t="s">
        <v>1785</v>
      </c>
      <c r="B615" s="4" t="s">
        <v>1786</v>
      </c>
      <c r="C615" s="4" t="s">
        <v>39</v>
      </c>
      <c r="D615" s="6"/>
      <c r="E615" s="3" t="str">
        <f t="shared" si="1"/>
        <v>現存</v>
      </c>
      <c r="F615" s="3" t="s">
        <v>595</v>
      </c>
      <c r="G615" s="6"/>
      <c r="H615" s="3" t="str">
        <f t="shared" si="2"/>
        <v>7,8,9,10</v>
      </c>
      <c r="I615" s="3" t="s">
        <v>486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1684</v>
      </c>
      <c r="Q615" s="3"/>
      <c r="R615" s="3"/>
      <c r="S615" s="6"/>
      <c r="T615" s="6"/>
      <c r="U615" s="6"/>
    </row>
    <row r="616" ht="15.75" customHeight="1">
      <c r="A616" s="4" t="s">
        <v>1787</v>
      </c>
      <c r="B616" s="4" t="s">
        <v>1788</v>
      </c>
      <c r="C616" s="4" t="s">
        <v>170</v>
      </c>
      <c r="D616" s="8" t="s">
        <v>381</v>
      </c>
      <c r="E616" s="3" t="str">
        <f t="shared" si="1"/>
        <v>不收錄</v>
      </c>
      <c r="F616" s="3" t="s">
        <v>179</v>
      </c>
      <c r="G616" s="6"/>
      <c r="H616" s="3" t="str">
        <f t="shared" si="2"/>
        <v>8</v>
      </c>
      <c r="I616" s="3" t="s">
        <v>481</v>
      </c>
      <c r="J616" s="3" t="s">
        <v>42</v>
      </c>
      <c r="K616" s="3">
        <v>2.0</v>
      </c>
      <c r="L616" s="3">
        <v>0.0</v>
      </c>
      <c r="M616" s="4" t="s">
        <v>236</v>
      </c>
      <c r="N616" s="3"/>
      <c r="O616" s="3"/>
      <c r="P616" s="4" t="s">
        <v>1684</v>
      </c>
      <c r="Q616" s="3"/>
      <c r="R616" s="3"/>
      <c r="S616" s="6"/>
      <c r="T616" s="6"/>
      <c r="U616" s="6"/>
    </row>
    <row r="617" ht="15.75" customHeight="1">
      <c r="A617" s="4" t="s">
        <v>1789</v>
      </c>
      <c r="B617" s="4" t="s">
        <v>1790</v>
      </c>
      <c r="C617" s="4" t="s">
        <v>39</v>
      </c>
      <c r="D617" s="6"/>
      <c r="E617" s="3" t="str">
        <f t="shared" si="1"/>
        <v>現存</v>
      </c>
      <c r="F617" s="3" t="s">
        <v>179</v>
      </c>
      <c r="G617" s="6"/>
      <c r="H617" s="3" t="str">
        <f t="shared" si="2"/>
        <v>8</v>
      </c>
      <c r="I617" s="3" t="s">
        <v>592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1684</v>
      </c>
      <c r="Q617" s="3"/>
      <c r="R617" s="3"/>
      <c r="S617" s="6"/>
      <c r="T617" s="6"/>
      <c r="U617" s="6"/>
    </row>
    <row r="618" ht="15.75" customHeight="1">
      <c r="A618" s="4" t="s">
        <v>1791</v>
      </c>
      <c r="B618" s="4" t="s">
        <v>1792</v>
      </c>
      <c r="C618" s="4" t="s">
        <v>39</v>
      </c>
      <c r="D618" s="6"/>
      <c r="E618" s="3" t="str">
        <f t="shared" si="1"/>
        <v>現存</v>
      </c>
      <c r="F618" s="3" t="s">
        <v>179</v>
      </c>
      <c r="G618" s="6"/>
      <c r="H618" s="3" t="str">
        <f t="shared" si="2"/>
        <v>8</v>
      </c>
      <c r="I618" s="3" t="s">
        <v>180</v>
      </c>
      <c r="J618" s="3" t="s">
        <v>181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1684</v>
      </c>
      <c r="Q618" s="3"/>
      <c r="R618" s="3"/>
      <c r="S618" s="6"/>
      <c r="T618" s="6"/>
      <c r="U618" s="6"/>
    </row>
    <row r="619" ht="15.75" customHeight="1">
      <c r="A619" s="4" t="s">
        <v>1793</v>
      </c>
      <c r="B619" s="4" t="s">
        <v>1794</v>
      </c>
      <c r="C619" s="4" t="s">
        <v>39</v>
      </c>
      <c r="D619" s="6"/>
      <c r="E619" s="3" t="str">
        <f t="shared" si="1"/>
        <v>現存</v>
      </c>
      <c r="F619" s="3" t="s">
        <v>318</v>
      </c>
      <c r="G619" s="6"/>
      <c r="H619" s="3" t="str">
        <f t="shared" si="2"/>
        <v>8,11</v>
      </c>
      <c r="I619" s="3" t="s">
        <v>1008</v>
      </c>
      <c r="J619" s="3" t="s">
        <v>482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1684</v>
      </c>
      <c r="Q619" s="3"/>
      <c r="R619" s="3"/>
      <c r="S619" s="6"/>
      <c r="T619" s="6"/>
      <c r="U619" s="6"/>
    </row>
    <row r="620" ht="15.75" customHeight="1">
      <c r="A620" s="4" t="s">
        <v>1795</v>
      </c>
      <c r="B620" s="4" t="s">
        <v>1796</v>
      </c>
      <c r="C620" s="4" t="s">
        <v>39</v>
      </c>
      <c r="D620" s="6"/>
      <c r="E620" s="3" t="str">
        <f t="shared" si="1"/>
        <v>現存</v>
      </c>
      <c r="F620" s="3" t="s">
        <v>326</v>
      </c>
      <c r="G620" s="6"/>
      <c r="H620" s="3" t="str">
        <f t="shared" si="2"/>
        <v>9</v>
      </c>
      <c r="I620" s="3" t="s">
        <v>499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1684</v>
      </c>
      <c r="Q620" s="3"/>
      <c r="R620" s="3"/>
      <c r="S620" s="6"/>
      <c r="T620" s="6"/>
      <c r="U620" s="6"/>
    </row>
    <row r="621" ht="15.75" customHeight="1">
      <c r="A621" s="4" t="s">
        <v>1797</v>
      </c>
      <c r="B621" s="4" t="s">
        <v>1798</v>
      </c>
      <c r="C621" s="4" t="s">
        <v>39</v>
      </c>
      <c r="D621" s="6"/>
      <c r="E621" s="3" t="str">
        <f t="shared" si="1"/>
        <v>現存</v>
      </c>
      <c r="F621" s="3" t="s">
        <v>498</v>
      </c>
      <c r="G621" s="6"/>
      <c r="H621" s="3" t="str">
        <f t="shared" si="2"/>
        <v>9,10</v>
      </c>
      <c r="I621" s="3" t="s">
        <v>1799</v>
      </c>
      <c r="J621" s="3" t="s">
        <v>181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1684</v>
      </c>
      <c r="Q621" s="3"/>
      <c r="R621" s="3"/>
      <c r="S621" s="6"/>
      <c r="T621" s="6"/>
      <c r="U621" s="6"/>
    </row>
    <row r="622" ht="15.75" customHeight="1">
      <c r="A622" s="4" t="s">
        <v>1800</v>
      </c>
      <c r="B622" s="4" t="s">
        <v>1801</v>
      </c>
      <c r="C622" s="4" t="s">
        <v>39</v>
      </c>
      <c r="D622" s="6"/>
      <c r="E622" s="3" t="str">
        <f t="shared" si="1"/>
        <v>現存</v>
      </c>
      <c r="F622" s="3" t="s">
        <v>616</v>
      </c>
      <c r="G622" s="6"/>
      <c r="H622" s="3" t="str">
        <f t="shared" si="2"/>
        <v>10,11</v>
      </c>
      <c r="I622" s="3" t="s">
        <v>1004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1684</v>
      </c>
      <c r="Q622" s="3"/>
      <c r="R622" s="3"/>
      <c r="S622" s="6"/>
      <c r="T622" s="6"/>
      <c r="U622" s="6"/>
    </row>
    <row r="623" ht="15.75" customHeight="1">
      <c r="A623" s="4" t="s">
        <v>1802</v>
      </c>
      <c r="B623" s="4" t="s">
        <v>1803</v>
      </c>
      <c r="C623" s="4" t="s">
        <v>39</v>
      </c>
      <c r="D623" s="6"/>
      <c r="E623" s="3" t="str">
        <f t="shared" si="1"/>
        <v>現存</v>
      </c>
      <c r="F623" s="3" t="s">
        <v>188</v>
      </c>
      <c r="G623" s="6"/>
      <c r="H623" s="3" t="str">
        <f t="shared" si="2"/>
        <v>10</v>
      </c>
      <c r="I623" s="3" t="s">
        <v>1804</v>
      </c>
      <c r="J623" s="3" t="s">
        <v>181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1684</v>
      </c>
      <c r="Q623" s="4" t="s">
        <v>1688</v>
      </c>
      <c r="R623" s="3"/>
      <c r="S623" s="6"/>
      <c r="T623" s="6"/>
      <c r="U623" s="8" t="s">
        <v>1805</v>
      </c>
    </row>
    <row r="624" ht="15.75" customHeight="1">
      <c r="A624" s="4" t="s">
        <v>1806</v>
      </c>
      <c r="B624" s="4" t="s">
        <v>1807</v>
      </c>
      <c r="C624" s="4" t="s">
        <v>39</v>
      </c>
      <c r="D624" s="6"/>
      <c r="E624" s="3" t="str">
        <f t="shared" si="1"/>
        <v>現存</v>
      </c>
      <c r="F624" s="3" t="s">
        <v>616</v>
      </c>
      <c r="G624" s="6"/>
      <c r="H624" s="3" t="str">
        <f t="shared" si="2"/>
        <v>10,11</v>
      </c>
      <c r="I624" s="3" t="s">
        <v>1596</v>
      </c>
      <c r="J624" s="3" t="s">
        <v>253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1684</v>
      </c>
      <c r="Q624" s="3"/>
      <c r="R624" s="3"/>
      <c r="S624" s="6"/>
      <c r="T624" s="6"/>
      <c r="U624" s="6"/>
    </row>
    <row r="625" ht="15.75" customHeight="1">
      <c r="A625" s="4" t="s">
        <v>1808</v>
      </c>
      <c r="B625" s="4" t="s">
        <v>1809</v>
      </c>
      <c r="C625" s="4" t="s">
        <v>39</v>
      </c>
      <c r="D625" s="6"/>
      <c r="E625" s="3" t="str">
        <f t="shared" si="1"/>
        <v>現存</v>
      </c>
      <c r="F625" s="3" t="s">
        <v>188</v>
      </c>
      <c r="G625" s="6"/>
      <c r="H625" s="3" t="str">
        <f t="shared" si="2"/>
        <v>10</v>
      </c>
      <c r="I625" s="3" t="s">
        <v>1799</v>
      </c>
      <c r="J625" s="3" t="s">
        <v>181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1684</v>
      </c>
      <c r="Q625" s="3"/>
      <c r="R625" s="3"/>
      <c r="S625" s="6"/>
      <c r="T625" s="6"/>
      <c r="U625" s="6"/>
    </row>
    <row r="626" ht="15.75" customHeight="1">
      <c r="A626" s="4" t="s">
        <v>1810</v>
      </c>
      <c r="B626" s="4" t="s">
        <v>1811</v>
      </c>
      <c r="C626" s="4" t="s">
        <v>39</v>
      </c>
      <c r="D626" s="6"/>
      <c r="E626" s="3" t="str">
        <f t="shared" si="1"/>
        <v>現存</v>
      </c>
      <c r="F626" s="3" t="s">
        <v>188</v>
      </c>
      <c r="G626" s="6"/>
      <c r="H626" s="3" t="str">
        <f t="shared" si="2"/>
        <v>10</v>
      </c>
      <c r="I626" s="3" t="s">
        <v>1812</v>
      </c>
      <c r="J626" s="3" t="s">
        <v>98</v>
      </c>
      <c r="K626" s="3">
        <v>2.0</v>
      </c>
      <c r="L626" s="3">
        <v>0.0</v>
      </c>
      <c r="M626" s="4" t="s">
        <v>236</v>
      </c>
      <c r="N626" s="3"/>
      <c r="O626" s="3"/>
      <c r="P626" s="4" t="s">
        <v>1684</v>
      </c>
      <c r="Q626" s="3"/>
      <c r="R626" s="3"/>
      <c r="S626" s="6"/>
      <c r="T626" s="6"/>
      <c r="U626" s="6"/>
    </row>
    <row r="627" ht="15.75" customHeight="1">
      <c r="A627" s="4" t="s">
        <v>1813</v>
      </c>
      <c r="B627" s="4" t="s">
        <v>1814</v>
      </c>
      <c r="C627" s="4" t="s">
        <v>39</v>
      </c>
      <c r="D627" s="6"/>
      <c r="E627" s="3" t="str">
        <f t="shared" si="1"/>
        <v>現存</v>
      </c>
      <c r="F627" s="3" t="s">
        <v>515</v>
      </c>
      <c r="G627" s="6"/>
      <c r="H627" s="3" t="str">
        <f t="shared" si="2"/>
        <v>11</v>
      </c>
      <c r="I627" s="3" t="s">
        <v>1815</v>
      </c>
      <c r="J627" s="3" t="s">
        <v>1230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1684</v>
      </c>
      <c r="Q627" s="3"/>
      <c r="R627" s="3"/>
      <c r="S627" s="6"/>
      <c r="T627" s="6"/>
      <c r="U627" s="6"/>
    </row>
    <row r="628" ht="15.75" customHeight="1">
      <c r="A628" s="4" t="s">
        <v>1816</v>
      </c>
      <c r="B628" s="4" t="s">
        <v>1817</v>
      </c>
      <c r="C628" s="4" t="s">
        <v>39</v>
      </c>
      <c r="D628" s="6"/>
      <c r="E628" s="3" t="str">
        <f t="shared" si="1"/>
        <v>現存</v>
      </c>
      <c r="F628" s="3" t="s">
        <v>515</v>
      </c>
      <c r="G628" s="6"/>
      <c r="H628" s="3" t="str">
        <f t="shared" si="2"/>
        <v>11</v>
      </c>
      <c r="I628" s="3" t="s">
        <v>1086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1684</v>
      </c>
      <c r="Q628" s="3"/>
      <c r="R628" s="3"/>
      <c r="S628" s="6"/>
      <c r="T628" s="6"/>
      <c r="U628" s="6"/>
    </row>
    <row r="629" ht="15.75" customHeight="1">
      <c r="A629" s="4" t="s">
        <v>1818</v>
      </c>
      <c r="B629" s="4" t="s">
        <v>1819</v>
      </c>
      <c r="C629" s="4" t="s">
        <v>39</v>
      </c>
      <c r="D629" s="6"/>
      <c r="E629" s="3" t="str">
        <f t="shared" si="1"/>
        <v>現存</v>
      </c>
      <c r="F629" s="3" t="s">
        <v>1820</v>
      </c>
      <c r="G629" s="6"/>
      <c r="H629" s="3" t="str">
        <f t="shared" si="2"/>
        <v>1,4,11,12</v>
      </c>
      <c r="I629" s="3" t="s">
        <v>1389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130</v>
      </c>
      <c r="O629" s="9" t="s">
        <v>1558</v>
      </c>
      <c r="P629" s="9" t="s">
        <v>1821</v>
      </c>
      <c r="Q629" s="3"/>
      <c r="R629" s="3"/>
      <c r="S629" s="6"/>
      <c r="T629" s="6"/>
      <c r="U629" s="6"/>
    </row>
    <row r="630" ht="15.75" customHeight="1">
      <c r="A630" s="4" t="s">
        <v>1822</v>
      </c>
      <c r="B630" s="4" t="s">
        <v>1823</v>
      </c>
      <c r="C630" s="4" t="s">
        <v>170</v>
      </c>
      <c r="D630" s="6"/>
      <c r="E630" s="3" t="str">
        <f t="shared" si="1"/>
        <v>近年未見</v>
      </c>
      <c r="F630" s="3" t="s">
        <v>130</v>
      </c>
      <c r="G630" s="6"/>
      <c r="H630" s="3" t="str">
        <f t="shared" si="2"/>
        <v>1</v>
      </c>
      <c r="I630" s="3" t="s">
        <v>534</v>
      </c>
      <c r="J630" s="3" t="s">
        <v>42</v>
      </c>
      <c r="K630" s="3">
        <v>1.0</v>
      </c>
      <c r="L630" s="3">
        <v>0.0</v>
      </c>
      <c r="M630" s="4" t="s">
        <v>236</v>
      </c>
      <c r="N630" s="3"/>
      <c r="O630" s="3"/>
      <c r="P630" s="4" t="s">
        <v>1824</v>
      </c>
      <c r="Q630" s="3"/>
      <c r="R630" s="3"/>
      <c r="S630" s="6"/>
      <c r="T630" s="6"/>
      <c r="U630" s="6"/>
    </row>
    <row r="631" ht="15.75" customHeight="1">
      <c r="A631" s="4" t="s">
        <v>1825</v>
      </c>
      <c r="B631" s="4" t="s">
        <v>1826</v>
      </c>
      <c r="C631" s="4" t="s">
        <v>39</v>
      </c>
      <c r="D631" s="6"/>
      <c r="E631" s="3" t="str">
        <f t="shared" si="1"/>
        <v>現存</v>
      </c>
      <c r="F631" s="3" t="s">
        <v>1827</v>
      </c>
      <c r="G631" s="6"/>
      <c r="H631" s="3" t="str">
        <f t="shared" si="2"/>
        <v>1,6,7,8,10</v>
      </c>
      <c r="I631" s="3" t="s">
        <v>447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130</v>
      </c>
      <c r="O631" s="9" t="s">
        <v>1558</v>
      </c>
      <c r="P631" s="9" t="s">
        <v>1821</v>
      </c>
      <c r="Q631" s="3"/>
      <c r="R631" s="3"/>
      <c r="S631" s="6"/>
      <c r="T631" s="6"/>
      <c r="U631" s="6"/>
    </row>
    <row r="632" ht="15.75" customHeight="1">
      <c r="A632" s="4" t="s">
        <v>1828</v>
      </c>
      <c r="B632" s="4" t="s">
        <v>1829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212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130</v>
      </c>
      <c r="O632" s="3"/>
      <c r="P632" s="9" t="s">
        <v>1821</v>
      </c>
      <c r="Q632" s="3"/>
      <c r="R632" s="3"/>
      <c r="S632" s="6"/>
      <c r="T632" s="6"/>
      <c r="U632" s="6"/>
    </row>
    <row r="633" ht="15.75" customHeight="1">
      <c r="A633" s="4" t="s">
        <v>1830</v>
      </c>
      <c r="B633" s="4" t="s">
        <v>1831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198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130</v>
      </c>
      <c r="O633" s="4" t="s">
        <v>1832</v>
      </c>
      <c r="P633" s="4" t="s">
        <v>1824</v>
      </c>
      <c r="Q633" s="3"/>
      <c r="R633" s="3"/>
      <c r="S633" s="6"/>
      <c r="T633" s="6"/>
      <c r="U633" s="6"/>
    </row>
    <row r="634" ht="15.75" customHeight="1">
      <c r="A634" s="4" t="s">
        <v>1833</v>
      </c>
      <c r="B634" s="4" t="s">
        <v>1834</v>
      </c>
      <c r="C634" s="4" t="s">
        <v>39</v>
      </c>
      <c r="D634" s="6"/>
      <c r="E634" s="3" t="str">
        <f t="shared" si="1"/>
        <v>現存</v>
      </c>
      <c r="F634" s="3" t="s">
        <v>130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548</v>
      </c>
      <c r="Q634" s="3"/>
      <c r="R634" s="3"/>
      <c r="S634" s="6"/>
      <c r="T634" s="6"/>
      <c r="U634" s="6"/>
    </row>
    <row r="635" ht="15.75" customHeight="1">
      <c r="A635" s="4" t="s">
        <v>1835</v>
      </c>
      <c r="B635" s="4" t="s">
        <v>1836</v>
      </c>
      <c r="C635" s="4" t="s">
        <v>39</v>
      </c>
      <c r="D635" s="6"/>
      <c r="E635" s="3" t="str">
        <f t="shared" si="1"/>
        <v>現存</v>
      </c>
      <c r="F635" s="3" t="s">
        <v>1837</v>
      </c>
      <c r="G635" s="6"/>
      <c r="H635" s="3" t="str">
        <f t="shared" si="2"/>
        <v>1,2,6,7,8</v>
      </c>
      <c r="I635" s="3" t="s">
        <v>1372</v>
      </c>
      <c r="J635" s="3" t="s">
        <v>135</v>
      </c>
      <c r="K635" s="3">
        <v>7.0</v>
      </c>
      <c r="L635" s="3">
        <v>1.0</v>
      </c>
      <c r="M635" s="4" t="s">
        <v>43</v>
      </c>
      <c r="N635" s="3" t="s">
        <v>130</v>
      </c>
      <c r="O635" s="4" t="s">
        <v>1838</v>
      </c>
      <c r="P635" s="4" t="s">
        <v>1824</v>
      </c>
      <c r="Q635" s="3"/>
      <c r="R635" s="3"/>
      <c r="S635" s="6"/>
      <c r="T635" s="6"/>
      <c r="U635" s="6"/>
    </row>
    <row r="636" ht="15.75" customHeight="1">
      <c r="A636" s="4" t="s">
        <v>1839</v>
      </c>
      <c r="B636" s="4" t="s">
        <v>1840</v>
      </c>
      <c r="C636" s="4" t="s">
        <v>39</v>
      </c>
      <c r="D636" s="6"/>
      <c r="E636" s="3" t="str">
        <f t="shared" si="1"/>
        <v>現存</v>
      </c>
      <c r="F636" s="3" t="s">
        <v>1841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156</v>
      </c>
      <c r="O636" s="3"/>
      <c r="P636" s="4" t="s">
        <v>1824</v>
      </c>
      <c r="Q636" s="3"/>
      <c r="R636" s="3"/>
      <c r="S636" s="6"/>
      <c r="T636" s="6"/>
      <c r="U636" s="8" t="s">
        <v>1842</v>
      </c>
    </row>
    <row r="637" ht="15.75" customHeight="1">
      <c r="A637" s="4" t="s">
        <v>1843</v>
      </c>
      <c r="B637" s="4" t="s">
        <v>1844</v>
      </c>
      <c r="C637" s="4" t="s">
        <v>39</v>
      </c>
      <c r="D637" s="6"/>
      <c r="E637" s="3" t="str">
        <f t="shared" si="1"/>
        <v>現存</v>
      </c>
      <c r="F637" s="3" t="s">
        <v>211</v>
      </c>
      <c r="G637" s="6"/>
      <c r="H637" s="3" t="str">
        <f t="shared" si="2"/>
        <v>1,2,9</v>
      </c>
      <c r="I637" s="3" t="s">
        <v>1845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130</v>
      </c>
      <c r="O637" s="3"/>
      <c r="P637" s="4" t="s">
        <v>1824</v>
      </c>
      <c r="Q637" s="3"/>
      <c r="R637" s="3"/>
      <c r="S637" s="6"/>
      <c r="T637" s="6"/>
      <c r="U637" s="6"/>
    </row>
    <row r="638" ht="15.75" customHeight="1">
      <c r="A638" s="4" t="s">
        <v>1846</v>
      </c>
      <c r="B638" s="4" t="s">
        <v>1847</v>
      </c>
      <c r="C638" s="4" t="s">
        <v>39</v>
      </c>
      <c r="D638" s="6"/>
      <c r="E638" s="3" t="str">
        <f t="shared" si="1"/>
        <v>現存</v>
      </c>
      <c r="F638" s="3" t="s">
        <v>1848</v>
      </c>
      <c r="G638" s="6"/>
      <c r="H638" s="3" t="str">
        <f t="shared" si="2"/>
        <v>1,6,7</v>
      </c>
      <c r="I638" s="3" t="s">
        <v>447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130</v>
      </c>
      <c r="O638" s="4" t="s">
        <v>1838</v>
      </c>
      <c r="P638" s="4" t="s">
        <v>1824</v>
      </c>
      <c r="Q638" s="3"/>
      <c r="R638" s="3"/>
      <c r="S638" s="6"/>
      <c r="T638" s="6"/>
      <c r="U638" s="6"/>
    </row>
    <row r="639" ht="15.75" customHeight="1">
      <c r="A639" s="4" t="s">
        <v>1849</v>
      </c>
      <c r="B639" s="4" t="s">
        <v>1850</v>
      </c>
      <c r="C639" s="4" t="s">
        <v>39</v>
      </c>
      <c r="D639" s="6"/>
      <c r="E639" s="3" t="str">
        <f t="shared" si="1"/>
        <v>現存</v>
      </c>
      <c r="F639" s="3" t="s">
        <v>310</v>
      </c>
      <c r="G639" s="6"/>
      <c r="H639" s="3" t="str">
        <f t="shared" si="2"/>
        <v>6</v>
      </c>
      <c r="I639" s="3" t="s">
        <v>364</v>
      </c>
      <c r="J639" s="3" t="s">
        <v>135</v>
      </c>
      <c r="K639" s="3">
        <v>2.0</v>
      </c>
      <c r="L639" s="3">
        <v>1.0</v>
      </c>
      <c r="M639" s="4" t="s">
        <v>43</v>
      </c>
      <c r="N639" s="3" t="s">
        <v>130</v>
      </c>
      <c r="O639" s="4" t="s">
        <v>1832</v>
      </c>
      <c r="P639" s="4" t="s">
        <v>1824</v>
      </c>
      <c r="Q639" s="3"/>
      <c r="R639" s="3"/>
      <c r="S639" s="6"/>
      <c r="T639" s="6"/>
      <c r="U639" s="6"/>
    </row>
    <row r="640" ht="15.75" customHeight="1">
      <c r="A640" s="4" t="s">
        <v>1851</v>
      </c>
      <c r="B640" s="4" t="s">
        <v>1852</v>
      </c>
      <c r="C640" s="4" t="s">
        <v>39</v>
      </c>
      <c r="D640" s="6"/>
      <c r="E640" s="3" t="str">
        <f t="shared" si="1"/>
        <v>現存</v>
      </c>
      <c r="F640" s="3" t="s">
        <v>310</v>
      </c>
      <c r="G640" s="6"/>
      <c r="H640" s="3" t="str">
        <f t="shared" si="2"/>
        <v>6</v>
      </c>
      <c r="I640" s="3" t="s">
        <v>1853</v>
      </c>
      <c r="J640" s="3" t="s">
        <v>181</v>
      </c>
      <c r="K640" s="3">
        <v>1.0</v>
      </c>
      <c r="L640" s="3">
        <v>1.0</v>
      </c>
      <c r="M640" s="4" t="s">
        <v>43</v>
      </c>
      <c r="N640" s="3" t="s">
        <v>130</v>
      </c>
      <c r="O640" s="4" t="s">
        <v>1838</v>
      </c>
      <c r="P640" s="4" t="s">
        <v>1824</v>
      </c>
      <c r="Q640" s="3"/>
      <c r="R640" s="3"/>
      <c r="S640" s="6"/>
      <c r="T640" s="6"/>
      <c r="U640" s="6"/>
    </row>
    <row r="641" ht="15.75" customHeight="1">
      <c r="A641" s="4" t="s">
        <v>1854</v>
      </c>
      <c r="B641" s="4" t="s">
        <v>1855</v>
      </c>
      <c r="C641" s="4" t="s">
        <v>39</v>
      </c>
      <c r="D641" s="6"/>
      <c r="E641" s="3" t="str">
        <f t="shared" si="1"/>
        <v>現存</v>
      </c>
      <c r="F641" s="3" t="s">
        <v>310</v>
      </c>
      <c r="G641" s="6"/>
      <c r="H641" s="3" t="str">
        <f t="shared" si="2"/>
        <v>6</v>
      </c>
      <c r="I641" s="3" t="s">
        <v>1856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130</v>
      </c>
      <c r="O641" s="9" t="s">
        <v>1558</v>
      </c>
      <c r="P641" s="9" t="s">
        <v>1821</v>
      </c>
      <c r="Q641" s="3"/>
      <c r="R641" s="3"/>
      <c r="S641" s="6"/>
      <c r="T641" s="6"/>
      <c r="U641" s="6"/>
    </row>
    <row r="642" ht="15.75" customHeight="1">
      <c r="A642" s="4" t="s">
        <v>1857</v>
      </c>
      <c r="B642" s="4" t="s">
        <v>1858</v>
      </c>
      <c r="C642" s="4" t="s">
        <v>39</v>
      </c>
      <c r="D642" s="6"/>
      <c r="E642" s="3" t="str">
        <f t="shared" si="1"/>
        <v>現存</v>
      </c>
      <c r="F642" s="3" t="s">
        <v>1220</v>
      </c>
      <c r="G642" s="6"/>
      <c r="H642" s="3" t="str">
        <f t="shared" si="2"/>
        <v>6,8</v>
      </c>
      <c r="I642" s="3" t="s">
        <v>592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130</v>
      </c>
      <c r="O642" s="4" t="s">
        <v>1832</v>
      </c>
      <c r="P642" s="4" t="s">
        <v>1824</v>
      </c>
      <c r="Q642" s="3"/>
      <c r="R642" s="3"/>
      <c r="S642" s="6"/>
      <c r="T642" s="6"/>
      <c r="U642" s="6"/>
    </row>
    <row r="643" ht="15.75" customHeight="1">
      <c r="A643" s="4" t="s">
        <v>1859</v>
      </c>
      <c r="B643" s="4" t="s">
        <v>1860</v>
      </c>
      <c r="C643" s="4" t="s">
        <v>39</v>
      </c>
      <c r="D643" s="6"/>
      <c r="E643" s="3" t="str">
        <f t="shared" si="1"/>
        <v>現存</v>
      </c>
      <c r="F643" s="3" t="s">
        <v>1220</v>
      </c>
      <c r="G643" s="6"/>
      <c r="H643" s="3" t="str">
        <f t="shared" si="2"/>
        <v>6,8</v>
      </c>
      <c r="I643" s="3" t="s">
        <v>857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130</v>
      </c>
      <c r="O643" s="9" t="s">
        <v>1558</v>
      </c>
      <c r="P643" s="9" t="s">
        <v>1821</v>
      </c>
      <c r="Q643" s="3"/>
      <c r="R643" s="3"/>
      <c r="S643" s="6"/>
      <c r="T643" s="6"/>
      <c r="U643" s="6"/>
    </row>
    <row r="644" ht="15.75" customHeight="1">
      <c r="A644" s="4" t="s">
        <v>1861</v>
      </c>
      <c r="B644" s="4" t="s">
        <v>1862</v>
      </c>
      <c r="C644" s="4" t="s">
        <v>39</v>
      </c>
      <c r="D644" s="6"/>
      <c r="E644" s="3" t="str">
        <f t="shared" si="1"/>
        <v>現存</v>
      </c>
      <c r="F644" s="3" t="s">
        <v>310</v>
      </c>
      <c r="G644" s="6"/>
      <c r="H644" s="3" t="str">
        <f t="shared" si="2"/>
        <v>6</v>
      </c>
      <c r="I644" s="3" t="s">
        <v>430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130</v>
      </c>
      <c r="O644" s="4" t="s">
        <v>1832</v>
      </c>
      <c r="P644" s="4" t="s">
        <v>1824</v>
      </c>
      <c r="Q644" s="3"/>
      <c r="R644" s="3"/>
      <c r="S644" s="6"/>
      <c r="T644" s="6"/>
      <c r="U644" s="6"/>
    </row>
    <row r="645" ht="15.75" customHeight="1">
      <c r="A645" s="4" t="s">
        <v>1863</v>
      </c>
      <c r="B645" s="4" t="s">
        <v>1864</v>
      </c>
      <c r="C645" s="4" t="s">
        <v>39</v>
      </c>
      <c r="D645" s="6"/>
      <c r="E645" s="3" t="str">
        <f t="shared" si="1"/>
        <v>現存</v>
      </c>
      <c r="F645" s="3" t="s">
        <v>588</v>
      </c>
      <c r="G645" s="6"/>
      <c r="H645" s="3" t="str">
        <f t="shared" si="2"/>
        <v>6,7</v>
      </c>
      <c r="I645" s="3" t="s">
        <v>1865</v>
      </c>
      <c r="J645" s="3" t="s">
        <v>125</v>
      </c>
      <c r="K645" s="3">
        <v>2.0</v>
      </c>
      <c r="L645" s="3">
        <v>1.0</v>
      </c>
      <c r="M645" s="4" t="s">
        <v>43</v>
      </c>
      <c r="N645" s="3" t="s">
        <v>130</v>
      </c>
      <c r="O645" s="4" t="s">
        <v>1838</v>
      </c>
      <c r="P645" s="4" t="s">
        <v>1824</v>
      </c>
      <c r="Q645" s="3"/>
      <c r="R645" s="3"/>
      <c r="S645" s="6"/>
      <c r="T645" s="6"/>
      <c r="U645" s="6"/>
    </row>
    <row r="646" ht="15.75" customHeight="1">
      <c r="A646" s="4" t="s">
        <v>1866</v>
      </c>
      <c r="B646" s="4" t="s">
        <v>1867</v>
      </c>
      <c r="C646" s="4" t="s">
        <v>39</v>
      </c>
      <c r="D646" s="6"/>
      <c r="E646" s="3" t="str">
        <f t="shared" si="1"/>
        <v>現存</v>
      </c>
      <c r="F646" s="3" t="s">
        <v>310</v>
      </c>
      <c r="G646" s="6"/>
      <c r="H646" s="3" t="str">
        <f t="shared" si="2"/>
        <v>6</v>
      </c>
      <c r="I646" s="3" t="s">
        <v>364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130</v>
      </c>
      <c r="O646" s="4" t="s">
        <v>1832</v>
      </c>
      <c r="P646" s="4" t="s">
        <v>1824</v>
      </c>
      <c r="Q646" s="3"/>
      <c r="R646" s="3"/>
      <c r="S646" s="6"/>
      <c r="T646" s="6"/>
      <c r="U646" s="6"/>
    </row>
    <row r="647" ht="15.75" customHeight="1">
      <c r="A647" s="4" t="s">
        <v>1868</v>
      </c>
      <c r="B647" s="4" t="s">
        <v>1869</v>
      </c>
      <c r="C647" s="4" t="s">
        <v>39</v>
      </c>
      <c r="D647" s="6"/>
      <c r="E647" s="3" t="str">
        <f t="shared" si="1"/>
        <v>現存</v>
      </c>
      <c r="F647" s="3" t="s">
        <v>972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130</v>
      </c>
      <c r="O647" s="4" t="s">
        <v>1832</v>
      </c>
      <c r="P647" s="4" t="s">
        <v>1824</v>
      </c>
      <c r="Q647" s="3"/>
      <c r="R647" s="3"/>
      <c r="S647" s="6"/>
      <c r="T647" s="6"/>
      <c r="U647" s="6"/>
    </row>
    <row r="648" ht="15.75" customHeight="1">
      <c r="A648" s="4" t="s">
        <v>1870</v>
      </c>
      <c r="B648" s="4" t="s">
        <v>1871</v>
      </c>
      <c r="C648" s="4" t="s">
        <v>39</v>
      </c>
      <c r="D648" s="6"/>
      <c r="E648" s="3" t="str">
        <f t="shared" si="1"/>
        <v>現存</v>
      </c>
      <c r="F648" s="3" t="s">
        <v>310</v>
      </c>
      <c r="G648" s="6"/>
      <c r="H648" s="3" t="str">
        <f t="shared" si="2"/>
        <v>6</v>
      </c>
      <c r="I648" s="3" t="s">
        <v>364</v>
      </c>
      <c r="J648" s="3" t="s">
        <v>135</v>
      </c>
      <c r="K648" s="3">
        <v>2.0</v>
      </c>
      <c r="L648" s="3">
        <v>1.0</v>
      </c>
      <c r="M648" s="4" t="s">
        <v>43</v>
      </c>
      <c r="N648" s="3" t="s">
        <v>130</v>
      </c>
      <c r="O648" s="4" t="s">
        <v>1838</v>
      </c>
      <c r="P648" s="4" t="s">
        <v>1824</v>
      </c>
      <c r="Q648" s="3"/>
      <c r="R648" s="3"/>
      <c r="S648" s="6"/>
      <c r="T648" s="6"/>
      <c r="U648" s="6"/>
    </row>
    <row r="649" ht="15.75" customHeight="1">
      <c r="A649" s="4" t="s">
        <v>1872</v>
      </c>
      <c r="B649" s="4" t="s">
        <v>1873</v>
      </c>
      <c r="C649" s="4" t="s">
        <v>39</v>
      </c>
      <c r="D649" s="6"/>
      <c r="E649" s="3" t="str">
        <f t="shared" si="1"/>
        <v>現存</v>
      </c>
      <c r="F649" s="3" t="s">
        <v>588</v>
      </c>
      <c r="G649" s="6"/>
      <c r="H649" s="3" t="str">
        <f t="shared" si="2"/>
        <v>6,7</v>
      </c>
      <c r="I649" s="3" t="s">
        <v>1217</v>
      </c>
      <c r="J649" s="3" t="s">
        <v>135</v>
      </c>
      <c r="K649" s="3">
        <v>2.0</v>
      </c>
      <c r="L649" s="3">
        <v>1.0</v>
      </c>
      <c r="M649" s="4" t="s">
        <v>43</v>
      </c>
      <c r="N649" s="3" t="s">
        <v>130</v>
      </c>
      <c r="O649" s="4" t="s">
        <v>1832</v>
      </c>
      <c r="P649" s="4" t="s">
        <v>1824</v>
      </c>
      <c r="Q649" s="3"/>
      <c r="R649" s="3"/>
      <c r="S649" s="6"/>
      <c r="T649" s="6"/>
      <c r="U649" s="6"/>
    </row>
    <row r="650" ht="15.75" customHeight="1">
      <c r="A650" s="4" t="s">
        <v>1874</v>
      </c>
      <c r="B650" s="4" t="s">
        <v>1875</v>
      </c>
      <c r="C650" s="4" t="s">
        <v>39</v>
      </c>
      <c r="D650" s="6"/>
      <c r="E650" s="3" t="str">
        <f t="shared" si="1"/>
        <v>現存</v>
      </c>
      <c r="F650" s="3" t="s">
        <v>1638</v>
      </c>
      <c r="G650" s="6"/>
      <c r="H650" s="3" t="str">
        <f t="shared" si="2"/>
        <v>6,7,8,9,10,11,12</v>
      </c>
      <c r="I650" s="3" t="s">
        <v>644</v>
      </c>
      <c r="J650" s="3" t="s">
        <v>193</v>
      </c>
      <c r="K650" s="3">
        <v>12.0</v>
      </c>
      <c r="L650" s="3">
        <v>2.0</v>
      </c>
      <c r="M650" s="4" t="s">
        <v>43</v>
      </c>
      <c r="N650" s="3" t="s">
        <v>130</v>
      </c>
      <c r="O650" s="4" t="s">
        <v>1838</v>
      </c>
      <c r="P650" s="4" t="s">
        <v>1824</v>
      </c>
      <c r="Q650" s="3"/>
      <c r="R650" s="3"/>
      <c r="S650" s="6"/>
      <c r="T650" s="6"/>
      <c r="U650" s="6"/>
    </row>
    <row r="651" ht="15.75" customHeight="1">
      <c r="A651" s="4" t="s">
        <v>1876</v>
      </c>
      <c r="B651" s="4" t="s">
        <v>1877</v>
      </c>
      <c r="C651" s="4" t="s">
        <v>39</v>
      </c>
      <c r="D651" s="6"/>
      <c r="E651" s="3" t="str">
        <f t="shared" si="1"/>
        <v>現存</v>
      </c>
      <c r="F651" s="3" t="s">
        <v>1220</v>
      </c>
      <c r="G651" s="6"/>
      <c r="H651" s="3" t="str">
        <f t="shared" si="2"/>
        <v>6,8</v>
      </c>
      <c r="I651" s="3" t="s">
        <v>857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130</v>
      </c>
      <c r="O651" s="9" t="s">
        <v>1558</v>
      </c>
      <c r="P651" s="9" t="s">
        <v>1821</v>
      </c>
      <c r="Q651" s="3"/>
      <c r="R651" s="3"/>
      <c r="S651" s="6"/>
      <c r="T651" s="6"/>
      <c r="U651" s="6"/>
    </row>
    <row r="652" ht="15.75" customHeight="1">
      <c r="A652" s="4" t="s">
        <v>1878</v>
      </c>
      <c r="B652" s="4" t="s">
        <v>1879</v>
      </c>
      <c r="C652" s="4" t="s">
        <v>39</v>
      </c>
      <c r="D652" s="8" t="s">
        <v>381</v>
      </c>
      <c r="E652" s="3" t="str">
        <f t="shared" si="1"/>
        <v>不收錄</v>
      </c>
      <c r="F652" s="3" t="s">
        <v>310</v>
      </c>
      <c r="G652" s="6"/>
      <c r="H652" s="3" t="str">
        <f t="shared" si="2"/>
        <v>6</v>
      </c>
      <c r="I652" s="3" t="s">
        <v>857</v>
      </c>
      <c r="J652" s="3" t="s">
        <v>135</v>
      </c>
      <c r="K652" s="3">
        <v>2.0</v>
      </c>
      <c r="L652" s="3">
        <v>1.0</v>
      </c>
      <c r="M652" s="4" t="s">
        <v>43</v>
      </c>
      <c r="N652" s="3" t="s">
        <v>130</v>
      </c>
      <c r="O652" s="4" t="s">
        <v>1838</v>
      </c>
      <c r="P652" s="4" t="s">
        <v>1824</v>
      </c>
      <c r="Q652" s="3"/>
      <c r="R652" s="3"/>
      <c r="S652" s="6"/>
      <c r="T652" s="6"/>
      <c r="U652" s="6"/>
    </row>
    <row r="653" ht="15.75" customHeight="1">
      <c r="A653" s="4" t="s">
        <v>1880</v>
      </c>
      <c r="B653" s="4" t="s">
        <v>1881</v>
      </c>
      <c r="C653" s="4" t="s">
        <v>39</v>
      </c>
      <c r="D653" s="6"/>
      <c r="E653" s="3" t="str">
        <f t="shared" si="1"/>
        <v>現存</v>
      </c>
      <c r="F653" s="3" t="s">
        <v>310</v>
      </c>
      <c r="G653" s="6"/>
      <c r="H653" s="3" t="str">
        <f t="shared" si="2"/>
        <v>6</v>
      </c>
      <c r="I653" s="3" t="s">
        <v>1882</v>
      </c>
      <c r="J653" s="3" t="s">
        <v>181</v>
      </c>
      <c r="K653" s="3">
        <v>1.0</v>
      </c>
      <c r="L653" s="3">
        <v>1.0</v>
      </c>
      <c r="M653" s="9" t="s">
        <v>236</v>
      </c>
      <c r="N653" s="3" t="s">
        <v>130</v>
      </c>
      <c r="O653" s="4" t="s">
        <v>1832</v>
      </c>
      <c r="P653" s="4" t="s">
        <v>1824</v>
      </c>
      <c r="Q653" s="3"/>
      <c r="R653" s="3"/>
      <c r="S653" s="6"/>
      <c r="T653" s="6"/>
      <c r="U653" s="6"/>
    </row>
    <row r="654" ht="15.75" customHeight="1">
      <c r="A654" s="4" t="s">
        <v>1883</v>
      </c>
      <c r="B654" s="4" t="s">
        <v>1884</v>
      </c>
      <c r="C654" s="4" t="s">
        <v>39</v>
      </c>
      <c r="D654" s="6"/>
      <c r="E654" s="3" t="str">
        <f t="shared" si="1"/>
        <v>現存</v>
      </c>
      <c r="F654" s="3" t="s">
        <v>314</v>
      </c>
      <c r="G654" s="6"/>
      <c r="H654" s="3" t="str">
        <f t="shared" si="2"/>
        <v>7</v>
      </c>
      <c r="I654" s="3" t="s">
        <v>1082</v>
      </c>
      <c r="J654" s="3" t="s">
        <v>42</v>
      </c>
      <c r="K654" s="3">
        <v>1.0</v>
      </c>
      <c r="L654" s="3">
        <v>1.0</v>
      </c>
      <c r="M654" s="9" t="s">
        <v>236</v>
      </c>
      <c r="N654" s="3" t="s">
        <v>130</v>
      </c>
      <c r="O654" s="4" t="s">
        <v>1838</v>
      </c>
      <c r="P654" s="4" t="s">
        <v>1824</v>
      </c>
      <c r="Q654" s="3"/>
      <c r="R654" s="3"/>
      <c r="S654" s="6"/>
      <c r="T654" s="6"/>
      <c r="U654" s="6"/>
    </row>
    <row r="655" ht="15.75" customHeight="1">
      <c r="A655" s="4" t="s">
        <v>1885</v>
      </c>
      <c r="B655" s="4" t="s">
        <v>1886</v>
      </c>
      <c r="C655" s="4" t="s">
        <v>39</v>
      </c>
      <c r="D655" s="6"/>
      <c r="E655" s="3" t="str">
        <f t="shared" si="1"/>
        <v>現存</v>
      </c>
      <c r="F655" s="3" t="s">
        <v>314</v>
      </c>
      <c r="G655" s="6"/>
      <c r="H655" s="3" t="str">
        <f t="shared" si="2"/>
        <v>7</v>
      </c>
      <c r="I655" s="3" t="s">
        <v>1887</v>
      </c>
      <c r="J655" s="3" t="s">
        <v>135</v>
      </c>
      <c r="K655" s="3">
        <v>1.0</v>
      </c>
      <c r="L655" s="3">
        <v>1.0</v>
      </c>
      <c r="M655" s="4" t="s">
        <v>43</v>
      </c>
      <c r="N655" s="3" t="s">
        <v>130</v>
      </c>
      <c r="O655" s="4" t="s">
        <v>1832</v>
      </c>
      <c r="P655" s="4" t="s">
        <v>1824</v>
      </c>
      <c r="Q655" s="3"/>
      <c r="R655" s="3"/>
      <c r="S655" s="6"/>
      <c r="T655" s="6"/>
      <c r="U655" s="6"/>
    </row>
    <row r="656" ht="15.75" customHeight="1">
      <c r="A656" s="4" t="s">
        <v>1888</v>
      </c>
      <c r="B656" s="4" t="s">
        <v>1889</v>
      </c>
      <c r="C656" s="4" t="s">
        <v>39</v>
      </c>
      <c r="D656" s="6"/>
      <c r="E656" s="3" t="str">
        <f t="shared" si="1"/>
        <v>現存</v>
      </c>
      <c r="F656" s="3" t="s">
        <v>314</v>
      </c>
      <c r="G656" s="6"/>
      <c r="H656" s="3" t="str">
        <f t="shared" si="2"/>
        <v>7</v>
      </c>
      <c r="I656" s="3" t="s">
        <v>1082</v>
      </c>
      <c r="J656" s="3" t="s">
        <v>42</v>
      </c>
      <c r="K656" s="3">
        <v>1.0</v>
      </c>
      <c r="L656" s="3">
        <v>1.0</v>
      </c>
      <c r="M656" s="9" t="s">
        <v>236</v>
      </c>
      <c r="N656" s="3" t="s">
        <v>130</v>
      </c>
      <c r="O656" s="4" t="s">
        <v>1838</v>
      </c>
      <c r="P656" s="4" t="s">
        <v>1824</v>
      </c>
      <c r="Q656" s="3"/>
      <c r="R656" s="3"/>
      <c r="S656" s="6"/>
      <c r="T656" s="6"/>
      <c r="U656" s="6"/>
    </row>
    <row r="657" ht="15.75" customHeight="1">
      <c r="A657" s="4" t="s">
        <v>1890</v>
      </c>
      <c r="B657" s="4" t="s">
        <v>1891</v>
      </c>
      <c r="C657" s="4" t="s">
        <v>39</v>
      </c>
      <c r="D657" s="6"/>
      <c r="E657" s="3" t="str">
        <f t="shared" si="1"/>
        <v>現存</v>
      </c>
      <c r="F657" s="3" t="s">
        <v>314</v>
      </c>
      <c r="G657" s="6"/>
      <c r="H657" s="3" t="str">
        <f t="shared" si="2"/>
        <v>7</v>
      </c>
      <c r="I657" s="3" t="s">
        <v>1892</v>
      </c>
      <c r="J657" s="3" t="s">
        <v>181</v>
      </c>
      <c r="K657" s="3">
        <v>1.0</v>
      </c>
      <c r="L657" s="3">
        <v>1.0</v>
      </c>
      <c r="M657" s="9" t="s">
        <v>236</v>
      </c>
      <c r="N657" s="3" t="s">
        <v>130</v>
      </c>
      <c r="O657" s="4" t="s">
        <v>1838</v>
      </c>
      <c r="P657" s="4" t="s">
        <v>1824</v>
      </c>
      <c r="Q657" s="3"/>
      <c r="R657" s="3"/>
      <c r="S657" s="6"/>
      <c r="T657" s="6"/>
      <c r="U657" s="6"/>
    </row>
    <row r="658" ht="15.75" customHeight="1">
      <c r="A658" s="4" t="s">
        <v>1893</v>
      </c>
      <c r="B658" s="4" t="s">
        <v>1894</v>
      </c>
      <c r="C658" s="4" t="s">
        <v>39</v>
      </c>
      <c r="D658" s="6"/>
      <c r="E658" s="3" t="str">
        <f t="shared" si="1"/>
        <v>現存</v>
      </c>
      <c r="F658" s="3" t="s">
        <v>314</v>
      </c>
      <c r="G658" s="6"/>
      <c r="H658" s="3" t="str">
        <f t="shared" si="2"/>
        <v>7</v>
      </c>
      <c r="I658" s="3" t="s">
        <v>1217</v>
      </c>
      <c r="J658" s="3" t="s">
        <v>135</v>
      </c>
      <c r="K658" s="3">
        <v>1.0</v>
      </c>
      <c r="L658" s="3">
        <v>1.0</v>
      </c>
      <c r="M658" s="4" t="s">
        <v>43</v>
      </c>
      <c r="N658" s="3" t="s">
        <v>130</v>
      </c>
      <c r="O658" s="4" t="s">
        <v>1832</v>
      </c>
      <c r="P658" s="4" t="s">
        <v>1824</v>
      </c>
      <c r="Q658" s="3"/>
      <c r="R658" s="3"/>
      <c r="S658" s="6"/>
      <c r="T658" s="6"/>
      <c r="U658" s="6"/>
    </row>
    <row r="659" ht="15.75" customHeight="1">
      <c r="A659" s="4" t="s">
        <v>1895</v>
      </c>
      <c r="B659" s="9" t="s">
        <v>1896</v>
      </c>
      <c r="C659" s="4" t="s">
        <v>39</v>
      </c>
      <c r="D659" s="8" t="s">
        <v>381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135</v>
      </c>
      <c r="K659" s="3">
        <v>1.0</v>
      </c>
      <c r="L659" s="3">
        <v>1.0</v>
      </c>
      <c r="M659" s="4" t="s">
        <v>43</v>
      </c>
      <c r="N659" s="3" t="s">
        <v>130</v>
      </c>
      <c r="O659" s="4" t="s">
        <v>1838</v>
      </c>
      <c r="P659" s="4" t="s">
        <v>1824</v>
      </c>
      <c r="Q659" s="3"/>
      <c r="R659" s="3"/>
      <c r="S659" s="6"/>
      <c r="T659" s="6"/>
      <c r="U659" s="6"/>
    </row>
    <row r="660" ht="15.75" customHeight="1">
      <c r="A660" s="4" t="s">
        <v>1897</v>
      </c>
      <c r="B660" s="4" t="s">
        <v>1898</v>
      </c>
      <c r="C660" s="4" t="s">
        <v>39</v>
      </c>
      <c r="D660" s="8" t="s">
        <v>381</v>
      </c>
      <c r="E660" s="3" t="str">
        <f t="shared" si="1"/>
        <v>不收錄</v>
      </c>
      <c r="F660" s="3" t="s">
        <v>1899</v>
      </c>
      <c r="G660" s="6"/>
      <c r="H660" s="3" t="str">
        <f t="shared" si="2"/>
        <v>7,9</v>
      </c>
      <c r="I660" s="3" t="s">
        <v>1217</v>
      </c>
      <c r="J660" s="3" t="s">
        <v>65</v>
      </c>
      <c r="K660" s="3">
        <v>3.0</v>
      </c>
      <c r="L660" s="3">
        <v>1.0</v>
      </c>
      <c r="M660" s="9" t="s">
        <v>236</v>
      </c>
      <c r="N660" s="3" t="s">
        <v>130</v>
      </c>
      <c r="O660" s="4" t="s">
        <v>1832</v>
      </c>
      <c r="P660" s="4" t="s">
        <v>1824</v>
      </c>
      <c r="Q660" s="3"/>
      <c r="R660" s="3"/>
      <c r="S660" s="6"/>
      <c r="T660" s="6"/>
      <c r="U660" s="6"/>
    </row>
    <row r="661" ht="15.75" customHeight="1">
      <c r="A661" s="4" t="s">
        <v>1900</v>
      </c>
      <c r="B661" s="4" t="s">
        <v>1901</v>
      </c>
      <c r="C661" s="4" t="s">
        <v>39</v>
      </c>
      <c r="D661" s="8" t="s">
        <v>170</v>
      </c>
      <c r="E661" s="3" t="str">
        <f t="shared" si="1"/>
        <v>近年未見</v>
      </c>
      <c r="F661" s="3" t="s">
        <v>314</v>
      </c>
      <c r="G661" s="6"/>
      <c r="H661" s="3" t="str">
        <f t="shared" si="2"/>
        <v>7</v>
      </c>
      <c r="I661" s="3" t="s">
        <v>1887</v>
      </c>
      <c r="J661" s="3" t="s">
        <v>135</v>
      </c>
      <c r="K661" s="3">
        <v>1.0</v>
      </c>
      <c r="L661" s="3">
        <v>1.0</v>
      </c>
      <c r="M661" s="9" t="s">
        <v>236</v>
      </c>
      <c r="N661" s="3" t="s">
        <v>130</v>
      </c>
      <c r="O661" s="4" t="s">
        <v>1838</v>
      </c>
      <c r="P661" s="4" t="s">
        <v>1824</v>
      </c>
      <c r="Q661" s="3"/>
      <c r="R661" s="3"/>
      <c r="S661" s="6"/>
      <c r="T661" s="6"/>
      <c r="U661" s="6"/>
    </row>
    <row r="662" ht="15.75" customHeight="1">
      <c r="A662" s="4" t="s">
        <v>1902</v>
      </c>
      <c r="B662" s="4" t="s">
        <v>1903</v>
      </c>
      <c r="C662" s="4" t="s">
        <v>39</v>
      </c>
      <c r="D662" s="6"/>
      <c r="E662" s="3" t="str">
        <f t="shared" si="1"/>
        <v>現存</v>
      </c>
      <c r="F662" s="3" t="s">
        <v>314</v>
      </c>
      <c r="G662" s="6"/>
      <c r="H662" s="3" t="str">
        <f t="shared" si="2"/>
        <v>7</v>
      </c>
      <c r="I662" s="3" t="s">
        <v>1082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130</v>
      </c>
      <c r="O662" s="4" t="s">
        <v>1838</v>
      </c>
      <c r="P662" s="4" t="s">
        <v>1824</v>
      </c>
      <c r="Q662" s="3"/>
      <c r="R662" s="3"/>
      <c r="S662" s="6"/>
      <c r="T662" s="6"/>
      <c r="U662" s="6"/>
    </row>
    <row r="663" ht="15.75" customHeight="1">
      <c r="A663" s="4" t="s">
        <v>1904</v>
      </c>
      <c r="B663" s="4" t="s">
        <v>1905</v>
      </c>
      <c r="C663" s="4" t="s">
        <v>39</v>
      </c>
      <c r="D663" s="6"/>
      <c r="E663" s="3" t="str">
        <f t="shared" si="1"/>
        <v>現存</v>
      </c>
      <c r="F663" s="3" t="s">
        <v>314</v>
      </c>
      <c r="G663" s="6"/>
      <c r="H663" s="3" t="str">
        <f t="shared" si="2"/>
        <v>7</v>
      </c>
      <c r="I663" s="3" t="s">
        <v>1906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130</v>
      </c>
      <c r="O663" s="4" t="s">
        <v>1838</v>
      </c>
      <c r="P663" s="4" t="s">
        <v>1824</v>
      </c>
      <c r="Q663" s="3"/>
      <c r="R663" s="3"/>
      <c r="S663" s="6"/>
      <c r="T663" s="6"/>
      <c r="U663" s="6"/>
    </row>
    <row r="664" ht="15.75" customHeight="1">
      <c r="A664" s="4" t="s">
        <v>1907</v>
      </c>
      <c r="B664" s="4" t="s">
        <v>1908</v>
      </c>
      <c r="C664" s="4" t="s">
        <v>39</v>
      </c>
      <c r="D664" s="8" t="s">
        <v>170</v>
      </c>
      <c r="E664" s="3" t="str">
        <f t="shared" si="1"/>
        <v>近年未見</v>
      </c>
      <c r="F664" s="3" t="s">
        <v>314</v>
      </c>
      <c r="G664" s="6"/>
      <c r="H664" s="3" t="str">
        <f t="shared" si="2"/>
        <v>7</v>
      </c>
      <c r="I664" s="3" t="s">
        <v>837</v>
      </c>
      <c r="J664" s="3" t="s">
        <v>42</v>
      </c>
      <c r="K664" s="3">
        <v>1.0</v>
      </c>
      <c r="L664" s="3">
        <v>1.0</v>
      </c>
      <c r="M664" s="9" t="s">
        <v>236</v>
      </c>
      <c r="N664" s="3" t="s">
        <v>130</v>
      </c>
      <c r="O664" s="4" t="s">
        <v>1832</v>
      </c>
      <c r="P664" s="4" t="s">
        <v>1824</v>
      </c>
      <c r="Q664" s="3"/>
      <c r="R664" s="3"/>
      <c r="S664" s="6"/>
      <c r="T664" s="6"/>
      <c r="U664" s="6"/>
    </row>
    <row r="665" ht="15.75" customHeight="1">
      <c r="A665" s="4" t="s">
        <v>1909</v>
      </c>
      <c r="B665" s="4" t="s">
        <v>1910</v>
      </c>
      <c r="C665" s="4" t="s">
        <v>39</v>
      </c>
      <c r="D665" s="6"/>
      <c r="E665" s="3" t="str">
        <f t="shared" si="1"/>
        <v>現存</v>
      </c>
      <c r="F665" s="3" t="s">
        <v>314</v>
      </c>
      <c r="G665" s="6"/>
      <c r="H665" s="3" t="str">
        <f t="shared" si="2"/>
        <v>7</v>
      </c>
      <c r="I665" s="3" t="s">
        <v>1082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130</v>
      </c>
      <c r="O665" s="4" t="s">
        <v>1838</v>
      </c>
      <c r="P665" s="4" t="s">
        <v>1824</v>
      </c>
      <c r="Q665" s="3"/>
      <c r="R665" s="3"/>
      <c r="S665" s="6"/>
      <c r="T665" s="6"/>
      <c r="U665" s="6"/>
    </row>
    <row r="666" ht="15.75" customHeight="1">
      <c r="A666" s="4" t="s">
        <v>1911</v>
      </c>
      <c r="B666" s="4" t="s">
        <v>1912</v>
      </c>
      <c r="C666" s="4" t="s">
        <v>39</v>
      </c>
      <c r="D666" s="6"/>
      <c r="E666" s="3" t="str">
        <f t="shared" si="1"/>
        <v>現存</v>
      </c>
      <c r="F666" s="3" t="s">
        <v>314</v>
      </c>
      <c r="G666" s="6"/>
      <c r="H666" s="3" t="str">
        <f t="shared" si="2"/>
        <v>7</v>
      </c>
      <c r="I666" s="3" t="s">
        <v>1906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130</v>
      </c>
      <c r="O666" s="4" t="s">
        <v>1838</v>
      </c>
      <c r="P666" s="4" t="s">
        <v>1824</v>
      </c>
      <c r="Q666" s="3"/>
      <c r="R666" s="3"/>
      <c r="S666" s="6"/>
      <c r="T666" s="6"/>
      <c r="U666" s="6"/>
    </row>
    <row r="667" ht="15.75" customHeight="1">
      <c r="A667" s="4" t="s">
        <v>1913</v>
      </c>
      <c r="B667" s="4" t="s">
        <v>1914</v>
      </c>
      <c r="C667" s="4" t="s">
        <v>39</v>
      </c>
      <c r="D667" s="8" t="s">
        <v>381</v>
      </c>
      <c r="E667" s="3" t="str">
        <f t="shared" si="1"/>
        <v>不收錄</v>
      </c>
      <c r="F667" s="3" t="s">
        <v>314</v>
      </c>
      <c r="G667" s="6"/>
      <c r="H667" s="3" t="str">
        <f t="shared" si="2"/>
        <v>7</v>
      </c>
      <c r="I667" s="3" t="s">
        <v>1082</v>
      </c>
      <c r="J667" s="3" t="s">
        <v>42</v>
      </c>
      <c r="K667" s="3">
        <v>1.0</v>
      </c>
      <c r="L667" s="3">
        <v>1.0</v>
      </c>
      <c r="M667" s="9" t="s">
        <v>236</v>
      </c>
      <c r="N667" s="3" t="s">
        <v>130</v>
      </c>
      <c r="O667" s="4" t="s">
        <v>1838</v>
      </c>
      <c r="P667" s="4" t="s">
        <v>1824</v>
      </c>
      <c r="Q667" s="3"/>
      <c r="R667" s="3"/>
      <c r="S667" s="6"/>
      <c r="T667" s="6"/>
      <c r="U667" s="6"/>
    </row>
    <row r="668" ht="15.75" customHeight="1">
      <c r="A668" s="4" t="s">
        <v>1915</v>
      </c>
      <c r="B668" s="4" t="s">
        <v>1896</v>
      </c>
      <c r="C668" s="4" t="s">
        <v>39</v>
      </c>
      <c r="D668" s="6"/>
      <c r="E668" s="3" t="str">
        <f t="shared" si="1"/>
        <v>現存</v>
      </c>
      <c r="F668" s="3" t="s">
        <v>542</v>
      </c>
      <c r="G668" s="6"/>
      <c r="H668" s="3" t="str">
        <f t="shared" si="2"/>
        <v>2,5</v>
      </c>
      <c r="I668" s="3" t="s">
        <v>537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130</v>
      </c>
      <c r="O668" s="4" t="s">
        <v>1838</v>
      </c>
      <c r="P668" s="4" t="s">
        <v>1824</v>
      </c>
      <c r="Q668" s="3"/>
      <c r="R668" s="3"/>
      <c r="S668" s="6"/>
      <c r="T668" s="6"/>
      <c r="U668" s="6"/>
    </row>
    <row r="669" ht="15.75" customHeight="1">
      <c r="A669" s="4" t="s">
        <v>1916</v>
      </c>
      <c r="B669" s="4" t="s">
        <v>1917</v>
      </c>
      <c r="C669" s="4" t="s">
        <v>39</v>
      </c>
      <c r="D669" s="6"/>
      <c r="E669" s="3" t="str">
        <f t="shared" si="1"/>
        <v>現存</v>
      </c>
      <c r="F669" s="3" t="s">
        <v>478</v>
      </c>
      <c r="G669" s="6"/>
      <c r="H669" s="3" t="str">
        <f t="shared" si="2"/>
        <v>7,8</v>
      </c>
      <c r="I669" s="3" t="s">
        <v>271</v>
      </c>
      <c r="J669" s="3" t="s">
        <v>135</v>
      </c>
      <c r="K669" s="3">
        <v>2.0</v>
      </c>
      <c r="L669" s="3">
        <v>1.0</v>
      </c>
      <c r="M669" s="4" t="s">
        <v>43</v>
      </c>
      <c r="N669" s="3" t="s">
        <v>130</v>
      </c>
      <c r="O669" s="4" t="s">
        <v>1832</v>
      </c>
      <c r="P669" s="4" t="s">
        <v>1824</v>
      </c>
      <c r="Q669" s="3"/>
      <c r="R669" s="3"/>
      <c r="S669" s="6"/>
      <c r="T669" s="6"/>
      <c r="U669" s="6"/>
    </row>
    <row r="670" ht="15.75" customHeight="1">
      <c r="A670" s="4" t="s">
        <v>1918</v>
      </c>
      <c r="B670" s="4" t="s">
        <v>1919</v>
      </c>
      <c r="C670" s="4" t="s">
        <v>39</v>
      </c>
      <c r="D670" s="6"/>
      <c r="E670" s="3" t="str">
        <f t="shared" si="1"/>
        <v>現存</v>
      </c>
      <c r="F670" s="3" t="s">
        <v>314</v>
      </c>
      <c r="G670" s="6"/>
      <c r="H670" s="3" t="str">
        <f t="shared" si="2"/>
        <v>7</v>
      </c>
      <c r="I670" s="3" t="s">
        <v>738</v>
      </c>
      <c r="J670" s="3" t="s">
        <v>135</v>
      </c>
      <c r="K670" s="3">
        <v>1.0</v>
      </c>
      <c r="L670" s="3">
        <v>1.0</v>
      </c>
      <c r="M670" s="4" t="s">
        <v>43</v>
      </c>
      <c r="N670" s="3" t="s">
        <v>130</v>
      </c>
      <c r="O670" s="4" t="s">
        <v>1832</v>
      </c>
      <c r="P670" s="4" t="s">
        <v>1824</v>
      </c>
      <c r="Q670" s="3"/>
      <c r="R670" s="3"/>
      <c r="S670" s="6"/>
      <c r="T670" s="6"/>
      <c r="U670" s="6"/>
    </row>
    <row r="671" ht="15.75" customHeight="1">
      <c r="A671" s="4" t="s">
        <v>1920</v>
      </c>
      <c r="B671" s="4" t="s">
        <v>1921</v>
      </c>
      <c r="C671" s="4" t="s">
        <v>39</v>
      </c>
      <c r="D671" s="6"/>
      <c r="E671" s="3" t="str">
        <f t="shared" si="1"/>
        <v>現存</v>
      </c>
      <c r="F671" s="3" t="s">
        <v>314</v>
      </c>
      <c r="G671" s="6"/>
      <c r="H671" s="3" t="str">
        <f t="shared" si="2"/>
        <v>7</v>
      </c>
      <c r="I671" s="3" t="s">
        <v>1892</v>
      </c>
      <c r="J671" s="3" t="s">
        <v>181</v>
      </c>
      <c r="K671" s="3">
        <v>1.0</v>
      </c>
      <c r="L671" s="3">
        <v>1.0</v>
      </c>
      <c r="M671" s="4" t="s">
        <v>43</v>
      </c>
      <c r="N671" s="3" t="s">
        <v>130</v>
      </c>
      <c r="O671" s="4" t="s">
        <v>1832</v>
      </c>
      <c r="P671" s="4" t="s">
        <v>1824</v>
      </c>
      <c r="Q671" s="3"/>
      <c r="R671" s="3"/>
      <c r="S671" s="6"/>
      <c r="T671" s="6"/>
      <c r="U671" s="6"/>
    </row>
    <row r="672" ht="15.75" customHeight="1">
      <c r="A672" s="4" t="s">
        <v>1922</v>
      </c>
      <c r="B672" s="4" t="s">
        <v>1923</v>
      </c>
      <c r="C672" s="4" t="s">
        <v>39</v>
      </c>
      <c r="D672" s="6"/>
      <c r="E672" s="3" t="str">
        <f t="shared" si="1"/>
        <v>現存</v>
      </c>
      <c r="F672" s="3" t="s">
        <v>314</v>
      </c>
      <c r="G672" s="6"/>
      <c r="H672" s="3" t="str">
        <f t="shared" si="2"/>
        <v>7</v>
      </c>
      <c r="I672" s="3" t="s">
        <v>1887</v>
      </c>
      <c r="J672" s="3" t="s">
        <v>135</v>
      </c>
      <c r="K672" s="3">
        <v>1.0</v>
      </c>
      <c r="L672" s="3">
        <v>1.0</v>
      </c>
      <c r="M672" s="4" t="s">
        <v>43</v>
      </c>
      <c r="N672" s="3" t="s">
        <v>130</v>
      </c>
      <c r="O672" s="4" t="s">
        <v>1832</v>
      </c>
      <c r="P672" s="4" t="s">
        <v>1824</v>
      </c>
      <c r="Q672" s="3"/>
      <c r="R672" s="3"/>
      <c r="S672" s="6"/>
      <c r="T672" s="6"/>
      <c r="U672" s="6"/>
    </row>
    <row r="673" ht="15.75" customHeight="1">
      <c r="A673" s="4" t="s">
        <v>1924</v>
      </c>
      <c r="B673" s="4" t="s">
        <v>1925</v>
      </c>
      <c r="C673" s="4" t="s">
        <v>39</v>
      </c>
      <c r="D673" s="6"/>
      <c r="E673" s="3" t="str">
        <f t="shared" si="1"/>
        <v>現存</v>
      </c>
      <c r="F673" s="3" t="s">
        <v>314</v>
      </c>
      <c r="G673" s="6"/>
      <c r="H673" s="3" t="str">
        <f t="shared" si="2"/>
        <v>7</v>
      </c>
      <c r="I673" s="3" t="s">
        <v>557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130</v>
      </c>
      <c r="O673" s="4" t="s">
        <v>1838</v>
      </c>
      <c r="P673" s="4" t="s">
        <v>1824</v>
      </c>
      <c r="Q673" s="3"/>
      <c r="R673" s="3"/>
      <c r="S673" s="6"/>
      <c r="T673" s="6"/>
      <c r="U673" s="6"/>
    </row>
    <row r="674" ht="15.75" customHeight="1">
      <c r="A674" s="4" t="s">
        <v>1926</v>
      </c>
      <c r="B674" s="4" t="s">
        <v>1927</v>
      </c>
      <c r="C674" s="4" t="s">
        <v>39</v>
      </c>
      <c r="D674" s="6"/>
      <c r="E674" s="3" t="str">
        <f t="shared" si="1"/>
        <v>現存</v>
      </c>
      <c r="F674" s="3" t="s">
        <v>314</v>
      </c>
      <c r="G674" s="6"/>
      <c r="H674" s="3" t="str">
        <f t="shared" si="2"/>
        <v>7</v>
      </c>
      <c r="I674" s="3" t="s">
        <v>315</v>
      </c>
      <c r="J674" s="3" t="s">
        <v>181</v>
      </c>
      <c r="K674" s="3">
        <v>1.0</v>
      </c>
      <c r="L674" s="3">
        <v>1.0</v>
      </c>
      <c r="M674" s="4" t="s">
        <v>43</v>
      </c>
      <c r="N674" s="3" t="s">
        <v>130</v>
      </c>
      <c r="O674" s="4" t="s">
        <v>1838</v>
      </c>
      <c r="P674" s="4" t="s">
        <v>1824</v>
      </c>
      <c r="Q674" s="3"/>
      <c r="R674" s="3"/>
      <c r="S674" s="6"/>
      <c r="T674" s="6"/>
      <c r="U674" s="6"/>
    </row>
    <row r="675" ht="15.75" customHeight="1">
      <c r="A675" s="4" t="s">
        <v>1928</v>
      </c>
      <c r="B675" s="4" t="s">
        <v>1929</v>
      </c>
      <c r="C675" s="4" t="s">
        <v>39</v>
      </c>
      <c r="D675" s="6"/>
      <c r="E675" s="3" t="str">
        <f t="shared" si="1"/>
        <v>現存</v>
      </c>
      <c r="F675" s="3" t="s">
        <v>478</v>
      </c>
      <c r="G675" s="6"/>
      <c r="H675" s="3" t="str">
        <f t="shared" si="2"/>
        <v>7,8</v>
      </c>
      <c r="I675" s="3" t="s">
        <v>1930</v>
      </c>
      <c r="J675" s="3" t="s">
        <v>135</v>
      </c>
      <c r="K675" s="3">
        <v>2.0</v>
      </c>
      <c r="L675" s="3">
        <v>1.0</v>
      </c>
      <c r="M675" s="4" t="s">
        <v>43</v>
      </c>
      <c r="N675" s="3" t="s">
        <v>130</v>
      </c>
      <c r="O675" s="4" t="s">
        <v>1832</v>
      </c>
      <c r="P675" s="4" t="s">
        <v>1824</v>
      </c>
      <c r="Q675" s="3"/>
      <c r="R675" s="3"/>
      <c r="S675" s="6"/>
      <c r="T675" s="6"/>
      <c r="U675" s="6"/>
    </row>
    <row r="676" ht="15.75" customHeight="1">
      <c r="A676" s="4" t="s">
        <v>1931</v>
      </c>
      <c r="B676" s="4" t="s">
        <v>1932</v>
      </c>
      <c r="C676" s="4" t="s">
        <v>170</v>
      </c>
      <c r="D676" s="8" t="s">
        <v>381</v>
      </c>
      <c r="E676" s="3" t="str">
        <f t="shared" si="1"/>
        <v>不收錄</v>
      </c>
      <c r="F676" s="3" t="s">
        <v>314</v>
      </c>
      <c r="G676" s="6"/>
      <c r="H676" s="3" t="str">
        <f t="shared" si="2"/>
        <v>7</v>
      </c>
      <c r="I676" s="3" t="s">
        <v>1933</v>
      </c>
      <c r="J676" s="3" t="s">
        <v>42</v>
      </c>
      <c r="K676" s="3">
        <v>1.0</v>
      </c>
      <c r="L676" s="3">
        <v>0.0</v>
      </c>
      <c r="M676" s="4" t="s">
        <v>236</v>
      </c>
      <c r="N676" s="3"/>
      <c r="O676" s="3"/>
      <c r="P676" s="4" t="s">
        <v>1824</v>
      </c>
      <c r="Q676" s="3"/>
      <c r="R676" s="3"/>
      <c r="S676" s="6"/>
      <c r="T676" s="6"/>
      <c r="U676" s="6"/>
    </row>
    <row r="677" ht="15.75" customHeight="1">
      <c r="A677" s="4" t="s">
        <v>1934</v>
      </c>
      <c r="B677" s="4" t="s">
        <v>1935</v>
      </c>
      <c r="C677" s="4" t="s">
        <v>39</v>
      </c>
      <c r="D677" s="6"/>
      <c r="E677" s="3" t="str">
        <f t="shared" si="1"/>
        <v>現存</v>
      </c>
      <c r="F677" s="3" t="s">
        <v>314</v>
      </c>
      <c r="G677" s="6"/>
      <c r="H677" s="3" t="str">
        <f t="shared" si="2"/>
        <v>7</v>
      </c>
      <c r="I677" s="3" t="s">
        <v>1865</v>
      </c>
      <c r="J677" s="3" t="s">
        <v>135</v>
      </c>
      <c r="K677" s="3">
        <v>2.0</v>
      </c>
      <c r="L677" s="3">
        <v>1.0</v>
      </c>
      <c r="M677" s="4" t="s">
        <v>43</v>
      </c>
      <c r="N677" s="3" t="s">
        <v>130</v>
      </c>
      <c r="O677" s="9" t="s">
        <v>1558</v>
      </c>
      <c r="P677" s="9" t="s">
        <v>1821</v>
      </c>
      <c r="Q677" s="3"/>
      <c r="R677" s="3"/>
      <c r="S677" s="6"/>
      <c r="T677" s="6"/>
      <c r="U677" s="6"/>
    </row>
    <row r="678" ht="15.75" customHeight="1">
      <c r="A678" s="4" t="s">
        <v>1936</v>
      </c>
      <c r="B678" s="4" t="s">
        <v>1937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537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130</v>
      </c>
      <c r="O678" s="4" t="s">
        <v>1838</v>
      </c>
      <c r="P678" s="4" t="s">
        <v>1824</v>
      </c>
      <c r="Q678" s="3"/>
      <c r="R678" s="3"/>
      <c r="S678" s="6"/>
      <c r="T678" s="6"/>
      <c r="U678" s="6"/>
    </row>
    <row r="679" ht="15.75" customHeight="1">
      <c r="A679" s="4" t="s">
        <v>1938</v>
      </c>
      <c r="B679" s="4" t="s">
        <v>1939</v>
      </c>
      <c r="C679" s="4" t="s">
        <v>39</v>
      </c>
      <c r="D679" s="6"/>
      <c r="E679" s="3" t="str">
        <f t="shared" si="1"/>
        <v>現存</v>
      </c>
      <c r="F679" s="3" t="s">
        <v>1899</v>
      </c>
      <c r="G679" s="6"/>
      <c r="H679" s="3" t="str">
        <f t="shared" si="2"/>
        <v>7,9</v>
      </c>
      <c r="I679" s="3" t="s">
        <v>60</v>
      </c>
      <c r="J679" s="3" t="s">
        <v>135</v>
      </c>
      <c r="K679" s="3">
        <v>2.0</v>
      </c>
      <c r="L679" s="3">
        <v>1.0</v>
      </c>
      <c r="M679" s="4" t="s">
        <v>43</v>
      </c>
      <c r="N679" s="3" t="s">
        <v>130</v>
      </c>
      <c r="O679" s="4" t="s">
        <v>1832</v>
      </c>
      <c r="P679" s="4" t="s">
        <v>1824</v>
      </c>
      <c r="Q679" s="3"/>
      <c r="R679" s="3"/>
      <c r="S679" s="6"/>
      <c r="T679" s="6"/>
      <c r="U679" s="6"/>
    </row>
    <row r="680" ht="15.75" customHeight="1">
      <c r="A680" s="4" t="s">
        <v>1940</v>
      </c>
      <c r="B680" s="4" t="s">
        <v>1941</v>
      </c>
      <c r="C680" s="4" t="s">
        <v>39</v>
      </c>
      <c r="D680" s="6"/>
      <c r="E680" s="3" t="str">
        <f t="shared" si="1"/>
        <v>現存</v>
      </c>
      <c r="F680" s="3" t="s">
        <v>314</v>
      </c>
      <c r="G680" s="6"/>
      <c r="H680" s="3" t="str">
        <f t="shared" si="2"/>
        <v>7</v>
      </c>
      <c r="I680" s="3" t="s">
        <v>1082</v>
      </c>
      <c r="J680" s="3" t="s">
        <v>42</v>
      </c>
      <c r="K680" s="3">
        <v>1.0</v>
      </c>
      <c r="L680" s="3">
        <v>1.0</v>
      </c>
      <c r="M680" s="9" t="s">
        <v>236</v>
      </c>
      <c r="N680" s="3" t="s">
        <v>130</v>
      </c>
      <c r="O680" s="4" t="s">
        <v>1838</v>
      </c>
      <c r="P680" s="4" t="s">
        <v>1824</v>
      </c>
      <c r="Q680" s="3"/>
      <c r="R680" s="3"/>
      <c r="S680" s="6"/>
      <c r="T680" s="6"/>
      <c r="U680" s="6"/>
    </row>
    <row r="681" ht="15.75" customHeight="1">
      <c r="A681" s="4" t="s">
        <v>1942</v>
      </c>
      <c r="B681" s="4" t="s">
        <v>1943</v>
      </c>
      <c r="C681" s="4" t="s">
        <v>39</v>
      </c>
      <c r="D681" s="6"/>
      <c r="E681" s="3" t="str">
        <f t="shared" si="1"/>
        <v>現存</v>
      </c>
      <c r="F681" s="3" t="s">
        <v>1944</v>
      </c>
      <c r="G681" s="6"/>
      <c r="H681" s="3" t="str">
        <f t="shared" si="2"/>
        <v>8,11,12</v>
      </c>
      <c r="I681" s="3" t="s">
        <v>1930</v>
      </c>
      <c r="J681" s="3" t="s">
        <v>125</v>
      </c>
      <c r="K681" s="3">
        <v>3.0</v>
      </c>
      <c r="L681" s="3">
        <v>1.0</v>
      </c>
      <c r="M681" s="4" t="s">
        <v>43</v>
      </c>
      <c r="N681" s="3" t="s">
        <v>130</v>
      </c>
      <c r="O681" s="4" t="s">
        <v>1832</v>
      </c>
      <c r="P681" s="4" t="s">
        <v>1824</v>
      </c>
      <c r="Q681" s="3"/>
      <c r="R681" s="3"/>
      <c r="S681" s="6"/>
      <c r="T681" s="6"/>
      <c r="U681" s="6"/>
    </row>
    <row r="682" ht="15.75" customHeight="1">
      <c r="A682" s="4" t="s">
        <v>1945</v>
      </c>
      <c r="B682" s="4" t="s">
        <v>1946</v>
      </c>
      <c r="C682" s="4" t="s">
        <v>39</v>
      </c>
      <c r="D682" s="6"/>
      <c r="E682" s="3" t="str">
        <f t="shared" si="1"/>
        <v>現存</v>
      </c>
      <c r="F682" s="3" t="s">
        <v>175</v>
      </c>
      <c r="G682" s="6"/>
      <c r="H682" s="3" t="str">
        <f t="shared" si="2"/>
        <v>8,9</v>
      </c>
      <c r="I682" s="3" t="s">
        <v>977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130</v>
      </c>
      <c r="O682" s="4" t="s">
        <v>1832</v>
      </c>
      <c r="P682" s="4" t="s">
        <v>1824</v>
      </c>
      <c r="Q682" s="3"/>
      <c r="R682" s="3"/>
      <c r="S682" s="6"/>
      <c r="T682" s="6"/>
      <c r="U682" s="6"/>
    </row>
    <row r="683" ht="15.75" customHeight="1">
      <c r="A683" s="4" t="s">
        <v>1947</v>
      </c>
      <c r="B683" s="4" t="s">
        <v>1948</v>
      </c>
      <c r="C683" s="4" t="s">
        <v>39</v>
      </c>
      <c r="D683" s="6"/>
      <c r="E683" s="3" t="str">
        <f t="shared" si="1"/>
        <v>現存</v>
      </c>
      <c r="F683" s="3" t="s">
        <v>179</v>
      </c>
      <c r="G683" s="6"/>
      <c r="H683" s="3" t="str">
        <f t="shared" si="2"/>
        <v>8</v>
      </c>
      <c r="I683" s="3" t="s">
        <v>1949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130</v>
      </c>
      <c r="O683" s="4" t="s">
        <v>1832</v>
      </c>
      <c r="P683" s="4" t="s">
        <v>1824</v>
      </c>
      <c r="Q683" s="3"/>
      <c r="R683" s="3"/>
      <c r="S683" s="6"/>
      <c r="T683" s="6"/>
      <c r="U683" s="6"/>
    </row>
    <row r="684" ht="15.75" customHeight="1">
      <c r="A684" s="4" t="s">
        <v>1950</v>
      </c>
      <c r="B684" s="4" t="s">
        <v>1951</v>
      </c>
      <c r="C684" s="4" t="s">
        <v>39</v>
      </c>
      <c r="D684" s="6"/>
      <c r="E684" s="3" t="str">
        <f t="shared" si="1"/>
        <v>現存</v>
      </c>
      <c r="F684" s="3" t="s">
        <v>179</v>
      </c>
      <c r="G684" s="6"/>
      <c r="H684" s="3" t="str">
        <f t="shared" si="2"/>
        <v>8</v>
      </c>
      <c r="I684" s="3" t="s">
        <v>1930</v>
      </c>
      <c r="J684" s="3" t="s">
        <v>135</v>
      </c>
      <c r="K684" s="3">
        <v>1.0</v>
      </c>
      <c r="L684" s="3">
        <v>1.0</v>
      </c>
      <c r="M684" s="4" t="s">
        <v>43</v>
      </c>
      <c r="N684" s="3" t="s">
        <v>130</v>
      </c>
      <c r="O684" s="4" t="s">
        <v>1832</v>
      </c>
      <c r="P684" s="4" t="s">
        <v>1824</v>
      </c>
      <c r="Q684" s="3"/>
      <c r="R684" s="3"/>
      <c r="S684" s="6"/>
      <c r="T684" s="6"/>
      <c r="U684" s="6"/>
    </row>
    <row r="685" ht="15.75" customHeight="1">
      <c r="A685" s="4" t="s">
        <v>1952</v>
      </c>
      <c r="B685" s="4" t="s">
        <v>1953</v>
      </c>
      <c r="C685" s="4" t="s">
        <v>39</v>
      </c>
      <c r="D685" s="8" t="s">
        <v>170</v>
      </c>
      <c r="E685" s="3" t="str">
        <f t="shared" si="1"/>
        <v>近年未見</v>
      </c>
      <c r="F685" s="3" t="s">
        <v>179</v>
      </c>
      <c r="G685" s="6"/>
      <c r="H685" s="3" t="str">
        <f t="shared" si="2"/>
        <v>8</v>
      </c>
      <c r="I685" s="3" t="s">
        <v>319</v>
      </c>
      <c r="J685" s="3" t="s">
        <v>42</v>
      </c>
      <c r="K685" s="3">
        <v>1.0</v>
      </c>
      <c r="L685" s="3">
        <v>1.0</v>
      </c>
      <c r="M685" s="9" t="s">
        <v>236</v>
      </c>
      <c r="N685" s="3" t="s">
        <v>130</v>
      </c>
      <c r="O685" s="4" t="s">
        <v>1832</v>
      </c>
      <c r="P685" s="4" t="s">
        <v>1824</v>
      </c>
      <c r="Q685" s="3"/>
      <c r="R685" s="3"/>
      <c r="S685" s="6"/>
      <c r="T685" s="6"/>
      <c r="U685" s="6"/>
    </row>
    <row r="686" ht="15.75" customHeight="1">
      <c r="A686" s="4" t="s">
        <v>1954</v>
      </c>
      <c r="B686" s="4" t="s">
        <v>1955</v>
      </c>
      <c r="C686" s="4" t="s">
        <v>39</v>
      </c>
      <c r="D686" s="6"/>
      <c r="E686" s="3" t="str">
        <f t="shared" si="1"/>
        <v>現存</v>
      </c>
      <c r="F686" s="3" t="s">
        <v>175</v>
      </c>
      <c r="G686" s="6"/>
      <c r="H686" s="3" t="str">
        <f t="shared" si="2"/>
        <v>8,9</v>
      </c>
      <c r="I686" s="3" t="s">
        <v>499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130</v>
      </c>
      <c r="O686" s="4" t="s">
        <v>1832</v>
      </c>
      <c r="P686" s="4" t="s">
        <v>1824</v>
      </c>
      <c r="Q686" s="3"/>
      <c r="R686" s="3"/>
      <c r="S686" s="6"/>
      <c r="T686" s="6"/>
      <c r="U686" s="6"/>
    </row>
    <row r="687" ht="15.75" customHeight="1">
      <c r="A687" s="4" t="s">
        <v>1956</v>
      </c>
      <c r="B687" s="4" t="s">
        <v>1957</v>
      </c>
      <c r="C687" s="4" t="s">
        <v>39</v>
      </c>
      <c r="D687" s="6"/>
      <c r="E687" s="3" t="str">
        <f t="shared" si="1"/>
        <v>現存</v>
      </c>
      <c r="F687" s="3" t="s">
        <v>318</v>
      </c>
      <c r="G687" s="6"/>
      <c r="H687" s="3" t="str">
        <f t="shared" si="2"/>
        <v>8,11</v>
      </c>
      <c r="I687" s="3" t="s">
        <v>567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130</v>
      </c>
      <c r="O687" s="4" t="s">
        <v>1832</v>
      </c>
      <c r="P687" s="4" t="s">
        <v>1824</v>
      </c>
      <c r="Q687" s="3"/>
      <c r="R687" s="3"/>
      <c r="S687" s="6"/>
      <c r="T687" s="6"/>
      <c r="U687" s="6"/>
    </row>
    <row r="688" ht="15.75" customHeight="1">
      <c r="A688" s="4" t="s">
        <v>1958</v>
      </c>
      <c r="B688" s="4" t="s">
        <v>1959</v>
      </c>
      <c r="C688" s="4" t="s">
        <v>39</v>
      </c>
      <c r="D688" s="6"/>
      <c r="E688" s="3" t="str">
        <f t="shared" si="1"/>
        <v>現存</v>
      </c>
      <c r="F688" s="3" t="s">
        <v>1960</v>
      </c>
      <c r="G688" s="6"/>
      <c r="H688" s="3" t="str">
        <f t="shared" si="2"/>
        <v>2,7,12</v>
      </c>
      <c r="I688" s="3" t="s">
        <v>198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130</v>
      </c>
      <c r="O688" s="9" t="s">
        <v>1558</v>
      </c>
      <c r="P688" s="9" t="s">
        <v>1821</v>
      </c>
      <c r="Q688" s="3"/>
      <c r="R688" s="3"/>
      <c r="S688" s="6"/>
      <c r="T688" s="6"/>
      <c r="U688" s="6"/>
    </row>
    <row r="689" ht="15.75" customHeight="1">
      <c r="A689" s="4" t="s">
        <v>1961</v>
      </c>
      <c r="B689" s="4" t="s">
        <v>1962</v>
      </c>
      <c r="C689" s="4" t="s">
        <v>39</v>
      </c>
      <c r="D689" s="6"/>
      <c r="E689" s="3" t="str">
        <f t="shared" si="1"/>
        <v>現存</v>
      </c>
      <c r="F689" s="3" t="s">
        <v>179</v>
      </c>
      <c r="G689" s="6"/>
      <c r="H689" s="3" t="str">
        <f t="shared" si="2"/>
        <v>8</v>
      </c>
      <c r="I689" s="3" t="s">
        <v>1930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130</v>
      </c>
      <c r="O689" s="4" t="s">
        <v>1832</v>
      </c>
      <c r="P689" s="4" t="s">
        <v>1824</v>
      </c>
      <c r="Q689" s="3"/>
      <c r="R689" s="3"/>
      <c r="S689" s="6"/>
      <c r="T689" s="6"/>
      <c r="U689" s="6"/>
    </row>
    <row r="690" ht="15.75" customHeight="1">
      <c r="A690" s="4" t="s">
        <v>1963</v>
      </c>
      <c r="B690" s="4" t="s">
        <v>1964</v>
      </c>
      <c r="C690" s="4" t="s">
        <v>39</v>
      </c>
      <c r="D690" s="6"/>
      <c r="E690" s="3" t="str">
        <f t="shared" si="1"/>
        <v>現存</v>
      </c>
      <c r="F690" s="3" t="s">
        <v>179</v>
      </c>
      <c r="G690" s="6"/>
      <c r="H690" s="3" t="str">
        <f t="shared" si="2"/>
        <v>8</v>
      </c>
      <c r="I690" s="3" t="s">
        <v>1930</v>
      </c>
      <c r="J690" s="3" t="s">
        <v>135</v>
      </c>
      <c r="K690" s="3">
        <v>3.0</v>
      </c>
      <c r="L690" s="3">
        <v>1.0</v>
      </c>
      <c r="M690" s="4" t="s">
        <v>43</v>
      </c>
      <c r="N690" s="3" t="s">
        <v>130</v>
      </c>
      <c r="O690" s="4" t="s">
        <v>1832</v>
      </c>
      <c r="P690" s="4" t="s">
        <v>1824</v>
      </c>
      <c r="Q690" s="3"/>
      <c r="R690" s="3"/>
      <c r="S690" s="6"/>
      <c r="T690" s="6"/>
      <c r="U690" s="6"/>
    </row>
    <row r="691" ht="15.75" customHeight="1">
      <c r="A691" s="4" t="s">
        <v>1965</v>
      </c>
      <c r="B691" s="4" t="s">
        <v>1966</v>
      </c>
      <c r="C691" s="4" t="s">
        <v>39</v>
      </c>
      <c r="D691" s="8" t="s">
        <v>170</v>
      </c>
      <c r="E691" s="3" t="str">
        <f t="shared" si="1"/>
        <v>近年未見</v>
      </c>
      <c r="F691" s="3" t="s">
        <v>179</v>
      </c>
      <c r="G691" s="6"/>
      <c r="H691" s="3" t="str">
        <f t="shared" si="2"/>
        <v>8</v>
      </c>
      <c r="I691" s="3" t="s">
        <v>592</v>
      </c>
      <c r="J691" s="3" t="s">
        <v>42</v>
      </c>
      <c r="K691" s="3">
        <v>1.0</v>
      </c>
      <c r="L691" s="3">
        <v>1.0</v>
      </c>
      <c r="M691" s="9" t="s">
        <v>236</v>
      </c>
      <c r="N691" s="3" t="s">
        <v>130</v>
      </c>
      <c r="O691" s="4" t="s">
        <v>1832</v>
      </c>
      <c r="P691" s="4" t="s">
        <v>1824</v>
      </c>
      <c r="Q691" s="3"/>
      <c r="R691" s="3"/>
      <c r="S691" s="6"/>
      <c r="T691" s="6"/>
      <c r="U691" s="6"/>
    </row>
    <row r="692" ht="15.75" customHeight="1">
      <c r="A692" s="4" t="s">
        <v>1967</v>
      </c>
      <c r="B692" s="4" t="s">
        <v>1968</v>
      </c>
      <c r="C692" s="4" t="s">
        <v>39</v>
      </c>
      <c r="D692" s="6"/>
      <c r="E692" s="3" t="str">
        <f t="shared" si="1"/>
        <v>現存</v>
      </c>
      <c r="F692" s="3" t="s">
        <v>179</v>
      </c>
      <c r="G692" s="6"/>
      <c r="H692" s="3" t="str">
        <f t="shared" si="2"/>
        <v>8</v>
      </c>
      <c r="I692" s="3" t="s">
        <v>1372</v>
      </c>
      <c r="J692" s="3" t="s">
        <v>135</v>
      </c>
      <c r="K692" s="3">
        <v>1.0</v>
      </c>
      <c r="L692" s="3">
        <v>1.0</v>
      </c>
      <c r="M692" s="4" t="s">
        <v>43</v>
      </c>
      <c r="N692" s="3" t="s">
        <v>130</v>
      </c>
      <c r="O692" s="4" t="s">
        <v>1832</v>
      </c>
      <c r="P692" s="4" t="s">
        <v>1824</v>
      </c>
      <c r="Q692" s="3"/>
      <c r="R692" s="3"/>
      <c r="S692" s="6"/>
      <c r="T692" s="6"/>
      <c r="U692" s="6"/>
    </row>
    <row r="693" ht="15.75" customHeight="1">
      <c r="A693" s="4" t="s">
        <v>1969</v>
      </c>
      <c r="B693" s="4" t="s">
        <v>1970</v>
      </c>
      <c r="C693" s="4" t="s">
        <v>39</v>
      </c>
      <c r="D693" s="6"/>
      <c r="E693" s="3" t="str">
        <f t="shared" si="1"/>
        <v>現存</v>
      </c>
      <c r="F693" s="3" t="s">
        <v>179</v>
      </c>
      <c r="G693" s="6"/>
      <c r="H693" s="3" t="str">
        <f t="shared" si="2"/>
        <v>8</v>
      </c>
      <c r="I693" s="3" t="s">
        <v>567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130</v>
      </c>
      <c r="O693" s="4" t="s">
        <v>1838</v>
      </c>
      <c r="P693" s="4" t="s">
        <v>1824</v>
      </c>
      <c r="Q693" s="3"/>
      <c r="R693" s="3"/>
      <c r="S693" s="6"/>
      <c r="T693" s="6"/>
      <c r="U693" s="6"/>
    </row>
    <row r="694" ht="15.75" customHeight="1">
      <c r="A694" s="4" t="s">
        <v>1971</v>
      </c>
      <c r="B694" s="4" t="s">
        <v>1972</v>
      </c>
      <c r="C694" s="4" t="s">
        <v>39</v>
      </c>
      <c r="D694" s="6"/>
      <c r="E694" s="3" t="str">
        <f t="shared" si="1"/>
        <v>現存</v>
      </c>
      <c r="F694" s="3" t="s">
        <v>179</v>
      </c>
      <c r="G694" s="6"/>
      <c r="H694" s="3" t="str">
        <f t="shared" si="2"/>
        <v>8</v>
      </c>
      <c r="I694" s="3" t="s">
        <v>1930</v>
      </c>
      <c r="J694" s="3" t="s">
        <v>135</v>
      </c>
      <c r="K694" s="3">
        <v>1.0</v>
      </c>
      <c r="L694" s="3">
        <v>1.0</v>
      </c>
      <c r="M694" s="4" t="s">
        <v>43</v>
      </c>
      <c r="N694" s="3" t="s">
        <v>130</v>
      </c>
      <c r="O694" s="4" t="s">
        <v>1832</v>
      </c>
      <c r="P694" s="4" t="s">
        <v>1824</v>
      </c>
      <c r="Q694" s="3"/>
      <c r="R694" s="3"/>
      <c r="S694" s="6"/>
      <c r="T694" s="6"/>
      <c r="U694" s="6"/>
    </row>
    <row r="695" ht="15.75" customHeight="1">
      <c r="A695" s="4" t="s">
        <v>1973</v>
      </c>
      <c r="B695" s="4" t="s">
        <v>1974</v>
      </c>
      <c r="C695" s="4" t="s">
        <v>39</v>
      </c>
      <c r="D695" s="6"/>
      <c r="E695" s="3" t="str">
        <f t="shared" si="1"/>
        <v>現存</v>
      </c>
      <c r="F695" s="3" t="s">
        <v>813</v>
      </c>
      <c r="G695" s="6"/>
      <c r="H695" s="3" t="str">
        <f t="shared" si="2"/>
        <v>8,10</v>
      </c>
      <c r="I695" s="3" t="s">
        <v>990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130</v>
      </c>
      <c r="O695" s="4" t="s">
        <v>1838</v>
      </c>
      <c r="P695" s="4" t="s">
        <v>1824</v>
      </c>
      <c r="Q695" s="3"/>
      <c r="R695" s="3"/>
      <c r="S695" s="6"/>
      <c r="T695" s="6"/>
      <c r="U695" s="6"/>
    </row>
    <row r="696" ht="15.75" customHeight="1">
      <c r="A696" s="4" t="s">
        <v>1975</v>
      </c>
      <c r="B696" s="4" t="s">
        <v>1976</v>
      </c>
      <c r="C696" s="4" t="s">
        <v>39</v>
      </c>
      <c r="D696" s="8" t="s">
        <v>381</v>
      </c>
      <c r="E696" s="3" t="str">
        <f t="shared" si="1"/>
        <v>不收錄</v>
      </c>
      <c r="F696" s="3" t="s">
        <v>175</v>
      </c>
      <c r="G696" s="6"/>
      <c r="H696" s="3" t="str">
        <f t="shared" si="2"/>
        <v>8,9</v>
      </c>
      <c r="I696" s="3" t="s">
        <v>322</v>
      </c>
      <c r="J696" s="3" t="s">
        <v>98</v>
      </c>
      <c r="K696" s="3">
        <v>3.0</v>
      </c>
      <c r="L696" s="3">
        <v>1.0</v>
      </c>
      <c r="M696" s="9" t="s">
        <v>236</v>
      </c>
      <c r="N696" s="3" t="s">
        <v>130</v>
      </c>
      <c r="O696" s="4" t="s">
        <v>1838</v>
      </c>
      <c r="P696" s="4" t="s">
        <v>1824</v>
      </c>
      <c r="Q696" s="3"/>
      <c r="R696" s="3"/>
      <c r="S696" s="6"/>
      <c r="T696" s="6"/>
      <c r="U696" s="6"/>
    </row>
    <row r="697" ht="15.75" customHeight="1">
      <c r="A697" s="4" t="s">
        <v>1977</v>
      </c>
      <c r="B697" s="4" t="s">
        <v>1978</v>
      </c>
      <c r="C697" s="4" t="s">
        <v>39</v>
      </c>
      <c r="D697" s="6"/>
      <c r="E697" s="3" t="str">
        <f t="shared" si="1"/>
        <v>現存</v>
      </c>
      <c r="F697" s="3" t="s">
        <v>179</v>
      </c>
      <c r="G697" s="6"/>
      <c r="H697" s="3" t="str">
        <f t="shared" si="2"/>
        <v>8</v>
      </c>
      <c r="I697" s="3" t="s">
        <v>592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130</v>
      </c>
      <c r="O697" s="4" t="s">
        <v>1832</v>
      </c>
      <c r="P697" s="4" t="s">
        <v>1824</v>
      </c>
      <c r="Q697" s="3"/>
      <c r="R697" s="3"/>
      <c r="S697" s="6"/>
      <c r="T697" s="6"/>
      <c r="U697" s="6"/>
    </row>
    <row r="698" ht="15.75" customHeight="1">
      <c r="A698" s="4" t="s">
        <v>1979</v>
      </c>
      <c r="B698" s="4" t="s">
        <v>1980</v>
      </c>
      <c r="C698" s="4" t="s">
        <v>39</v>
      </c>
      <c r="D698" s="6"/>
      <c r="E698" s="3" t="str">
        <f t="shared" si="1"/>
        <v>現存</v>
      </c>
      <c r="F698" s="3" t="s">
        <v>179</v>
      </c>
      <c r="G698" s="6"/>
      <c r="H698" s="3" t="str">
        <f t="shared" si="2"/>
        <v>8</v>
      </c>
      <c r="I698" s="3" t="s">
        <v>592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130</v>
      </c>
      <c r="O698" s="4" t="s">
        <v>1832</v>
      </c>
      <c r="P698" s="4" t="s">
        <v>1824</v>
      </c>
      <c r="Q698" s="3"/>
      <c r="R698" s="3"/>
      <c r="S698" s="6"/>
      <c r="T698" s="6"/>
      <c r="U698" s="6"/>
    </row>
    <row r="699" ht="15.75" customHeight="1">
      <c r="A699" s="4" t="s">
        <v>1981</v>
      </c>
      <c r="B699" s="4" t="s">
        <v>1982</v>
      </c>
      <c r="C699" s="4" t="s">
        <v>39</v>
      </c>
      <c r="D699" s="6"/>
      <c r="E699" s="3" t="str">
        <f t="shared" si="1"/>
        <v>現存</v>
      </c>
      <c r="F699" s="3" t="s">
        <v>1117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130</v>
      </c>
      <c r="O699" s="4" t="s">
        <v>1838</v>
      </c>
      <c r="P699" s="4" t="s">
        <v>1824</v>
      </c>
      <c r="Q699" s="3"/>
      <c r="R699" s="3"/>
      <c r="S699" s="6"/>
      <c r="T699" s="6"/>
      <c r="U699" s="6"/>
    </row>
    <row r="700" ht="15.75" customHeight="1">
      <c r="A700" s="4" t="s">
        <v>1983</v>
      </c>
      <c r="B700" s="4" t="s">
        <v>1984</v>
      </c>
      <c r="C700" s="4" t="s">
        <v>39</v>
      </c>
      <c r="D700" s="8" t="s">
        <v>381</v>
      </c>
      <c r="E700" s="3" t="str">
        <f t="shared" si="1"/>
        <v>不收錄</v>
      </c>
      <c r="F700" s="3" t="s">
        <v>179</v>
      </c>
      <c r="G700" s="6"/>
      <c r="H700" s="3" t="str">
        <f t="shared" si="2"/>
        <v>8</v>
      </c>
      <c r="I700" s="3" t="s">
        <v>489</v>
      </c>
      <c r="J700" s="3" t="s">
        <v>181</v>
      </c>
      <c r="K700" s="3">
        <v>1.0</v>
      </c>
      <c r="L700" s="3">
        <v>1.0</v>
      </c>
      <c r="M700" s="9" t="s">
        <v>236</v>
      </c>
      <c r="N700" s="3" t="s">
        <v>130</v>
      </c>
      <c r="O700" s="4" t="s">
        <v>1832</v>
      </c>
      <c r="P700" s="4" t="s">
        <v>1824</v>
      </c>
      <c r="Q700" s="3"/>
      <c r="R700" s="3"/>
      <c r="S700" s="6"/>
      <c r="T700" s="6"/>
      <c r="U700" s="6"/>
    </row>
    <row r="701" ht="15.75" customHeight="1">
      <c r="A701" s="4" t="s">
        <v>1985</v>
      </c>
      <c r="B701" s="4" t="s">
        <v>1986</v>
      </c>
      <c r="C701" s="4" t="s">
        <v>39</v>
      </c>
      <c r="D701" s="6"/>
      <c r="E701" s="3" t="str">
        <f t="shared" si="1"/>
        <v>現存</v>
      </c>
      <c r="F701" s="3" t="s">
        <v>179</v>
      </c>
      <c r="G701" s="6"/>
      <c r="H701" s="3" t="str">
        <f t="shared" si="2"/>
        <v>8</v>
      </c>
      <c r="I701" s="3" t="s">
        <v>303</v>
      </c>
      <c r="J701" s="3" t="s">
        <v>135</v>
      </c>
      <c r="K701" s="3">
        <v>3.0</v>
      </c>
      <c r="L701" s="3">
        <v>1.0</v>
      </c>
      <c r="M701" s="4" t="s">
        <v>43</v>
      </c>
      <c r="N701" s="3" t="s">
        <v>130</v>
      </c>
      <c r="O701" s="4" t="s">
        <v>1838</v>
      </c>
      <c r="P701" s="4" t="s">
        <v>1824</v>
      </c>
      <c r="Q701" s="3"/>
      <c r="R701" s="3"/>
      <c r="S701" s="6"/>
      <c r="T701" s="6"/>
      <c r="U701" s="6"/>
    </row>
    <row r="702" ht="15.75" customHeight="1">
      <c r="A702" s="4" t="s">
        <v>1987</v>
      </c>
      <c r="B702" s="4" t="s">
        <v>1988</v>
      </c>
      <c r="C702" s="4" t="s">
        <v>39</v>
      </c>
      <c r="D702" s="6"/>
      <c r="E702" s="3" t="str">
        <f t="shared" si="1"/>
        <v>現存</v>
      </c>
      <c r="F702" s="3" t="s">
        <v>1944</v>
      </c>
      <c r="G702" s="6"/>
      <c r="H702" s="3" t="str">
        <f t="shared" si="2"/>
        <v>8,11,12</v>
      </c>
      <c r="I702" s="3" t="s">
        <v>319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130</v>
      </c>
      <c r="O702" s="4" t="s">
        <v>1838</v>
      </c>
      <c r="P702" s="4" t="s">
        <v>1824</v>
      </c>
      <c r="Q702" s="3"/>
      <c r="R702" s="3"/>
      <c r="S702" s="6"/>
      <c r="T702" s="6"/>
      <c r="U702" s="6"/>
    </row>
    <row r="703" ht="15.75" customHeight="1">
      <c r="A703" s="4" t="s">
        <v>1989</v>
      </c>
      <c r="B703" s="4" t="s">
        <v>1990</v>
      </c>
      <c r="C703" s="4" t="s">
        <v>39</v>
      </c>
      <c r="D703" s="6"/>
      <c r="E703" s="3" t="str">
        <f t="shared" si="1"/>
        <v>現存</v>
      </c>
      <c r="F703" s="3" t="s">
        <v>175</v>
      </c>
      <c r="G703" s="6"/>
      <c r="H703" s="3" t="str">
        <f t="shared" si="2"/>
        <v>8,9</v>
      </c>
      <c r="I703" s="3" t="s">
        <v>1930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130</v>
      </c>
      <c r="O703" s="4" t="s">
        <v>1832</v>
      </c>
      <c r="P703" s="4" t="s">
        <v>1824</v>
      </c>
      <c r="Q703" s="3"/>
      <c r="R703" s="3"/>
      <c r="S703" s="6"/>
      <c r="T703" s="6"/>
      <c r="U703" s="6"/>
    </row>
    <row r="704" ht="15.75" customHeight="1">
      <c r="A704" s="4" t="s">
        <v>1991</v>
      </c>
      <c r="B704" s="4" t="s">
        <v>1992</v>
      </c>
      <c r="C704" s="4" t="s">
        <v>39</v>
      </c>
      <c r="D704" s="6"/>
      <c r="E704" s="3" t="str">
        <f t="shared" si="1"/>
        <v>現存</v>
      </c>
      <c r="F704" s="3" t="s">
        <v>813</v>
      </c>
      <c r="G704" s="6"/>
      <c r="H704" s="3" t="str">
        <f t="shared" si="2"/>
        <v>8,10</v>
      </c>
      <c r="I704" s="3" t="s">
        <v>386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130</v>
      </c>
      <c r="O704" s="4" t="s">
        <v>1832</v>
      </c>
      <c r="P704" s="4" t="s">
        <v>1824</v>
      </c>
      <c r="Q704" s="3"/>
      <c r="R704" s="3"/>
      <c r="S704" s="6"/>
      <c r="T704" s="6"/>
      <c r="U704" s="6"/>
    </row>
    <row r="705" ht="15.75" customHeight="1">
      <c r="A705" s="4" t="s">
        <v>1993</v>
      </c>
      <c r="B705" s="4" t="s">
        <v>1994</v>
      </c>
      <c r="C705" s="4" t="s">
        <v>39</v>
      </c>
      <c r="D705" s="6"/>
      <c r="E705" s="3" t="str">
        <f t="shared" si="1"/>
        <v>現存</v>
      </c>
      <c r="F705" s="3" t="s">
        <v>326</v>
      </c>
      <c r="G705" s="6"/>
      <c r="H705" s="3" t="str">
        <f t="shared" si="2"/>
        <v>9</v>
      </c>
      <c r="I705" s="3" t="s">
        <v>1845</v>
      </c>
      <c r="J705" s="3" t="s">
        <v>135</v>
      </c>
      <c r="K705" s="3">
        <v>1.0</v>
      </c>
      <c r="L705" s="3">
        <v>1.0</v>
      </c>
      <c r="M705" s="4" t="s">
        <v>43</v>
      </c>
      <c r="N705" s="3" t="s">
        <v>130</v>
      </c>
      <c r="O705" s="4" t="s">
        <v>1838</v>
      </c>
      <c r="P705" s="4" t="s">
        <v>1824</v>
      </c>
      <c r="Q705" s="3"/>
      <c r="R705" s="3"/>
      <c r="S705" s="6"/>
      <c r="T705" s="6"/>
      <c r="U705" s="6"/>
    </row>
    <row r="706" ht="15.75" customHeight="1">
      <c r="A706" s="4" t="s">
        <v>1995</v>
      </c>
      <c r="B706" s="4" t="s">
        <v>1996</v>
      </c>
      <c r="C706" s="4" t="s">
        <v>39</v>
      </c>
      <c r="D706" s="8" t="s">
        <v>170</v>
      </c>
      <c r="E706" s="3" t="str">
        <f t="shared" si="1"/>
        <v>近年未見</v>
      </c>
      <c r="F706" s="3" t="s">
        <v>1997</v>
      </c>
      <c r="G706" s="6"/>
      <c r="H706" s="3" t="str">
        <f t="shared" si="2"/>
        <v>9,11,12</v>
      </c>
      <c r="I706" s="3" t="s">
        <v>1998</v>
      </c>
      <c r="J706" s="3" t="s">
        <v>98</v>
      </c>
      <c r="K706" s="3">
        <v>6.0</v>
      </c>
      <c r="L706" s="3">
        <v>1.0</v>
      </c>
      <c r="M706" s="9" t="s">
        <v>236</v>
      </c>
      <c r="N706" s="3" t="s">
        <v>130</v>
      </c>
      <c r="O706" s="4" t="s">
        <v>1838</v>
      </c>
      <c r="P706" s="4" t="s">
        <v>1824</v>
      </c>
      <c r="Q706" s="3"/>
      <c r="R706" s="3"/>
      <c r="S706" s="6"/>
      <c r="T706" s="6"/>
      <c r="U706" s="6"/>
    </row>
    <row r="707" ht="15.75" customHeight="1">
      <c r="A707" s="4" t="s">
        <v>1999</v>
      </c>
      <c r="B707" s="4" t="s">
        <v>2000</v>
      </c>
      <c r="C707" s="4" t="s">
        <v>39</v>
      </c>
      <c r="D707" s="6"/>
      <c r="E707" s="3" t="str">
        <f t="shared" si="1"/>
        <v>現存</v>
      </c>
      <c r="F707" s="3" t="s">
        <v>1997</v>
      </c>
      <c r="G707" s="6"/>
      <c r="H707" s="3" t="str">
        <f t="shared" si="2"/>
        <v>9,11,12</v>
      </c>
      <c r="I707" s="3" t="s">
        <v>638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130</v>
      </c>
      <c r="O707" s="4" t="s">
        <v>1838</v>
      </c>
      <c r="P707" s="4" t="s">
        <v>1824</v>
      </c>
      <c r="Q707" s="3"/>
      <c r="R707" s="3"/>
      <c r="S707" s="6"/>
      <c r="T707" s="6"/>
      <c r="U707" s="6"/>
    </row>
    <row r="708" ht="15.75" customHeight="1">
      <c r="A708" s="4" t="s">
        <v>2001</v>
      </c>
      <c r="B708" s="4" t="s">
        <v>2002</v>
      </c>
      <c r="C708" s="4" t="s">
        <v>39</v>
      </c>
      <c r="D708" s="6"/>
      <c r="E708" s="3" t="str">
        <f t="shared" si="1"/>
        <v>現存</v>
      </c>
      <c r="F708" s="3" t="s">
        <v>2003</v>
      </c>
      <c r="G708" s="6"/>
      <c r="H708" s="3" t="str">
        <f t="shared" si="2"/>
        <v>9,11</v>
      </c>
      <c r="I708" s="3" t="s">
        <v>2004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130</v>
      </c>
      <c r="O708" s="4" t="s">
        <v>1832</v>
      </c>
      <c r="P708" s="4" t="s">
        <v>1824</v>
      </c>
      <c r="Q708" s="3"/>
      <c r="R708" s="3"/>
      <c r="S708" s="6"/>
      <c r="T708" s="6"/>
      <c r="U708" s="6"/>
    </row>
    <row r="709" ht="15.75" customHeight="1">
      <c r="A709" s="4" t="s">
        <v>2005</v>
      </c>
      <c r="B709" s="4" t="s">
        <v>2006</v>
      </c>
      <c r="C709" s="4" t="s">
        <v>39</v>
      </c>
      <c r="D709" s="6"/>
      <c r="E709" s="3" t="str">
        <f t="shared" si="1"/>
        <v>現存</v>
      </c>
      <c r="F709" s="3" t="s">
        <v>326</v>
      </c>
      <c r="G709" s="6"/>
      <c r="H709" s="3" t="str">
        <f t="shared" si="2"/>
        <v>9</v>
      </c>
      <c r="I709" s="3" t="s">
        <v>495</v>
      </c>
      <c r="J709" s="3" t="s">
        <v>181</v>
      </c>
      <c r="K709" s="3">
        <v>1.0</v>
      </c>
      <c r="L709" s="3">
        <v>1.0</v>
      </c>
      <c r="M709" s="4" t="s">
        <v>43</v>
      </c>
      <c r="N709" s="3" t="s">
        <v>130</v>
      </c>
      <c r="O709" s="4" t="s">
        <v>1832</v>
      </c>
      <c r="P709" s="4" t="s">
        <v>1824</v>
      </c>
      <c r="Q709" s="3"/>
      <c r="R709" s="3"/>
      <c r="S709" s="6"/>
      <c r="T709" s="6"/>
      <c r="U709" s="6"/>
    </row>
    <row r="710" ht="15.75" customHeight="1">
      <c r="A710" s="4" t="s">
        <v>2007</v>
      </c>
      <c r="B710" s="4" t="s">
        <v>2008</v>
      </c>
      <c r="C710" s="4" t="s">
        <v>39</v>
      </c>
      <c r="D710" s="8" t="s">
        <v>170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537</v>
      </c>
      <c r="J710" s="3" t="s">
        <v>42</v>
      </c>
      <c r="K710" s="3">
        <v>1.0</v>
      </c>
      <c r="L710" s="3">
        <v>1.0</v>
      </c>
      <c r="M710" s="9" t="s">
        <v>236</v>
      </c>
      <c r="N710" s="3" t="s">
        <v>130</v>
      </c>
      <c r="O710" s="4" t="s">
        <v>1838</v>
      </c>
      <c r="P710" s="4" t="s">
        <v>1824</v>
      </c>
      <c r="Q710" s="3"/>
      <c r="R710" s="3"/>
      <c r="S710" s="6"/>
      <c r="T710" s="6"/>
      <c r="U710" s="6"/>
    </row>
    <row r="711" ht="15.75" customHeight="1">
      <c r="A711" s="4" t="s">
        <v>2009</v>
      </c>
      <c r="B711" s="4" t="s">
        <v>2010</v>
      </c>
      <c r="C711" s="4" t="s">
        <v>39</v>
      </c>
      <c r="D711" s="6"/>
      <c r="E711" s="3" t="str">
        <f t="shared" si="1"/>
        <v>現存</v>
      </c>
      <c r="F711" s="3" t="s">
        <v>188</v>
      </c>
      <c r="G711" s="6"/>
      <c r="H711" s="3" t="str">
        <f t="shared" si="2"/>
        <v>10</v>
      </c>
      <c r="I711" s="3" t="s">
        <v>2011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130</v>
      </c>
      <c r="O711" s="4" t="s">
        <v>1838</v>
      </c>
      <c r="P711" s="4" t="s">
        <v>1824</v>
      </c>
      <c r="Q711" s="3"/>
      <c r="R711" s="3"/>
      <c r="S711" s="6"/>
      <c r="T711" s="6"/>
      <c r="U711" s="6"/>
    </row>
    <row r="712" ht="15.75" customHeight="1">
      <c r="A712" s="4" t="s">
        <v>2012</v>
      </c>
      <c r="B712" s="4" t="s">
        <v>2013</v>
      </c>
      <c r="C712" s="4" t="s">
        <v>39</v>
      </c>
      <c r="D712" s="6"/>
      <c r="E712" s="3" t="str">
        <f t="shared" si="1"/>
        <v>現存</v>
      </c>
      <c r="F712" s="3" t="s">
        <v>508</v>
      </c>
      <c r="G712" s="6"/>
      <c r="H712" s="3" t="str">
        <f t="shared" si="2"/>
        <v>10,12</v>
      </c>
      <c r="I712" s="3" t="s">
        <v>635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130</v>
      </c>
      <c r="O712" s="4" t="s">
        <v>1832</v>
      </c>
      <c r="P712" s="4" t="s">
        <v>1824</v>
      </c>
      <c r="Q712" s="3"/>
      <c r="R712" s="3"/>
      <c r="S712" s="6"/>
      <c r="T712" s="6"/>
      <c r="U712" s="6"/>
    </row>
    <row r="713" ht="15.75" customHeight="1">
      <c r="A713" s="4" t="s">
        <v>2014</v>
      </c>
      <c r="B713" s="4" t="s">
        <v>2015</v>
      </c>
      <c r="C713" s="4" t="s">
        <v>39</v>
      </c>
      <c r="D713" s="8" t="s">
        <v>170</v>
      </c>
      <c r="E713" s="3" t="str">
        <f t="shared" si="1"/>
        <v>近年未見</v>
      </c>
      <c r="F713" s="3" t="s">
        <v>188</v>
      </c>
      <c r="G713" s="6"/>
      <c r="H713" s="3" t="str">
        <f t="shared" si="2"/>
        <v>10</v>
      </c>
      <c r="I713" s="3" t="s">
        <v>753</v>
      </c>
      <c r="J713" s="3" t="s">
        <v>181</v>
      </c>
      <c r="K713" s="3">
        <v>1.0</v>
      </c>
      <c r="L713" s="3">
        <v>1.0</v>
      </c>
      <c r="M713" s="9" t="s">
        <v>236</v>
      </c>
      <c r="N713" s="3" t="s">
        <v>130</v>
      </c>
      <c r="O713" s="4" t="s">
        <v>1838</v>
      </c>
      <c r="P713" s="4" t="s">
        <v>1824</v>
      </c>
      <c r="Q713" s="3"/>
      <c r="R713" s="3"/>
      <c r="S713" s="6"/>
      <c r="T713" s="6"/>
      <c r="U713" s="6"/>
    </row>
    <row r="714" ht="15.75" customHeight="1">
      <c r="A714" s="4" t="s">
        <v>2016</v>
      </c>
      <c r="B714" s="4" t="s">
        <v>2017</v>
      </c>
      <c r="C714" s="4" t="s">
        <v>39</v>
      </c>
      <c r="D714" s="6"/>
      <c r="E714" s="3" t="str">
        <f t="shared" si="1"/>
        <v>現存</v>
      </c>
      <c r="F714" s="3" t="s">
        <v>188</v>
      </c>
      <c r="G714" s="6"/>
      <c r="H714" s="3" t="str">
        <f t="shared" si="2"/>
        <v>10</v>
      </c>
      <c r="I714" s="3" t="s">
        <v>2018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130</v>
      </c>
      <c r="O714" s="4" t="s">
        <v>1838</v>
      </c>
      <c r="P714" s="4" t="s">
        <v>1824</v>
      </c>
      <c r="Q714" s="3"/>
      <c r="R714" s="3"/>
      <c r="S714" s="6"/>
      <c r="T714" s="6"/>
      <c r="U714" s="6"/>
    </row>
    <row r="715" ht="15.75" customHeight="1">
      <c r="A715" s="4" t="s">
        <v>2019</v>
      </c>
      <c r="B715" s="4" t="s">
        <v>2020</v>
      </c>
      <c r="C715" s="4" t="s">
        <v>39</v>
      </c>
      <c r="D715" s="6"/>
      <c r="E715" s="3" t="str">
        <f t="shared" si="1"/>
        <v>現存</v>
      </c>
      <c r="F715" s="3" t="s">
        <v>188</v>
      </c>
      <c r="G715" s="6"/>
      <c r="H715" s="3" t="str">
        <f t="shared" si="2"/>
        <v>10</v>
      </c>
      <c r="I715" s="3" t="s">
        <v>189</v>
      </c>
      <c r="J715" s="3" t="s">
        <v>181</v>
      </c>
      <c r="K715" s="3">
        <v>1.0</v>
      </c>
      <c r="L715" s="3">
        <v>1.0</v>
      </c>
      <c r="M715" s="4" t="s">
        <v>43</v>
      </c>
      <c r="N715" s="3" t="s">
        <v>130</v>
      </c>
      <c r="O715" s="4" t="s">
        <v>1838</v>
      </c>
      <c r="P715" s="4" t="s">
        <v>1824</v>
      </c>
      <c r="Q715" s="3"/>
      <c r="R715" s="3"/>
      <c r="S715" s="6"/>
      <c r="T715" s="6"/>
      <c r="U715" s="6"/>
    </row>
    <row r="716" ht="15.75" customHeight="1">
      <c r="A716" s="4" t="s">
        <v>2021</v>
      </c>
      <c r="B716" s="4" t="s">
        <v>2022</v>
      </c>
      <c r="C716" s="4" t="s">
        <v>39</v>
      </c>
      <c r="D716" s="6"/>
      <c r="E716" s="3" t="str">
        <f t="shared" si="1"/>
        <v>現存</v>
      </c>
      <c r="F716" s="3" t="s">
        <v>1007</v>
      </c>
      <c r="G716" s="6"/>
      <c r="H716" s="3" t="str">
        <f t="shared" si="2"/>
        <v>11,12</v>
      </c>
      <c r="I716" s="3" t="s">
        <v>988</v>
      </c>
      <c r="J716" s="3" t="s">
        <v>253</v>
      </c>
      <c r="K716" s="3">
        <v>4.0</v>
      </c>
      <c r="L716" s="3">
        <v>1.0</v>
      </c>
      <c r="M716" s="4" t="s">
        <v>43</v>
      </c>
      <c r="N716" s="3" t="s">
        <v>130</v>
      </c>
      <c r="O716" s="4" t="s">
        <v>1832</v>
      </c>
      <c r="P716" s="4" t="s">
        <v>1824</v>
      </c>
      <c r="Q716" s="3"/>
      <c r="R716" s="3"/>
      <c r="S716" s="6"/>
      <c r="T716" s="6"/>
      <c r="U716" s="6"/>
    </row>
    <row r="717" ht="15.75" customHeight="1">
      <c r="A717" s="4" t="s">
        <v>2023</v>
      </c>
      <c r="B717" s="4" t="s">
        <v>2024</v>
      </c>
      <c r="C717" s="4" t="s">
        <v>39</v>
      </c>
      <c r="D717" s="6"/>
      <c r="E717" s="3" t="str">
        <f t="shared" si="1"/>
        <v>現存</v>
      </c>
      <c r="F717" s="3" t="s">
        <v>1007</v>
      </c>
      <c r="G717" s="6"/>
      <c r="H717" s="3" t="str">
        <f t="shared" si="2"/>
        <v>11,12</v>
      </c>
      <c r="I717" s="3" t="s">
        <v>2025</v>
      </c>
      <c r="J717" s="3" t="s">
        <v>181</v>
      </c>
      <c r="K717" s="3">
        <v>3.0</v>
      </c>
      <c r="L717" s="3">
        <v>1.0</v>
      </c>
      <c r="M717" s="4" t="s">
        <v>43</v>
      </c>
      <c r="N717" s="3" t="s">
        <v>130</v>
      </c>
      <c r="O717" s="4" t="s">
        <v>1832</v>
      </c>
      <c r="P717" s="4" t="s">
        <v>1824</v>
      </c>
      <c r="Q717" s="3"/>
      <c r="R717" s="3"/>
      <c r="S717" s="6"/>
      <c r="T717" s="6"/>
      <c r="U717" s="8" t="s">
        <v>2026</v>
      </c>
    </row>
    <row r="718" ht="15.75" customHeight="1">
      <c r="A718" s="4" t="s">
        <v>2027</v>
      </c>
      <c r="B718" s="4" t="s">
        <v>2028</v>
      </c>
      <c r="C718" s="4" t="s">
        <v>39</v>
      </c>
      <c r="D718" s="6"/>
      <c r="E718" s="3" t="str">
        <f t="shared" si="1"/>
        <v>現存</v>
      </c>
      <c r="F718" s="3" t="s">
        <v>515</v>
      </c>
      <c r="G718" s="6"/>
      <c r="H718" s="3" t="str">
        <f t="shared" si="2"/>
        <v>11</v>
      </c>
      <c r="I718" s="3" t="s">
        <v>1008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130</v>
      </c>
      <c r="O718" s="4" t="s">
        <v>1832</v>
      </c>
      <c r="P718" s="4" t="s">
        <v>1824</v>
      </c>
      <c r="Q718" s="3"/>
      <c r="R718" s="3"/>
      <c r="S718" s="6"/>
      <c r="T718" s="6"/>
      <c r="U718" s="6"/>
    </row>
    <row r="719" ht="15.75" customHeight="1">
      <c r="A719" s="4" t="s">
        <v>2029</v>
      </c>
      <c r="B719" s="9" t="s">
        <v>1948</v>
      </c>
      <c r="C719" s="4" t="s">
        <v>39</v>
      </c>
      <c r="D719" s="8" t="s">
        <v>381</v>
      </c>
      <c r="E719" s="3" t="str">
        <f t="shared" si="1"/>
        <v>不收錄</v>
      </c>
      <c r="F719" s="3" t="s">
        <v>515</v>
      </c>
      <c r="G719" s="6"/>
      <c r="H719" s="3" t="str">
        <f t="shared" si="2"/>
        <v>11</v>
      </c>
      <c r="I719" s="3" t="s">
        <v>1086</v>
      </c>
      <c r="J719" s="3" t="s">
        <v>42</v>
      </c>
      <c r="K719" s="3">
        <v>1.0</v>
      </c>
      <c r="L719" s="3">
        <v>1.0</v>
      </c>
      <c r="M719" s="9" t="s">
        <v>236</v>
      </c>
      <c r="N719" s="3" t="s">
        <v>130</v>
      </c>
      <c r="O719" s="9" t="s">
        <v>1558</v>
      </c>
      <c r="P719" s="9" t="s">
        <v>1558</v>
      </c>
      <c r="Q719" s="3"/>
      <c r="R719" s="3"/>
      <c r="S719" s="6"/>
      <c r="T719" s="6"/>
      <c r="U719" s="6"/>
    </row>
    <row r="720" ht="15.75" customHeight="1">
      <c r="A720" s="4" t="s">
        <v>2030</v>
      </c>
      <c r="B720" s="4" t="s">
        <v>2031</v>
      </c>
      <c r="C720" s="4" t="s">
        <v>39</v>
      </c>
      <c r="D720" s="6"/>
      <c r="E720" s="3" t="str">
        <f t="shared" si="1"/>
        <v>現存</v>
      </c>
      <c r="F720" s="3" t="s">
        <v>1007</v>
      </c>
      <c r="G720" s="6"/>
      <c r="H720" s="3" t="str">
        <f t="shared" si="2"/>
        <v>11,12</v>
      </c>
      <c r="I720" s="3" t="s">
        <v>2032</v>
      </c>
      <c r="J720" s="3" t="s">
        <v>181</v>
      </c>
      <c r="K720" s="3">
        <v>2.0</v>
      </c>
      <c r="L720" s="3">
        <v>1.0</v>
      </c>
      <c r="M720" s="4" t="s">
        <v>43</v>
      </c>
      <c r="N720" s="3" t="s">
        <v>130</v>
      </c>
      <c r="O720" s="4" t="s">
        <v>1832</v>
      </c>
      <c r="P720" s="4" t="s">
        <v>1824</v>
      </c>
      <c r="Q720" s="3"/>
      <c r="R720" s="3"/>
      <c r="S720" s="6"/>
      <c r="T720" s="6"/>
      <c r="U720" s="6"/>
    </row>
    <row r="721" ht="15.75" customHeight="1">
      <c r="A721" s="4" t="s">
        <v>2033</v>
      </c>
      <c r="B721" s="4" t="s">
        <v>2034</v>
      </c>
      <c r="C721" s="4" t="s">
        <v>39</v>
      </c>
      <c r="D721" s="6"/>
      <c r="E721" s="3" t="str">
        <f t="shared" si="1"/>
        <v>現存</v>
      </c>
      <c r="F721" s="3" t="s">
        <v>1513</v>
      </c>
      <c r="G721" s="6"/>
      <c r="H721" s="3" t="str">
        <f t="shared" si="2"/>
        <v>2,5,12</v>
      </c>
      <c r="I721" s="3" t="s">
        <v>160</v>
      </c>
      <c r="J721" s="3" t="s">
        <v>125</v>
      </c>
      <c r="K721" s="3">
        <v>4.0</v>
      </c>
      <c r="L721" s="3">
        <v>1.0</v>
      </c>
      <c r="M721" s="4" t="s">
        <v>43</v>
      </c>
      <c r="N721" s="3" t="s">
        <v>130</v>
      </c>
      <c r="O721" s="4" t="s">
        <v>1832</v>
      </c>
      <c r="P721" s="4" t="s">
        <v>1824</v>
      </c>
      <c r="Q721" s="3"/>
      <c r="R721" s="3"/>
      <c r="S721" s="6"/>
      <c r="T721" s="6"/>
      <c r="U721" s="6"/>
    </row>
    <row r="722" ht="15.75" customHeight="1">
      <c r="A722" s="4" t="s">
        <v>2035</v>
      </c>
      <c r="B722" s="4" t="s">
        <v>2036</v>
      </c>
      <c r="C722" s="4" t="s">
        <v>39</v>
      </c>
      <c r="D722" s="6"/>
      <c r="E722" s="3" t="str">
        <f t="shared" si="1"/>
        <v>現存</v>
      </c>
      <c r="F722" s="3" t="s">
        <v>515</v>
      </c>
      <c r="G722" s="6"/>
      <c r="H722" s="3" t="str">
        <f t="shared" si="2"/>
        <v>11</v>
      </c>
      <c r="I722" s="3" t="s">
        <v>1635</v>
      </c>
      <c r="J722" s="3" t="s">
        <v>181</v>
      </c>
      <c r="K722" s="3">
        <v>1.0</v>
      </c>
      <c r="L722" s="3">
        <v>1.0</v>
      </c>
      <c r="M722" s="4" t="s">
        <v>43</v>
      </c>
      <c r="N722" s="3" t="s">
        <v>130</v>
      </c>
      <c r="O722" s="4" t="s">
        <v>1832</v>
      </c>
      <c r="P722" s="4" t="s">
        <v>1824</v>
      </c>
      <c r="Q722" s="3"/>
      <c r="R722" s="3"/>
      <c r="S722" s="6"/>
      <c r="T722" s="6"/>
      <c r="U722" s="6"/>
    </row>
    <row r="723" ht="15.75" customHeight="1">
      <c r="A723" s="4" t="s">
        <v>2037</v>
      </c>
      <c r="B723" s="4" t="s">
        <v>2038</v>
      </c>
      <c r="C723" s="4" t="s">
        <v>39</v>
      </c>
      <c r="D723" s="6"/>
      <c r="E723" s="3" t="str">
        <f t="shared" si="1"/>
        <v>現存</v>
      </c>
      <c r="F723" s="3" t="s">
        <v>1007</v>
      </c>
      <c r="G723" s="6"/>
      <c r="H723" s="3" t="str">
        <f t="shared" si="2"/>
        <v>11,12</v>
      </c>
      <c r="I723" s="3" t="s">
        <v>1404</v>
      </c>
      <c r="J723" s="3" t="s">
        <v>181</v>
      </c>
      <c r="K723" s="3">
        <v>2.0</v>
      </c>
      <c r="L723" s="3">
        <v>1.0</v>
      </c>
      <c r="M723" s="4" t="s">
        <v>43</v>
      </c>
      <c r="N723" s="3" t="s">
        <v>130</v>
      </c>
      <c r="O723" s="4" t="s">
        <v>1832</v>
      </c>
      <c r="P723" s="4" t="s">
        <v>1824</v>
      </c>
      <c r="Q723" s="3"/>
      <c r="R723" s="3"/>
      <c r="S723" s="6"/>
      <c r="T723" s="6"/>
      <c r="U723" s="6"/>
    </row>
    <row r="724" ht="15.75" customHeight="1">
      <c r="A724" s="4" t="s">
        <v>2039</v>
      </c>
      <c r="B724" s="4" t="s">
        <v>2040</v>
      </c>
      <c r="C724" s="4" t="s">
        <v>39</v>
      </c>
      <c r="D724" s="8" t="s">
        <v>170</v>
      </c>
      <c r="E724" s="3" t="str">
        <f t="shared" si="1"/>
        <v>近年未見</v>
      </c>
      <c r="F724" s="3" t="s">
        <v>515</v>
      </c>
      <c r="G724" s="6"/>
      <c r="H724" s="3" t="str">
        <f t="shared" si="2"/>
        <v>11</v>
      </c>
      <c r="I724" s="3" t="s">
        <v>1815</v>
      </c>
      <c r="J724" s="3" t="s">
        <v>181</v>
      </c>
      <c r="K724" s="3">
        <v>1.0</v>
      </c>
      <c r="L724" s="3">
        <v>1.0</v>
      </c>
      <c r="M724" s="9" t="s">
        <v>236</v>
      </c>
      <c r="N724" s="3" t="s">
        <v>130</v>
      </c>
      <c r="O724" s="4" t="s">
        <v>1838</v>
      </c>
      <c r="P724" s="4" t="s">
        <v>1824</v>
      </c>
      <c r="Q724" s="3"/>
      <c r="R724" s="3"/>
      <c r="S724" s="6"/>
      <c r="T724" s="6"/>
      <c r="U724" s="6"/>
    </row>
    <row r="725" ht="15.75" customHeight="1">
      <c r="A725" s="4" t="s">
        <v>2041</v>
      </c>
      <c r="B725" s="4" t="s">
        <v>2042</v>
      </c>
      <c r="C725" s="4" t="s">
        <v>39</v>
      </c>
      <c r="D725" s="6"/>
      <c r="E725" s="3" t="str">
        <f t="shared" si="1"/>
        <v>現存</v>
      </c>
      <c r="F725" s="3" t="s">
        <v>515</v>
      </c>
      <c r="G725" s="6"/>
      <c r="H725" s="3" t="str">
        <f t="shared" si="2"/>
        <v>11</v>
      </c>
      <c r="I725" s="3" t="s">
        <v>1815</v>
      </c>
      <c r="J725" s="3" t="s">
        <v>181</v>
      </c>
      <c r="K725" s="3">
        <v>1.0</v>
      </c>
      <c r="L725" s="3">
        <v>1.0</v>
      </c>
      <c r="M725" s="4" t="s">
        <v>43</v>
      </c>
      <c r="N725" s="3" t="s">
        <v>130</v>
      </c>
      <c r="O725" s="4" t="s">
        <v>1838</v>
      </c>
      <c r="P725" s="4" t="s">
        <v>1824</v>
      </c>
      <c r="Q725" s="3"/>
      <c r="R725" s="3"/>
      <c r="S725" s="6"/>
      <c r="T725" s="6"/>
      <c r="U725" s="6"/>
    </row>
    <row r="726" ht="15.75" customHeight="1">
      <c r="A726" s="4" t="s">
        <v>2043</v>
      </c>
      <c r="B726" s="4" t="s">
        <v>2044</v>
      </c>
      <c r="C726" s="4" t="s">
        <v>39</v>
      </c>
      <c r="D726" s="6"/>
      <c r="E726" s="3" t="str">
        <f t="shared" si="1"/>
        <v>現存</v>
      </c>
      <c r="F726" s="3" t="s">
        <v>515</v>
      </c>
      <c r="G726" s="6"/>
      <c r="H726" s="3" t="str">
        <f t="shared" si="2"/>
        <v>11</v>
      </c>
      <c r="I726" s="3" t="s">
        <v>617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130</v>
      </c>
      <c r="O726" s="4" t="s">
        <v>1832</v>
      </c>
      <c r="P726" s="4" t="s">
        <v>1824</v>
      </c>
      <c r="Q726" s="3"/>
      <c r="R726" s="3"/>
      <c r="S726" s="6"/>
      <c r="T726" s="6"/>
      <c r="U726" s="6"/>
    </row>
    <row r="727" ht="15.75" customHeight="1">
      <c r="A727" s="4" t="s">
        <v>2045</v>
      </c>
      <c r="B727" s="4" t="s">
        <v>2046</v>
      </c>
      <c r="C727" s="4" t="s">
        <v>39</v>
      </c>
      <c r="D727" s="6"/>
      <c r="E727" s="3" t="str">
        <f t="shared" si="1"/>
        <v>現存</v>
      </c>
      <c r="F727" s="3" t="s">
        <v>515</v>
      </c>
      <c r="G727" s="6"/>
      <c r="H727" s="3" t="str">
        <f t="shared" si="2"/>
        <v>11</v>
      </c>
      <c r="I727" s="3" t="s">
        <v>1008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130</v>
      </c>
      <c r="O727" s="4" t="s">
        <v>1832</v>
      </c>
      <c r="P727" s="4" t="s">
        <v>1824</v>
      </c>
      <c r="Q727" s="3"/>
      <c r="R727" s="3"/>
      <c r="S727" s="6"/>
      <c r="T727" s="6"/>
      <c r="U727" s="6"/>
    </row>
    <row r="728" ht="15.75" customHeight="1">
      <c r="A728" s="4" t="s">
        <v>2047</v>
      </c>
      <c r="B728" s="4" t="s">
        <v>2048</v>
      </c>
      <c r="C728" s="4" t="s">
        <v>39</v>
      </c>
      <c r="D728" s="8" t="s">
        <v>381</v>
      </c>
      <c r="E728" s="3" t="str">
        <f t="shared" si="1"/>
        <v>不收錄</v>
      </c>
      <c r="F728" s="3" t="s">
        <v>515</v>
      </c>
      <c r="G728" s="6"/>
      <c r="H728" s="3" t="str">
        <f t="shared" si="2"/>
        <v>11</v>
      </c>
      <c r="I728" s="3" t="s">
        <v>1008</v>
      </c>
      <c r="J728" s="3" t="s">
        <v>42</v>
      </c>
      <c r="K728" s="3">
        <v>1.0</v>
      </c>
      <c r="L728" s="3">
        <v>1.0</v>
      </c>
      <c r="M728" s="9" t="s">
        <v>236</v>
      </c>
      <c r="N728" s="3" t="s">
        <v>130</v>
      </c>
      <c r="O728" s="9" t="s">
        <v>1558</v>
      </c>
      <c r="P728" s="9" t="s">
        <v>1558</v>
      </c>
      <c r="Q728" s="3"/>
      <c r="R728" s="3"/>
      <c r="S728" s="6"/>
      <c r="T728" s="6"/>
      <c r="U728" s="6"/>
    </row>
    <row r="729" ht="15.75" customHeight="1">
      <c r="A729" s="4" t="s">
        <v>2049</v>
      </c>
      <c r="B729" s="4" t="s">
        <v>2050</v>
      </c>
      <c r="C729" s="4" t="s">
        <v>39</v>
      </c>
      <c r="D729" s="8" t="s">
        <v>170</v>
      </c>
      <c r="E729" s="3" t="str">
        <f t="shared" si="1"/>
        <v>近年未見</v>
      </c>
      <c r="F729" s="3" t="s">
        <v>515</v>
      </c>
      <c r="G729" s="6"/>
      <c r="H729" s="3" t="str">
        <f t="shared" si="2"/>
        <v>11</v>
      </c>
      <c r="I729" s="3" t="s">
        <v>1635</v>
      </c>
      <c r="J729" s="3" t="s">
        <v>181</v>
      </c>
      <c r="K729" s="3">
        <v>1.0</v>
      </c>
      <c r="L729" s="3">
        <v>1.0</v>
      </c>
      <c r="M729" s="9" t="s">
        <v>236</v>
      </c>
      <c r="N729" s="3" t="s">
        <v>130</v>
      </c>
      <c r="O729" s="4" t="s">
        <v>1838</v>
      </c>
      <c r="P729" s="4" t="s">
        <v>1824</v>
      </c>
      <c r="Q729" s="3"/>
      <c r="R729" s="3"/>
      <c r="S729" s="6"/>
      <c r="T729" s="6"/>
      <c r="U729" s="6"/>
    </row>
    <row r="730" ht="15.75" customHeight="1">
      <c r="A730" s="4" t="s">
        <v>2051</v>
      </c>
      <c r="B730" s="9" t="s">
        <v>2052</v>
      </c>
      <c r="C730" s="4" t="s">
        <v>170</v>
      </c>
      <c r="D730" s="8" t="s">
        <v>381</v>
      </c>
      <c r="E730" s="3" t="str">
        <f t="shared" si="1"/>
        <v>不收錄</v>
      </c>
      <c r="F730" s="3" t="s">
        <v>515</v>
      </c>
      <c r="G730" s="6"/>
      <c r="H730" s="3" t="str">
        <f t="shared" si="2"/>
        <v>11</v>
      </c>
      <c r="I730" s="3" t="s">
        <v>1635</v>
      </c>
      <c r="J730" s="3" t="s">
        <v>181</v>
      </c>
      <c r="K730" s="3">
        <v>1.0</v>
      </c>
      <c r="L730" s="3">
        <v>0.0</v>
      </c>
      <c r="M730" s="4" t="s">
        <v>236</v>
      </c>
      <c r="N730" s="3"/>
      <c r="O730" s="3"/>
      <c r="P730" s="9" t="s">
        <v>1558</v>
      </c>
      <c r="Q730" s="3"/>
      <c r="R730" s="3"/>
      <c r="S730" s="6"/>
      <c r="T730" s="6"/>
      <c r="U730" s="6"/>
    </row>
    <row r="731" ht="15.75" customHeight="1">
      <c r="A731" s="4" t="s">
        <v>2053</v>
      </c>
      <c r="B731" s="4" t="s">
        <v>2054</v>
      </c>
      <c r="C731" s="4" t="s">
        <v>39</v>
      </c>
      <c r="D731" s="6"/>
      <c r="E731" s="3" t="str">
        <f t="shared" si="1"/>
        <v>現存</v>
      </c>
      <c r="F731" s="3" t="s">
        <v>515</v>
      </c>
      <c r="G731" s="6"/>
      <c r="H731" s="3" t="str">
        <f t="shared" si="2"/>
        <v>11</v>
      </c>
      <c r="I731" s="3" t="s">
        <v>1635</v>
      </c>
      <c r="J731" s="3" t="s">
        <v>181</v>
      </c>
      <c r="K731" s="3">
        <v>1.0</v>
      </c>
      <c r="L731" s="3">
        <v>1.0</v>
      </c>
      <c r="M731" s="4" t="s">
        <v>43</v>
      </c>
      <c r="N731" s="3" t="s">
        <v>130</v>
      </c>
      <c r="O731" s="4" t="s">
        <v>1838</v>
      </c>
      <c r="P731" s="4" t="s">
        <v>1824</v>
      </c>
      <c r="Q731" s="3"/>
      <c r="R731" s="3"/>
      <c r="S731" s="6"/>
      <c r="T731" s="6"/>
      <c r="U731" s="8" t="s">
        <v>2055</v>
      </c>
    </row>
    <row r="732" ht="15.75" customHeight="1">
      <c r="A732" s="4" t="s">
        <v>2056</v>
      </c>
      <c r="B732" s="4" t="s">
        <v>2057</v>
      </c>
      <c r="C732" s="4" t="s">
        <v>39</v>
      </c>
      <c r="D732" s="6"/>
      <c r="E732" s="3" t="str">
        <f t="shared" si="1"/>
        <v>現存</v>
      </c>
      <c r="F732" s="3" t="s">
        <v>1117</v>
      </c>
      <c r="G732" s="6"/>
      <c r="H732" s="3" t="str">
        <f t="shared" si="2"/>
        <v>2,7</v>
      </c>
      <c r="I732" s="3" t="s">
        <v>55</v>
      </c>
      <c r="J732" s="3" t="s">
        <v>125</v>
      </c>
      <c r="K732" s="3">
        <v>2.0</v>
      </c>
      <c r="L732" s="3">
        <v>1.0</v>
      </c>
      <c r="M732" s="4" t="s">
        <v>43</v>
      </c>
      <c r="N732" s="3" t="s">
        <v>130</v>
      </c>
      <c r="O732" s="4" t="s">
        <v>1838</v>
      </c>
      <c r="P732" s="4" t="s">
        <v>1824</v>
      </c>
      <c r="Q732" s="3"/>
      <c r="R732" s="3"/>
      <c r="S732" s="6"/>
      <c r="T732" s="6"/>
      <c r="U732" s="6"/>
    </row>
    <row r="733" ht="15.75" customHeight="1">
      <c r="A733" s="4" t="s">
        <v>2058</v>
      </c>
      <c r="B733" s="4" t="s">
        <v>2059</v>
      </c>
      <c r="C733" s="4" t="s">
        <v>39</v>
      </c>
      <c r="D733" s="8" t="s">
        <v>170</v>
      </c>
      <c r="E733" s="3" t="str">
        <f t="shared" si="1"/>
        <v>近年未見</v>
      </c>
      <c r="F733" s="3" t="s">
        <v>515</v>
      </c>
      <c r="G733" s="6"/>
      <c r="H733" s="3" t="str">
        <f t="shared" si="2"/>
        <v>11</v>
      </c>
      <c r="I733" s="3" t="s">
        <v>2060</v>
      </c>
      <c r="J733" s="3" t="s">
        <v>181</v>
      </c>
      <c r="K733" s="3">
        <v>1.0</v>
      </c>
      <c r="L733" s="3">
        <v>1.0</v>
      </c>
      <c r="M733" s="9" t="s">
        <v>236</v>
      </c>
      <c r="N733" s="3" t="s">
        <v>130</v>
      </c>
      <c r="O733" s="9" t="s">
        <v>1558</v>
      </c>
      <c r="P733" s="9" t="s">
        <v>1558</v>
      </c>
      <c r="Q733" s="3"/>
      <c r="R733" s="3"/>
      <c r="S733" s="6"/>
      <c r="T733" s="6"/>
      <c r="U733" s="6"/>
    </row>
    <row r="734" ht="15.75" customHeight="1">
      <c r="A734" s="4" t="s">
        <v>2061</v>
      </c>
      <c r="B734" s="4" t="s">
        <v>2062</v>
      </c>
      <c r="C734" s="4" t="s">
        <v>170</v>
      </c>
      <c r="D734" s="8" t="s">
        <v>381</v>
      </c>
      <c r="E734" s="3" t="str">
        <f t="shared" si="1"/>
        <v>不收錄</v>
      </c>
      <c r="F734" s="3" t="s">
        <v>634</v>
      </c>
      <c r="G734" s="6"/>
      <c r="H734" s="3" t="str">
        <f t="shared" si="2"/>
        <v>12</v>
      </c>
      <c r="I734" s="3" t="s">
        <v>1404</v>
      </c>
      <c r="J734" s="3" t="s">
        <v>181</v>
      </c>
      <c r="K734" s="3">
        <v>1.0</v>
      </c>
      <c r="L734" s="3">
        <v>0.0</v>
      </c>
      <c r="M734" s="4" t="s">
        <v>236</v>
      </c>
      <c r="N734" s="3"/>
      <c r="O734" s="3"/>
      <c r="P734" s="9" t="s">
        <v>1558</v>
      </c>
      <c r="Q734" s="3"/>
      <c r="R734" s="3"/>
      <c r="S734" s="6"/>
      <c r="T734" s="6"/>
      <c r="U734" s="6"/>
    </row>
    <row r="735" ht="15.75" customHeight="1">
      <c r="A735" s="4" t="s">
        <v>2063</v>
      </c>
      <c r="B735" s="4" t="s">
        <v>2064</v>
      </c>
      <c r="C735" s="4" t="s">
        <v>39</v>
      </c>
      <c r="D735" s="8" t="s">
        <v>381</v>
      </c>
      <c r="E735" s="3" t="str">
        <f t="shared" si="1"/>
        <v>不收錄</v>
      </c>
      <c r="F735" s="3" t="s">
        <v>634</v>
      </c>
      <c r="G735" s="6"/>
      <c r="H735" s="3" t="str">
        <f t="shared" si="2"/>
        <v>12</v>
      </c>
      <c r="I735" s="3" t="s">
        <v>2032</v>
      </c>
      <c r="J735" s="3" t="s">
        <v>181</v>
      </c>
      <c r="K735" s="3">
        <v>1.0</v>
      </c>
      <c r="L735" s="3">
        <v>1.0</v>
      </c>
      <c r="M735" s="9" t="s">
        <v>236</v>
      </c>
      <c r="N735" s="3" t="s">
        <v>130</v>
      </c>
      <c r="O735" s="4" t="s">
        <v>1838</v>
      </c>
      <c r="P735" s="4" t="s">
        <v>1824</v>
      </c>
      <c r="Q735" s="3"/>
      <c r="R735" s="3"/>
      <c r="S735" s="6"/>
      <c r="T735" s="6"/>
      <c r="U735" s="6"/>
    </row>
    <row r="736" ht="15.75" customHeight="1">
      <c r="A736" s="4" t="s">
        <v>2065</v>
      </c>
      <c r="B736" s="4" t="s">
        <v>2066</v>
      </c>
      <c r="C736" s="4" t="s">
        <v>39</v>
      </c>
      <c r="D736" s="6"/>
      <c r="E736" s="3" t="str">
        <f t="shared" si="1"/>
        <v>現存</v>
      </c>
      <c r="F736" s="3" t="s">
        <v>634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130</v>
      </c>
      <c r="O736" s="4" t="s">
        <v>1838</v>
      </c>
      <c r="P736" s="4" t="s">
        <v>1824</v>
      </c>
      <c r="Q736" s="3"/>
      <c r="R736" s="3"/>
      <c r="S736" s="6"/>
      <c r="T736" s="6"/>
      <c r="U736" s="6"/>
    </row>
    <row r="737" ht="15.75" customHeight="1">
      <c r="A737" s="4" t="s">
        <v>2067</v>
      </c>
      <c r="B737" s="4" t="s">
        <v>2068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537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130</v>
      </c>
      <c r="O737" s="4" t="s">
        <v>1838</v>
      </c>
      <c r="P737" s="4" t="s">
        <v>1824</v>
      </c>
      <c r="Q737" s="3"/>
      <c r="R737" s="3"/>
      <c r="S737" s="6"/>
      <c r="T737" s="6"/>
      <c r="U737" s="6"/>
    </row>
    <row r="738" ht="15.75" customHeight="1">
      <c r="A738" s="4" t="s">
        <v>2069</v>
      </c>
      <c r="B738" s="4" t="s">
        <v>2070</v>
      </c>
      <c r="C738" s="4" t="s">
        <v>39</v>
      </c>
      <c r="D738" s="8" t="s">
        <v>170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2071</v>
      </c>
      <c r="J738" s="3" t="s">
        <v>42</v>
      </c>
      <c r="K738" s="3">
        <v>1.0</v>
      </c>
      <c r="L738" s="3">
        <v>1.0</v>
      </c>
      <c r="M738" s="9" t="s">
        <v>236</v>
      </c>
      <c r="N738" s="3" t="s">
        <v>130</v>
      </c>
      <c r="O738" s="4" t="s">
        <v>1832</v>
      </c>
      <c r="P738" s="4" t="s">
        <v>1824</v>
      </c>
      <c r="Q738" s="3"/>
      <c r="R738" s="3"/>
      <c r="S738" s="6"/>
      <c r="T738" s="6"/>
      <c r="U738" s="6"/>
    </row>
    <row r="739" ht="15.75" customHeight="1">
      <c r="A739" s="4" t="s">
        <v>2072</v>
      </c>
      <c r="B739" s="4" t="s">
        <v>2073</v>
      </c>
      <c r="C739" s="4" t="s">
        <v>39</v>
      </c>
      <c r="D739" s="6"/>
      <c r="E739" s="3" t="str">
        <f t="shared" si="1"/>
        <v>現存</v>
      </c>
      <c r="F739" s="3" t="s">
        <v>371</v>
      </c>
      <c r="G739" s="6"/>
      <c r="H739" s="3" t="str">
        <f t="shared" si="2"/>
        <v>2,8</v>
      </c>
      <c r="I739" s="3" t="s">
        <v>1930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130</v>
      </c>
      <c r="O739" s="4" t="s">
        <v>1832</v>
      </c>
      <c r="P739" s="4" t="s">
        <v>1824</v>
      </c>
      <c r="Q739" s="3"/>
      <c r="R739" s="3"/>
      <c r="S739" s="6"/>
      <c r="T739" s="6"/>
      <c r="U739" s="6"/>
    </row>
    <row r="740" ht="15.75" customHeight="1">
      <c r="A740" s="4" t="s">
        <v>2074</v>
      </c>
      <c r="B740" s="4" t="s">
        <v>2075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135</v>
      </c>
      <c r="K740" s="3">
        <v>2.0</v>
      </c>
      <c r="L740" s="3">
        <v>1.0</v>
      </c>
      <c r="M740" s="4" t="s">
        <v>43</v>
      </c>
      <c r="N740" s="3" t="s">
        <v>130</v>
      </c>
      <c r="O740" s="4" t="s">
        <v>1832</v>
      </c>
      <c r="P740" s="4" t="s">
        <v>1824</v>
      </c>
      <c r="Q740" s="3"/>
      <c r="R740" s="3"/>
      <c r="S740" s="6"/>
      <c r="T740" s="6"/>
      <c r="U740" s="6"/>
    </row>
    <row r="741" ht="15.75" customHeight="1">
      <c r="A741" s="4" t="s">
        <v>2076</v>
      </c>
      <c r="B741" s="4" t="s">
        <v>2077</v>
      </c>
      <c r="C741" s="4" t="s">
        <v>39</v>
      </c>
      <c r="D741" s="6"/>
      <c r="E741" s="3" t="str">
        <f t="shared" si="1"/>
        <v>現存</v>
      </c>
      <c r="F741" s="3" t="s">
        <v>371</v>
      </c>
      <c r="G741" s="6"/>
      <c r="H741" s="3" t="str">
        <f t="shared" si="2"/>
        <v>2,8</v>
      </c>
      <c r="I741" s="3" t="s">
        <v>1930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130</v>
      </c>
      <c r="O741" s="4" t="s">
        <v>1832</v>
      </c>
      <c r="P741" s="4" t="s">
        <v>1824</v>
      </c>
      <c r="Q741" s="3"/>
      <c r="R741" s="3"/>
      <c r="S741" s="6"/>
      <c r="T741" s="6"/>
      <c r="U741" s="6"/>
    </row>
    <row r="742" ht="15.75" customHeight="1">
      <c r="A742" s="4" t="s">
        <v>2078</v>
      </c>
      <c r="B742" s="4" t="s">
        <v>2079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537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130</v>
      </c>
      <c r="O742" s="4" t="s">
        <v>1838</v>
      </c>
      <c r="P742" s="4" t="s">
        <v>1824</v>
      </c>
      <c r="Q742" s="3"/>
      <c r="R742" s="3"/>
      <c r="S742" s="6"/>
      <c r="T742" s="6"/>
      <c r="U742" s="6"/>
    </row>
    <row r="743" ht="15.75" customHeight="1">
      <c r="A743" s="4" t="s">
        <v>2080</v>
      </c>
      <c r="B743" s="4" t="s">
        <v>2081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537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130</v>
      </c>
      <c r="O743" s="4" t="s">
        <v>1838</v>
      </c>
      <c r="P743" s="4" t="s">
        <v>1824</v>
      </c>
      <c r="Q743" s="3"/>
      <c r="R743" s="3"/>
      <c r="S743" s="6"/>
      <c r="T743" s="6"/>
      <c r="U743" s="6"/>
    </row>
    <row r="744" ht="15.75" customHeight="1">
      <c r="A744" s="4" t="s">
        <v>2082</v>
      </c>
      <c r="B744" s="4" t="s">
        <v>2083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135</v>
      </c>
      <c r="K744" s="3">
        <v>3.0</v>
      </c>
      <c r="L744" s="3">
        <v>1.0</v>
      </c>
      <c r="M744" s="4" t="s">
        <v>43</v>
      </c>
      <c r="N744" s="3" t="s">
        <v>130</v>
      </c>
      <c r="O744" s="4" t="s">
        <v>1832</v>
      </c>
      <c r="P744" s="4" t="s">
        <v>1824</v>
      </c>
      <c r="Q744" s="3"/>
      <c r="R744" s="3"/>
      <c r="S744" s="6"/>
      <c r="T744" s="6"/>
      <c r="U744" s="6"/>
    </row>
    <row r="745" ht="15.75" customHeight="1">
      <c r="A745" s="4" t="s">
        <v>2084</v>
      </c>
      <c r="B745" s="4" t="s">
        <v>2085</v>
      </c>
      <c r="C745" s="4" t="s">
        <v>39</v>
      </c>
      <c r="D745" s="6"/>
      <c r="E745" s="3" t="str">
        <f t="shared" si="1"/>
        <v>現存</v>
      </c>
      <c r="F745" s="3" t="s">
        <v>218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130</v>
      </c>
      <c r="O745" s="4" t="s">
        <v>1838</v>
      </c>
      <c r="P745" s="4" t="s">
        <v>1824</v>
      </c>
      <c r="Q745" s="3"/>
      <c r="R745" s="3"/>
      <c r="S745" s="6"/>
      <c r="T745" s="6"/>
      <c r="U745" s="6"/>
    </row>
    <row r="746" ht="15.75" customHeight="1">
      <c r="A746" s="4" t="s">
        <v>2086</v>
      </c>
      <c r="B746" s="4" t="s">
        <v>2087</v>
      </c>
      <c r="C746" s="4" t="s">
        <v>39</v>
      </c>
      <c r="D746" s="6"/>
      <c r="E746" s="3" t="str">
        <f t="shared" si="1"/>
        <v>現存</v>
      </c>
      <c r="F746" s="3" t="s">
        <v>371</v>
      </c>
      <c r="G746" s="6"/>
      <c r="H746" s="3" t="str">
        <f t="shared" si="2"/>
        <v>2,8</v>
      </c>
      <c r="I746" s="3" t="s">
        <v>198</v>
      </c>
      <c r="J746" s="3" t="s">
        <v>125</v>
      </c>
      <c r="K746" s="3">
        <v>2.0</v>
      </c>
      <c r="L746" s="3">
        <v>1.0</v>
      </c>
      <c r="M746" s="4" t="s">
        <v>43</v>
      </c>
      <c r="N746" s="3" t="s">
        <v>130</v>
      </c>
      <c r="O746" s="4" t="s">
        <v>1832</v>
      </c>
      <c r="P746" s="4" t="s">
        <v>1824</v>
      </c>
      <c r="Q746" s="3"/>
      <c r="R746" s="3"/>
      <c r="S746" s="6"/>
      <c r="T746" s="6"/>
      <c r="U746" s="6"/>
    </row>
    <row r="747" ht="15.75" customHeight="1">
      <c r="A747" s="4" t="s">
        <v>2088</v>
      </c>
      <c r="B747" s="4" t="s">
        <v>2089</v>
      </c>
      <c r="C747" s="4" t="s">
        <v>39</v>
      </c>
      <c r="D747" s="6"/>
      <c r="E747" s="3" t="str">
        <f t="shared" si="1"/>
        <v>現存</v>
      </c>
      <c r="F747" s="3" t="s">
        <v>218</v>
      </c>
      <c r="G747" s="6"/>
      <c r="H747" s="3" t="str">
        <f t="shared" si="2"/>
        <v>2,3</v>
      </c>
      <c r="I747" s="3" t="s">
        <v>79</v>
      </c>
      <c r="J747" s="3" t="s">
        <v>135</v>
      </c>
      <c r="K747" s="3">
        <v>4.0</v>
      </c>
      <c r="L747" s="3">
        <v>1.0</v>
      </c>
      <c r="M747" s="4" t="s">
        <v>43</v>
      </c>
      <c r="N747" s="3" t="s">
        <v>130</v>
      </c>
      <c r="O747" s="4" t="s">
        <v>1832</v>
      </c>
      <c r="P747" s="4" t="s">
        <v>1824</v>
      </c>
      <c r="Q747" s="3"/>
      <c r="R747" s="3"/>
      <c r="S747" s="6"/>
      <c r="T747" s="6"/>
      <c r="U747" s="6"/>
    </row>
    <row r="748" ht="15.75" customHeight="1">
      <c r="A748" s="4" t="s">
        <v>2090</v>
      </c>
      <c r="B748" s="4" t="s">
        <v>2091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2092</v>
      </c>
      <c r="J748" s="3" t="s">
        <v>181</v>
      </c>
      <c r="K748" s="3">
        <v>1.0</v>
      </c>
      <c r="L748" s="3">
        <v>1.0</v>
      </c>
      <c r="M748" s="4" t="s">
        <v>43</v>
      </c>
      <c r="N748" s="3" t="s">
        <v>130</v>
      </c>
      <c r="O748" s="4" t="s">
        <v>1832</v>
      </c>
      <c r="P748" s="4" t="s">
        <v>1824</v>
      </c>
      <c r="Q748" s="3"/>
      <c r="R748" s="3"/>
      <c r="S748" s="6"/>
      <c r="T748" s="6"/>
      <c r="U748" s="6"/>
    </row>
    <row r="749" ht="15.75" customHeight="1">
      <c r="A749" s="4" t="s">
        <v>2093</v>
      </c>
      <c r="B749" s="4" t="s">
        <v>2094</v>
      </c>
      <c r="C749" s="4" t="s">
        <v>39</v>
      </c>
      <c r="D749" s="8" t="s">
        <v>170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248</v>
      </c>
      <c r="J749" s="3" t="s">
        <v>42</v>
      </c>
      <c r="K749" s="3">
        <v>1.0</v>
      </c>
      <c r="L749" s="3">
        <v>1.0</v>
      </c>
      <c r="M749" s="9" t="s">
        <v>236</v>
      </c>
      <c r="N749" s="3" t="s">
        <v>130</v>
      </c>
      <c r="O749" s="4" t="s">
        <v>1838</v>
      </c>
      <c r="P749" s="4" t="s">
        <v>1824</v>
      </c>
      <c r="Q749" s="3"/>
      <c r="R749" s="3"/>
      <c r="S749" s="6"/>
      <c r="T749" s="6"/>
      <c r="U749" s="6"/>
    </row>
    <row r="750" ht="15.75" customHeight="1">
      <c r="A750" s="4" t="s">
        <v>2095</v>
      </c>
      <c r="B750" s="4" t="s">
        <v>2096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2097</v>
      </c>
      <c r="J750" s="3" t="s">
        <v>181</v>
      </c>
      <c r="K750" s="3">
        <v>1.0</v>
      </c>
      <c r="L750" s="3">
        <v>1.0</v>
      </c>
      <c r="M750" s="4" t="s">
        <v>43</v>
      </c>
      <c r="N750" s="3" t="s">
        <v>130</v>
      </c>
      <c r="O750" s="4" t="s">
        <v>1832</v>
      </c>
      <c r="P750" s="4" t="s">
        <v>1824</v>
      </c>
      <c r="Q750" s="3"/>
      <c r="R750" s="3"/>
      <c r="S750" s="6"/>
      <c r="T750" s="6"/>
      <c r="U750" s="6"/>
    </row>
    <row r="751" ht="15.75" customHeight="1">
      <c r="A751" s="4" t="s">
        <v>2098</v>
      </c>
      <c r="B751" s="4" t="s">
        <v>2099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1735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130</v>
      </c>
      <c r="O751" s="4" t="s">
        <v>1832</v>
      </c>
      <c r="P751" s="4" t="s">
        <v>1824</v>
      </c>
      <c r="Q751" s="3"/>
      <c r="R751" s="3"/>
      <c r="S751" s="6"/>
      <c r="T751" s="6"/>
      <c r="U751" s="6"/>
    </row>
    <row r="752" ht="15.75" customHeight="1">
      <c r="A752" s="4" t="s">
        <v>2100</v>
      </c>
      <c r="B752" s="4" t="s">
        <v>2101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709</v>
      </c>
      <c r="J752" s="3" t="s">
        <v>135</v>
      </c>
      <c r="K752" s="3">
        <v>2.0</v>
      </c>
      <c r="L752" s="3">
        <v>1.0</v>
      </c>
      <c r="M752" s="4" t="s">
        <v>43</v>
      </c>
      <c r="N752" s="3" t="s">
        <v>130</v>
      </c>
      <c r="O752" s="4" t="s">
        <v>1832</v>
      </c>
      <c r="P752" s="4" t="s">
        <v>1824</v>
      </c>
      <c r="Q752" s="3"/>
      <c r="R752" s="3"/>
      <c r="S752" s="6"/>
      <c r="T752" s="6"/>
      <c r="U752" s="6"/>
    </row>
    <row r="753" ht="15.75" customHeight="1">
      <c r="A753" s="4" t="s">
        <v>2102</v>
      </c>
      <c r="B753" s="4" t="s">
        <v>2103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547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130</v>
      </c>
      <c r="O753" s="4" t="s">
        <v>1832</v>
      </c>
      <c r="P753" s="4" t="s">
        <v>1824</v>
      </c>
      <c r="Q753" s="3"/>
      <c r="R753" s="3"/>
      <c r="S753" s="6"/>
      <c r="T753" s="6"/>
      <c r="U753" s="6"/>
    </row>
    <row r="754" ht="15.75" customHeight="1">
      <c r="A754" s="4" t="s">
        <v>2104</v>
      </c>
      <c r="B754" s="4" t="s">
        <v>2105</v>
      </c>
      <c r="C754" s="4" t="s">
        <v>39</v>
      </c>
      <c r="D754" s="6"/>
      <c r="E754" s="3" t="str">
        <f t="shared" si="1"/>
        <v>現存</v>
      </c>
      <c r="F754" s="3" t="s">
        <v>256</v>
      </c>
      <c r="G754" s="6"/>
      <c r="H754" s="3" t="str">
        <f t="shared" si="2"/>
        <v>3,4,5,8</v>
      </c>
      <c r="I754" s="3" t="s">
        <v>160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130</v>
      </c>
      <c r="O754" s="9" t="s">
        <v>1558</v>
      </c>
      <c r="P754" s="9" t="s">
        <v>1821</v>
      </c>
      <c r="Q754" s="3"/>
      <c r="R754" s="3"/>
      <c r="S754" s="6"/>
      <c r="T754" s="6"/>
      <c r="U754" s="6"/>
    </row>
    <row r="755" ht="15.75" customHeight="1">
      <c r="A755" s="4" t="s">
        <v>2106</v>
      </c>
      <c r="B755" s="4" t="s">
        <v>2107</v>
      </c>
      <c r="C755" s="4" t="s">
        <v>39</v>
      </c>
      <c r="D755" s="6"/>
      <c r="E755" s="3" t="str">
        <f t="shared" si="1"/>
        <v>現存</v>
      </c>
      <c r="F755" s="3" t="s">
        <v>2108</v>
      </c>
      <c r="G755" s="6"/>
      <c r="H755" s="3" t="str">
        <f t="shared" si="2"/>
        <v>3,8</v>
      </c>
      <c r="I755" s="3" t="s">
        <v>1930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130</v>
      </c>
      <c r="O755" s="4" t="s">
        <v>1832</v>
      </c>
      <c r="P755" s="4" t="s">
        <v>1824</v>
      </c>
      <c r="Q755" s="3"/>
      <c r="R755" s="3"/>
      <c r="S755" s="6"/>
      <c r="T755" s="6"/>
      <c r="U755" s="6"/>
    </row>
    <row r="756" ht="15.75" customHeight="1">
      <c r="A756" s="4" t="s">
        <v>2109</v>
      </c>
      <c r="B756" s="4" t="s">
        <v>2110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709</v>
      </c>
      <c r="J756" s="3" t="s">
        <v>135</v>
      </c>
      <c r="K756" s="3">
        <v>3.0</v>
      </c>
      <c r="L756" s="3">
        <v>1.0</v>
      </c>
      <c r="M756" s="4" t="s">
        <v>43</v>
      </c>
      <c r="N756" s="3" t="s">
        <v>130</v>
      </c>
      <c r="O756" s="4" t="s">
        <v>1832</v>
      </c>
      <c r="P756" s="4" t="s">
        <v>1824</v>
      </c>
      <c r="Q756" s="3"/>
      <c r="R756" s="3"/>
      <c r="S756" s="6"/>
      <c r="T756" s="6"/>
      <c r="U756" s="6"/>
    </row>
    <row r="757" ht="15.75" customHeight="1">
      <c r="A757" s="4" t="s">
        <v>2111</v>
      </c>
      <c r="B757" s="4" t="s">
        <v>2112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2113</v>
      </c>
      <c r="J757" s="3" t="s">
        <v>135</v>
      </c>
      <c r="K757" s="3">
        <v>1.0</v>
      </c>
      <c r="L757" s="3">
        <v>1.0</v>
      </c>
      <c r="M757" s="4" t="s">
        <v>43</v>
      </c>
      <c r="N757" s="3" t="s">
        <v>130</v>
      </c>
      <c r="O757" s="4" t="s">
        <v>1838</v>
      </c>
      <c r="P757" s="4" t="s">
        <v>1824</v>
      </c>
      <c r="Q757" s="3"/>
      <c r="R757" s="3"/>
      <c r="S757" s="6"/>
      <c r="T757" s="6"/>
      <c r="U757" s="6"/>
    </row>
    <row r="758" ht="15.75" customHeight="1">
      <c r="A758" s="4" t="s">
        <v>2114</v>
      </c>
      <c r="B758" s="4" t="s">
        <v>2115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135</v>
      </c>
      <c r="K758" s="3">
        <v>3.0</v>
      </c>
      <c r="L758" s="3">
        <v>2.0</v>
      </c>
      <c r="M758" s="4" t="s">
        <v>43</v>
      </c>
      <c r="N758" s="3" t="s">
        <v>2116</v>
      </c>
      <c r="O758" s="3"/>
      <c r="P758" s="9" t="s">
        <v>2117</v>
      </c>
      <c r="Q758" s="3"/>
      <c r="R758" s="3"/>
      <c r="S758" s="6"/>
      <c r="T758" s="6"/>
      <c r="U758" s="6"/>
    </row>
    <row r="759" ht="15.75" customHeight="1">
      <c r="A759" s="4" t="s">
        <v>2118</v>
      </c>
      <c r="B759" s="4" t="s">
        <v>2119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2120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130</v>
      </c>
      <c r="O759" s="4" t="s">
        <v>1832</v>
      </c>
      <c r="P759" s="4" t="s">
        <v>1824</v>
      </c>
      <c r="Q759" s="3"/>
      <c r="R759" s="3"/>
      <c r="S759" s="6"/>
      <c r="T759" s="6"/>
      <c r="U759" s="6"/>
    </row>
    <row r="760" ht="15.75" customHeight="1">
      <c r="A760" s="4" t="s">
        <v>2121</v>
      </c>
      <c r="B760" s="4" t="s">
        <v>2122</v>
      </c>
      <c r="C760" s="4" t="s">
        <v>39</v>
      </c>
      <c r="D760" s="6"/>
      <c r="E760" s="3" t="str">
        <f t="shared" si="1"/>
        <v>現存</v>
      </c>
      <c r="F760" s="3" t="s">
        <v>2108</v>
      </c>
      <c r="G760" s="6"/>
      <c r="H760" s="3" t="str">
        <f t="shared" si="2"/>
        <v>3,8</v>
      </c>
      <c r="I760" s="3" t="s">
        <v>1930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130</v>
      </c>
      <c r="O760" s="4" t="s">
        <v>1832</v>
      </c>
      <c r="P760" s="4" t="s">
        <v>1824</v>
      </c>
      <c r="Q760" s="3"/>
      <c r="R760" s="3"/>
      <c r="S760" s="6"/>
      <c r="T760" s="6"/>
      <c r="U760" s="6"/>
    </row>
    <row r="761" ht="15.75" customHeight="1">
      <c r="A761" s="4" t="s">
        <v>2123</v>
      </c>
      <c r="B761" s="4" t="s">
        <v>2124</v>
      </c>
      <c r="C761" s="4" t="s">
        <v>39</v>
      </c>
      <c r="D761" s="6"/>
      <c r="E761" s="3" t="str">
        <f t="shared" si="1"/>
        <v>現存</v>
      </c>
      <c r="F761" s="3" t="s">
        <v>116</v>
      </c>
      <c r="G761" s="6"/>
      <c r="H761" s="3" t="str">
        <f t="shared" si="2"/>
        <v>3,4</v>
      </c>
      <c r="I761" s="3" t="s">
        <v>709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156</v>
      </c>
      <c r="O761" s="3"/>
      <c r="P761" s="9" t="s">
        <v>2117</v>
      </c>
      <c r="Q761" s="3"/>
      <c r="R761" s="3"/>
      <c r="S761" s="6"/>
      <c r="T761" s="6"/>
      <c r="U761" s="6"/>
    </row>
    <row r="762" ht="15.75" customHeight="1">
      <c r="A762" s="4" t="s">
        <v>2125</v>
      </c>
      <c r="B762" s="4" t="s">
        <v>2126</v>
      </c>
      <c r="C762" s="4" t="s">
        <v>39</v>
      </c>
      <c r="D762" s="8" t="s">
        <v>170</v>
      </c>
      <c r="E762" s="3" t="str">
        <f t="shared" si="1"/>
        <v>近年未見</v>
      </c>
      <c r="F762" s="3" t="s">
        <v>1140</v>
      </c>
      <c r="G762" s="6"/>
      <c r="H762" s="3" t="str">
        <f t="shared" si="2"/>
        <v>3,5</v>
      </c>
      <c r="I762" s="3" t="s">
        <v>853</v>
      </c>
      <c r="J762" s="3" t="s">
        <v>42</v>
      </c>
      <c r="K762" s="3">
        <v>2.0</v>
      </c>
      <c r="L762" s="3">
        <v>1.0</v>
      </c>
      <c r="M762" s="9" t="s">
        <v>236</v>
      </c>
      <c r="N762" s="3" t="s">
        <v>130</v>
      </c>
      <c r="O762" s="4" t="s">
        <v>1832</v>
      </c>
      <c r="P762" s="4" t="s">
        <v>1824</v>
      </c>
      <c r="Q762" s="3"/>
      <c r="R762" s="3"/>
      <c r="S762" s="6"/>
      <c r="T762" s="6"/>
      <c r="U762" s="6"/>
    </row>
    <row r="763" ht="15.75" customHeight="1">
      <c r="A763" s="4" t="s">
        <v>2127</v>
      </c>
      <c r="B763" s="4" t="s">
        <v>2128</v>
      </c>
      <c r="C763" s="4" t="s">
        <v>39</v>
      </c>
      <c r="D763" s="6"/>
      <c r="E763" s="3" t="str">
        <f t="shared" si="1"/>
        <v>現存</v>
      </c>
      <c r="F763" s="3" t="s">
        <v>148</v>
      </c>
      <c r="G763" s="6"/>
      <c r="H763" s="3" t="str">
        <f t="shared" si="2"/>
        <v>4,5</v>
      </c>
      <c r="I763" s="3" t="s">
        <v>160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130</v>
      </c>
      <c r="O763" s="4" t="s">
        <v>1838</v>
      </c>
      <c r="P763" s="4" t="s">
        <v>1824</v>
      </c>
      <c r="Q763" s="3"/>
      <c r="R763" s="3"/>
      <c r="S763" s="6"/>
      <c r="T763" s="6"/>
      <c r="U763" s="6"/>
    </row>
    <row r="764" ht="15.75" customHeight="1">
      <c r="A764" s="4" t="s">
        <v>2129</v>
      </c>
      <c r="B764" s="4" t="s">
        <v>2130</v>
      </c>
      <c r="C764" s="4" t="s">
        <v>39</v>
      </c>
      <c r="D764" s="8" t="s">
        <v>170</v>
      </c>
      <c r="E764" s="3" t="str">
        <f t="shared" si="1"/>
        <v>近年未見</v>
      </c>
      <c r="F764" s="3" t="s">
        <v>156</v>
      </c>
      <c r="G764" s="6"/>
      <c r="H764" s="3" t="str">
        <f t="shared" si="2"/>
        <v>4</v>
      </c>
      <c r="I764" s="3" t="s">
        <v>563</v>
      </c>
      <c r="J764" s="3" t="s">
        <v>42</v>
      </c>
      <c r="K764" s="3">
        <v>1.0</v>
      </c>
      <c r="L764" s="3">
        <v>1.0</v>
      </c>
      <c r="M764" s="9" t="s">
        <v>236</v>
      </c>
      <c r="N764" s="3" t="s">
        <v>130</v>
      </c>
      <c r="O764" s="4" t="s">
        <v>1832</v>
      </c>
      <c r="P764" s="4" t="s">
        <v>1824</v>
      </c>
      <c r="Q764" s="3"/>
      <c r="R764" s="3"/>
      <c r="S764" s="6"/>
      <c r="T764" s="6"/>
      <c r="U764" s="6"/>
    </row>
    <row r="765" ht="15.75" customHeight="1">
      <c r="A765" s="4" t="s">
        <v>2131</v>
      </c>
      <c r="B765" s="4" t="s">
        <v>2132</v>
      </c>
      <c r="C765" s="4" t="s">
        <v>39</v>
      </c>
      <c r="D765" s="8" t="s">
        <v>170</v>
      </c>
      <c r="E765" s="3" t="str">
        <f t="shared" si="1"/>
        <v>近年未見</v>
      </c>
      <c r="F765" s="3" t="s">
        <v>156</v>
      </c>
      <c r="G765" s="6"/>
      <c r="H765" s="3" t="str">
        <f t="shared" si="2"/>
        <v>4</v>
      </c>
      <c r="I765" s="3" t="s">
        <v>563</v>
      </c>
      <c r="J765" s="3" t="s">
        <v>42</v>
      </c>
      <c r="K765" s="3">
        <v>1.0</v>
      </c>
      <c r="L765" s="3">
        <v>1.0</v>
      </c>
      <c r="M765" s="9" t="s">
        <v>236</v>
      </c>
      <c r="N765" s="3" t="s">
        <v>130</v>
      </c>
      <c r="O765" s="4" t="s">
        <v>1832</v>
      </c>
      <c r="P765" s="4" t="s">
        <v>1824</v>
      </c>
      <c r="Q765" s="3"/>
      <c r="R765" s="3"/>
      <c r="S765" s="6"/>
      <c r="T765" s="6"/>
      <c r="U765" s="6"/>
    </row>
    <row r="766" ht="15.75" customHeight="1">
      <c r="A766" s="4" t="s">
        <v>2133</v>
      </c>
      <c r="B766" s="4" t="s">
        <v>2134</v>
      </c>
      <c r="C766" s="4" t="s">
        <v>39</v>
      </c>
      <c r="D766" s="6"/>
      <c r="E766" s="3" t="str">
        <f t="shared" si="1"/>
        <v>現存</v>
      </c>
      <c r="F766" s="3" t="s">
        <v>156</v>
      </c>
      <c r="G766" s="6"/>
      <c r="H766" s="3" t="str">
        <f t="shared" si="2"/>
        <v>4</v>
      </c>
      <c r="I766" s="3" t="s">
        <v>563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130</v>
      </c>
      <c r="O766" s="4" t="s">
        <v>1832</v>
      </c>
      <c r="P766" s="4" t="s">
        <v>1824</v>
      </c>
      <c r="Q766" s="3"/>
      <c r="R766" s="3"/>
      <c r="S766" s="6"/>
      <c r="T766" s="6"/>
      <c r="U766" s="6"/>
    </row>
    <row r="767" ht="15.75" customHeight="1">
      <c r="A767" s="4" t="s">
        <v>2135</v>
      </c>
      <c r="B767" s="4" t="s">
        <v>2136</v>
      </c>
      <c r="C767" s="4" t="s">
        <v>39</v>
      </c>
      <c r="D767" s="6"/>
      <c r="E767" s="3" t="str">
        <f t="shared" si="1"/>
        <v>現存</v>
      </c>
      <c r="F767" s="3" t="s">
        <v>2137</v>
      </c>
      <c r="G767" s="6"/>
      <c r="H767" s="3" t="str">
        <f t="shared" si="2"/>
        <v>4,5,7</v>
      </c>
      <c r="I767" s="3" t="s">
        <v>149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130</v>
      </c>
      <c r="O767" s="3"/>
      <c r="P767" s="9" t="s">
        <v>1821</v>
      </c>
      <c r="Q767" s="3"/>
      <c r="R767" s="3"/>
      <c r="S767" s="6"/>
      <c r="T767" s="6"/>
      <c r="U767" s="6"/>
    </row>
    <row r="768" ht="15.75" customHeight="1">
      <c r="A768" s="4" t="s">
        <v>2138</v>
      </c>
      <c r="B768" s="4" t="s">
        <v>2139</v>
      </c>
      <c r="C768" s="4" t="s">
        <v>39</v>
      </c>
      <c r="D768" s="6"/>
      <c r="E768" s="3" t="str">
        <f t="shared" si="1"/>
        <v>現存</v>
      </c>
      <c r="F768" s="3" t="s">
        <v>156</v>
      </c>
      <c r="G768" s="6"/>
      <c r="H768" s="3" t="str">
        <f t="shared" si="2"/>
        <v>4</v>
      </c>
      <c r="I768" s="3" t="s">
        <v>2140</v>
      </c>
      <c r="J768" s="3" t="s">
        <v>181</v>
      </c>
      <c r="K768" s="3">
        <v>1.0</v>
      </c>
      <c r="L768" s="3">
        <v>1.0</v>
      </c>
      <c r="M768" s="4" t="s">
        <v>43</v>
      </c>
      <c r="N768" s="3" t="s">
        <v>130</v>
      </c>
      <c r="O768" s="9" t="s">
        <v>1558</v>
      </c>
      <c r="P768" s="4" t="s">
        <v>1824</v>
      </c>
      <c r="Q768" s="3"/>
      <c r="R768" s="3"/>
      <c r="S768" s="6"/>
      <c r="T768" s="6"/>
      <c r="U768" s="6"/>
    </row>
    <row r="769" ht="15.75" customHeight="1">
      <c r="A769" s="4" t="s">
        <v>2141</v>
      </c>
      <c r="B769" s="4" t="s">
        <v>2142</v>
      </c>
      <c r="C769" s="4" t="s">
        <v>39</v>
      </c>
      <c r="D769" s="6"/>
      <c r="E769" s="3" t="str">
        <f t="shared" si="1"/>
        <v>現存</v>
      </c>
      <c r="F769" s="3" t="s">
        <v>1543</v>
      </c>
      <c r="G769" s="6"/>
      <c r="H769" s="3" t="str">
        <f t="shared" si="2"/>
        <v>4,5,6,7</v>
      </c>
      <c r="I769" s="3" t="s">
        <v>444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548</v>
      </c>
      <c r="Q769" s="3"/>
      <c r="R769" s="3"/>
      <c r="S769" s="6"/>
      <c r="T769" s="6"/>
      <c r="U769" s="6"/>
    </row>
    <row r="770" ht="15.75" customHeight="1">
      <c r="A770" s="4" t="s">
        <v>2143</v>
      </c>
      <c r="B770" s="4" t="s">
        <v>2144</v>
      </c>
      <c r="C770" s="4" t="s">
        <v>39</v>
      </c>
      <c r="D770" s="6"/>
      <c r="E770" s="3" t="str">
        <f t="shared" si="1"/>
        <v>現存</v>
      </c>
      <c r="F770" s="3" t="s">
        <v>566</v>
      </c>
      <c r="G770" s="6"/>
      <c r="H770" s="3" t="str">
        <f t="shared" si="2"/>
        <v>4,8</v>
      </c>
      <c r="I770" s="3" t="s">
        <v>1930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130</v>
      </c>
      <c r="O770" s="4" t="s">
        <v>1832</v>
      </c>
      <c r="P770" s="4" t="s">
        <v>1824</v>
      </c>
      <c r="Q770" s="3"/>
      <c r="R770" s="3"/>
      <c r="S770" s="6"/>
      <c r="T770" s="6"/>
      <c r="U770" s="6"/>
    </row>
    <row r="771" ht="15.75" customHeight="1">
      <c r="A771" s="4" t="s">
        <v>2145</v>
      </c>
      <c r="B771" s="4" t="s">
        <v>2146</v>
      </c>
      <c r="C771" s="4" t="s">
        <v>39</v>
      </c>
      <c r="D771" s="8" t="s">
        <v>170</v>
      </c>
      <c r="E771" s="3" t="str">
        <f t="shared" si="1"/>
        <v>近年未見</v>
      </c>
      <c r="F771" s="3" t="s">
        <v>156</v>
      </c>
      <c r="G771" s="6"/>
      <c r="H771" s="3" t="str">
        <f t="shared" si="2"/>
        <v>4</v>
      </c>
      <c r="I771" s="3" t="s">
        <v>563</v>
      </c>
      <c r="J771" s="3" t="s">
        <v>42</v>
      </c>
      <c r="K771" s="3">
        <v>1.0</v>
      </c>
      <c r="L771" s="3">
        <v>1.0</v>
      </c>
      <c r="M771" s="9" t="s">
        <v>236</v>
      </c>
      <c r="N771" s="3" t="s">
        <v>130</v>
      </c>
      <c r="O771" s="4" t="s">
        <v>1838</v>
      </c>
      <c r="P771" s="4" t="s">
        <v>1824</v>
      </c>
      <c r="Q771" s="3"/>
      <c r="R771" s="3"/>
      <c r="S771" s="6"/>
      <c r="T771" s="6"/>
      <c r="U771" s="6"/>
    </row>
    <row r="772" ht="15.75" customHeight="1">
      <c r="A772" s="4" t="s">
        <v>2147</v>
      </c>
      <c r="B772" s="4" t="s">
        <v>2148</v>
      </c>
      <c r="C772" s="4" t="s">
        <v>39</v>
      </c>
      <c r="D772" s="6"/>
      <c r="E772" s="3" t="str">
        <f t="shared" si="1"/>
        <v>現存</v>
      </c>
      <c r="F772" s="3" t="s">
        <v>2149</v>
      </c>
      <c r="G772" s="6"/>
      <c r="H772" s="3" t="str">
        <f t="shared" si="2"/>
        <v>4,8,12</v>
      </c>
      <c r="I772" s="3" t="s">
        <v>601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130</v>
      </c>
      <c r="O772" s="9" t="s">
        <v>1558</v>
      </c>
      <c r="P772" s="4" t="s">
        <v>1824</v>
      </c>
      <c r="Q772" s="3"/>
      <c r="R772" s="3"/>
      <c r="S772" s="6"/>
      <c r="T772" s="6"/>
      <c r="U772" s="6"/>
    </row>
    <row r="773" ht="15.75" customHeight="1">
      <c r="A773" s="4" t="s">
        <v>2150</v>
      </c>
      <c r="B773" s="4" t="s">
        <v>2151</v>
      </c>
      <c r="C773" s="4" t="s">
        <v>39</v>
      </c>
      <c r="D773" s="8" t="s">
        <v>170</v>
      </c>
      <c r="E773" s="3" t="str">
        <f t="shared" si="1"/>
        <v>近年未見</v>
      </c>
      <c r="F773" s="3" t="s">
        <v>156</v>
      </c>
      <c r="G773" s="6"/>
      <c r="H773" s="3" t="str">
        <f t="shared" si="2"/>
        <v>4</v>
      </c>
      <c r="I773" s="3" t="s">
        <v>560</v>
      </c>
      <c r="J773" s="3" t="s">
        <v>42</v>
      </c>
      <c r="K773" s="3">
        <v>1.0</v>
      </c>
      <c r="L773" s="3">
        <v>1.0</v>
      </c>
      <c r="M773" s="9" t="s">
        <v>236</v>
      </c>
      <c r="N773" s="3" t="s">
        <v>130</v>
      </c>
      <c r="O773" s="4" t="s">
        <v>1838</v>
      </c>
      <c r="P773" s="4" t="s">
        <v>1824</v>
      </c>
      <c r="Q773" s="3"/>
      <c r="R773" s="3"/>
      <c r="S773" s="6"/>
      <c r="T773" s="6"/>
      <c r="U773" s="6"/>
    </row>
    <row r="774" ht="15.75" customHeight="1">
      <c r="A774" s="4" t="s">
        <v>2152</v>
      </c>
      <c r="B774" s="4" t="s">
        <v>2153</v>
      </c>
      <c r="C774" s="4" t="s">
        <v>39</v>
      </c>
      <c r="D774" s="8" t="s">
        <v>170</v>
      </c>
      <c r="E774" s="3" t="str">
        <f t="shared" si="1"/>
        <v>近年未見</v>
      </c>
      <c r="F774" s="3" t="s">
        <v>156</v>
      </c>
      <c r="G774" s="6"/>
      <c r="H774" s="3" t="str">
        <f t="shared" si="2"/>
        <v>4</v>
      </c>
      <c r="I774" s="3" t="s">
        <v>726</v>
      </c>
      <c r="J774" s="3" t="s">
        <v>42</v>
      </c>
      <c r="K774" s="3">
        <v>1.0</v>
      </c>
      <c r="L774" s="3">
        <v>1.0</v>
      </c>
      <c r="M774" s="9" t="s">
        <v>236</v>
      </c>
      <c r="N774" s="3" t="s">
        <v>130</v>
      </c>
      <c r="O774" s="4" t="s">
        <v>1832</v>
      </c>
      <c r="P774" s="4" t="s">
        <v>1824</v>
      </c>
      <c r="Q774" s="3"/>
      <c r="R774" s="3"/>
      <c r="S774" s="6"/>
      <c r="T774" s="6"/>
      <c r="U774" s="6"/>
    </row>
    <row r="775" ht="15.75" customHeight="1">
      <c r="A775" s="4" t="s">
        <v>2154</v>
      </c>
      <c r="B775" s="4" t="s">
        <v>2155</v>
      </c>
      <c r="C775" s="4" t="s">
        <v>39</v>
      </c>
      <c r="D775" s="6"/>
      <c r="E775" s="3" t="str">
        <f t="shared" si="1"/>
        <v>現存</v>
      </c>
      <c r="F775" s="3" t="s">
        <v>418</v>
      </c>
      <c r="G775" s="6"/>
      <c r="H775" s="3" t="str">
        <f t="shared" si="2"/>
        <v>4,6</v>
      </c>
      <c r="I775" s="3" t="s">
        <v>447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130</v>
      </c>
      <c r="O775" s="4" t="s">
        <v>1838</v>
      </c>
      <c r="P775" s="4" t="s">
        <v>1824</v>
      </c>
      <c r="Q775" s="3"/>
      <c r="R775" s="3"/>
      <c r="S775" s="6"/>
      <c r="T775" s="6"/>
      <c r="U775" s="6"/>
    </row>
    <row r="776" ht="15.75" customHeight="1">
      <c r="A776" s="4" t="s">
        <v>2156</v>
      </c>
      <c r="B776" s="4" t="s">
        <v>2157</v>
      </c>
      <c r="C776" s="4" t="s">
        <v>39</v>
      </c>
      <c r="D776" s="6"/>
      <c r="E776" s="3" t="str">
        <f t="shared" si="1"/>
        <v>現存</v>
      </c>
      <c r="F776" s="3" t="s">
        <v>425</v>
      </c>
      <c r="G776" s="6"/>
      <c r="H776" s="3" t="str">
        <f t="shared" si="2"/>
        <v>4,5,6</v>
      </c>
      <c r="I776" s="3" t="s">
        <v>857</v>
      </c>
      <c r="J776" s="3" t="s">
        <v>135</v>
      </c>
      <c r="K776" s="3">
        <v>5.0</v>
      </c>
      <c r="L776" s="3">
        <v>1.0</v>
      </c>
      <c r="M776" s="4" t="s">
        <v>43</v>
      </c>
      <c r="N776" s="3" t="s">
        <v>130</v>
      </c>
      <c r="O776" s="9" t="s">
        <v>1558</v>
      </c>
      <c r="P776" s="9" t="s">
        <v>1821</v>
      </c>
      <c r="Q776" s="3"/>
      <c r="R776" s="3"/>
      <c r="S776" s="6"/>
      <c r="T776" s="6"/>
      <c r="U776" s="6"/>
    </row>
    <row r="777" ht="15.75" customHeight="1">
      <c r="A777" s="4" t="s">
        <v>2158</v>
      </c>
      <c r="B777" s="4" t="s">
        <v>2159</v>
      </c>
      <c r="C777" s="4" t="s">
        <v>39</v>
      </c>
      <c r="D777" s="8" t="s">
        <v>170</v>
      </c>
      <c r="E777" s="3" t="str">
        <f t="shared" si="1"/>
        <v>近年未見</v>
      </c>
      <c r="F777" s="3" t="s">
        <v>156</v>
      </c>
      <c r="G777" s="6"/>
      <c r="H777" s="3" t="str">
        <f t="shared" si="2"/>
        <v>4</v>
      </c>
      <c r="I777" s="3" t="s">
        <v>257</v>
      </c>
      <c r="J777" s="3" t="s">
        <v>42</v>
      </c>
      <c r="K777" s="3">
        <v>1.0</v>
      </c>
      <c r="L777" s="3">
        <v>1.0</v>
      </c>
      <c r="M777" s="9" t="s">
        <v>236</v>
      </c>
      <c r="N777" s="3" t="s">
        <v>130</v>
      </c>
      <c r="O777" s="4" t="s">
        <v>1832</v>
      </c>
      <c r="P777" s="4" t="s">
        <v>1824</v>
      </c>
      <c r="Q777" s="3"/>
      <c r="R777" s="3"/>
      <c r="S777" s="6"/>
      <c r="T777" s="6"/>
      <c r="U777" s="6"/>
    </row>
    <row r="778" ht="15.75" customHeight="1">
      <c r="A778" s="4" t="s">
        <v>2160</v>
      </c>
      <c r="B778" s="4" t="s">
        <v>2161</v>
      </c>
      <c r="C778" s="4" t="s">
        <v>39</v>
      </c>
      <c r="D778" s="8" t="s">
        <v>381</v>
      </c>
      <c r="E778" s="3" t="str">
        <f t="shared" si="1"/>
        <v>不收錄</v>
      </c>
      <c r="F778" s="3" t="s">
        <v>148</v>
      </c>
      <c r="G778" s="6"/>
      <c r="H778" s="3" t="str">
        <f t="shared" si="2"/>
        <v>4,5</v>
      </c>
      <c r="I778" s="3" t="s">
        <v>139</v>
      </c>
      <c r="J778" s="3" t="s">
        <v>65</v>
      </c>
      <c r="K778" s="3">
        <v>3.0</v>
      </c>
      <c r="L778" s="3">
        <v>1.0</v>
      </c>
      <c r="M778" s="9" t="s">
        <v>236</v>
      </c>
      <c r="N778" s="3" t="s">
        <v>130</v>
      </c>
      <c r="O778" s="9" t="s">
        <v>1558</v>
      </c>
      <c r="P778" s="9" t="s">
        <v>1558</v>
      </c>
      <c r="Q778" s="3"/>
      <c r="R778" s="3"/>
      <c r="S778" s="6"/>
      <c r="T778" s="6"/>
      <c r="U778" s="6"/>
    </row>
    <row r="779" ht="15.75" customHeight="1">
      <c r="A779" s="4" t="s">
        <v>2162</v>
      </c>
      <c r="B779" s="4" t="s">
        <v>2163</v>
      </c>
      <c r="C779" s="4" t="s">
        <v>39</v>
      </c>
      <c r="D779" s="6"/>
      <c r="E779" s="3" t="str">
        <f t="shared" si="1"/>
        <v>現存</v>
      </c>
      <c r="F779" s="3" t="s">
        <v>2164</v>
      </c>
      <c r="G779" s="6"/>
      <c r="H779" s="3" t="str">
        <f t="shared" si="2"/>
        <v>4,5,6,9</v>
      </c>
      <c r="I779" s="3" t="s">
        <v>447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130</v>
      </c>
      <c r="O779" s="4" t="s">
        <v>1838</v>
      </c>
      <c r="P779" s="4" t="s">
        <v>1824</v>
      </c>
      <c r="Q779" s="3"/>
      <c r="R779" s="3"/>
      <c r="S779" s="6"/>
      <c r="T779" s="6"/>
      <c r="U779" s="6"/>
    </row>
    <row r="780" ht="15.75" customHeight="1">
      <c r="A780" s="4" t="s">
        <v>2165</v>
      </c>
      <c r="B780" s="4" t="s">
        <v>2166</v>
      </c>
      <c r="C780" s="4" t="s">
        <v>39</v>
      </c>
      <c r="D780" s="6"/>
      <c r="E780" s="3" t="str">
        <f t="shared" si="1"/>
        <v>現存</v>
      </c>
      <c r="F780" s="3" t="s">
        <v>2167</v>
      </c>
      <c r="G780" s="6"/>
      <c r="H780" s="3" t="str">
        <f t="shared" si="2"/>
        <v>4,5,7,8,10</v>
      </c>
      <c r="I780" s="3" t="s">
        <v>660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130</v>
      </c>
      <c r="O780" s="9" t="s">
        <v>1558</v>
      </c>
      <c r="P780" s="9" t="s">
        <v>2117</v>
      </c>
      <c r="Q780" s="3"/>
      <c r="R780" s="3"/>
      <c r="S780" s="6"/>
      <c r="T780" s="6"/>
      <c r="U780" s="6"/>
    </row>
    <row r="781" ht="15.75" customHeight="1">
      <c r="A781" s="4" t="s">
        <v>2168</v>
      </c>
      <c r="B781" s="4" t="s">
        <v>2169</v>
      </c>
      <c r="C781" s="4" t="s">
        <v>39</v>
      </c>
      <c r="D781" s="6"/>
      <c r="E781" s="3" t="str">
        <f t="shared" si="1"/>
        <v>現存</v>
      </c>
      <c r="F781" s="3" t="s">
        <v>156</v>
      </c>
      <c r="G781" s="6"/>
      <c r="H781" s="3" t="str">
        <f t="shared" si="2"/>
        <v>4</v>
      </c>
      <c r="I781" s="3" t="s">
        <v>139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130</v>
      </c>
      <c r="O781" s="9" t="s">
        <v>1558</v>
      </c>
      <c r="P781" s="9" t="s">
        <v>1821</v>
      </c>
      <c r="Q781" s="3"/>
      <c r="R781" s="3"/>
      <c r="S781" s="6"/>
      <c r="T781" s="6"/>
      <c r="U781" s="6"/>
    </row>
    <row r="782" ht="15.75" customHeight="1">
      <c r="A782" s="4" t="s">
        <v>2170</v>
      </c>
      <c r="B782" s="4" t="s">
        <v>2171</v>
      </c>
      <c r="C782" s="4" t="s">
        <v>39</v>
      </c>
      <c r="D782" s="6"/>
      <c r="E782" s="3" t="str">
        <f t="shared" si="1"/>
        <v>現存</v>
      </c>
      <c r="F782" s="3" t="s">
        <v>148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130</v>
      </c>
      <c r="O782" s="9" t="s">
        <v>1558</v>
      </c>
      <c r="P782" s="9" t="s">
        <v>1821</v>
      </c>
      <c r="Q782" s="3"/>
      <c r="R782" s="3"/>
      <c r="S782" s="6"/>
      <c r="T782" s="6"/>
      <c r="U782" s="6"/>
    </row>
    <row r="783" ht="15.75" customHeight="1">
      <c r="A783" s="4" t="s">
        <v>2172</v>
      </c>
      <c r="B783" s="4" t="s">
        <v>2173</v>
      </c>
      <c r="C783" s="4" t="s">
        <v>39</v>
      </c>
      <c r="D783" s="6"/>
      <c r="E783" s="3" t="str">
        <f t="shared" si="1"/>
        <v>現存</v>
      </c>
      <c r="F783" s="3" t="s">
        <v>2174</v>
      </c>
      <c r="G783" s="6"/>
      <c r="H783" s="3" t="str">
        <f t="shared" si="2"/>
        <v>4,6,9</v>
      </c>
      <c r="I783" s="3" t="s">
        <v>364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156</v>
      </c>
      <c r="O783" s="3"/>
      <c r="P783" s="9" t="s">
        <v>2175</v>
      </c>
      <c r="Q783" s="3"/>
      <c r="R783" s="3"/>
      <c r="S783" s="6"/>
      <c r="T783" s="6"/>
      <c r="U783" s="6"/>
    </row>
    <row r="784" ht="15.75" customHeight="1">
      <c r="A784" s="4" t="s">
        <v>2176</v>
      </c>
      <c r="B784" s="4" t="s">
        <v>2177</v>
      </c>
      <c r="C784" s="4" t="s">
        <v>170</v>
      </c>
      <c r="D784" s="6"/>
      <c r="E784" s="3" t="str">
        <f t="shared" si="1"/>
        <v>近年未見</v>
      </c>
      <c r="F784" s="3" t="s">
        <v>156</v>
      </c>
      <c r="G784" s="6"/>
      <c r="H784" s="3" t="str">
        <f t="shared" si="2"/>
        <v>4</v>
      </c>
      <c r="I784" s="3" t="s">
        <v>2178</v>
      </c>
      <c r="J784" s="3" t="s">
        <v>42</v>
      </c>
      <c r="K784" s="3">
        <v>1.0</v>
      </c>
      <c r="L784" s="3">
        <v>0.0</v>
      </c>
      <c r="M784" s="4" t="s">
        <v>236</v>
      </c>
      <c r="N784" s="3"/>
      <c r="O784" s="4" t="s">
        <v>1832</v>
      </c>
      <c r="P784" s="4" t="s">
        <v>1824</v>
      </c>
      <c r="Q784" s="3"/>
      <c r="R784" s="3"/>
      <c r="S784" s="6"/>
      <c r="T784" s="6"/>
      <c r="U784" s="6"/>
    </row>
    <row r="785" ht="15.75" customHeight="1">
      <c r="A785" s="4" t="s">
        <v>2179</v>
      </c>
      <c r="B785" s="4" t="s">
        <v>2180</v>
      </c>
      <c r="C785" s="4" t="s">
        <v>39</v>
      </c>
      <c r="D785" s="6"/>
      <c r="E785" s="3" t="str">
        <f t="shared" si="1"/>
        <v>現存</v>
      </c>
      <c r="F785" s="3" t="s">
        <v>566</v>
      </c>
      <c r="G785" s="6"/>
      <c r="H785" s="3" t="str">
        <f t="shared" si="2"/>
        <v>4,8</v>
      </c>
      <c r="I785" s="3" t="s">
        <v>1930</v>
      </c>
      <c r="J785" s="3" t="s">
        <v>135</v>
      </c>
      <c r="K785" s="3">
        <v>3.0</v>
      </c>
      <c r="L785" s="3">
        <v>1.0</v>
      </c>
      <c r="M785" s="4" t="s">
        <v>43</v>
      </c>
      <c r="N785" s="3" t="s">
        <v>130</v>
      </c>
      <c r="O785" s="4" t="s">
        <v>1832</v>
      </c>
      <c r="P785" s="4" t="s">
        <v>1824</v>
      </c>
      <c r="Q785" s="3"/>
      <c r="R785" s="3"/>
      <c r="S785" s="6"/>
      <c r="T785" s="6"/>
      <c r="U785" s="6"/>
    </row>
    <row r="786" ht="15.75" customHeight="1">
      <c r="A786" s="4" t="s">
        <v>2181</v>
      </c>
      <c r="B786" s="4" t="s">
        <v>2182</v>
      </c>
      <c r="C786" s="4" t="s">
        <v>39</v>
      </c>
      <c r="D786" s="8" t="s">
        <v>170</v>
      </c>
      <c r="E786" s="3" t="str">
        <f t="shared" si="1"/>
        <v>近年未見</v>
      </c>
      <c r="F786" s="3" t="s">
        <v>450</v>
      </c>
      <c r="G786" s="6"/>
      <c r="H786" s="3" t="str">
        <f t="shared" si="2"/>
        <v>5</v>
      </c>
      <c r="I786" s="3" t="s">
        <v>276</v>
      </c>
      <c r="J786" s="3" t="s">
        <v>42</v>
      </c>
      <c r="K786" s="3">
        <v>1.0</v>
      </c>
      <c r="L786" s="3">
        <v>1.0</v>
      </c>
      <c r="M786" s="9" t="s">
        <v>236</v>
      </c>
      <c r="N786" s="3" t="s">
        <v>130</v>
      </c>
      <c r="O786" s="4" t="s">
        <v>1832</v>
      </c>
      <c r="P786" s="4" t="s">
        <v>1824</v>
      </c>
      <c r="Q786" s="3"/>
      <c r="R786" s="3"/>
      <c r="S786" s="6"/>
      <c r="T786" s="6"/>
      <c r="U786" s="6"/>
    </row>
    <row r="787" ht="15.75" customHeight="1">
      <c r="A787" s="4" t="s">
        <v>2183</v>
      </c>
      <c r="B787" s="4" t="s">
        <v>2184</v>
      </c>
      <c r="C787" s="4" t="s">
        <v>39</v>
      </c>
      <c r="D787" s="6"/>
      <c r="E787" s="3" t="str">
        <f t="shared" si="1"/>
        <v>現存</v>
      </c>
      <c r="F787" s="3" t="s">
        <v>450</v>
      </c>
      <c r="G787" s="6"/>
      <c r="H787" s="3" t="str">
        <f t="shared" si="2"/>
        <v>5</v>
      </c>
      <c r="I787" s="3" t="s">
        <v>2185</v>
      </c>
      <c r="J787" s="3" t="s">
        <v>181</v>
      </c>
      <c r="K787" s="3">
        <v>1.0</v>
      </c>
      <c r="L787" s="3">
        <v>1.0</v>
      </c>
      <c r="M787" s="4" t="s">
        <v>43</v>
      </c>
      <c r="N787" s="3" t="s">
        <v>130</v>
      </c>
      <c r="O787" s="4" t="s">
        <v>1838</v>
      </c>
      <c r="P787" s="4" t="s">
        <v>1824</v>
      </c>
      <c r="Q787" s="3"/>
      <c r="R787" s="3"/>
      <c r="S787" s="6"/>
      <c r="T787" s="6"/>
      <c r="U787" s="6"/>
    </row>
    <row r="788" ht="15.75" customHeight="1">
      <c r="A788" s="4" t="s">
        <v>2186</v>
      </c>
      <c r="B788" s="4" t="s">
        <v>2187</v>
      </c>
      <c r="C788" s="4" t="s">
        <v>39</v>
      </c>
      <c r="D788" s="6"/>
      <c r="E788" s="3" t="str">
        <f t="shared" si="1"/>
        <v>現存</v>
      </c>
      <c r="F788" s="3" t="s">
        <v>1613</v>
      </c>
      <c r="G788" s="6"/>
      <c r="H788" s="3" t="str">
        <f t="shared" si="2"/>
        <v>5,8</v>
      </c>
      <c r="I788" s="3" t="s">
        <v>149</v>
      </c>
      <c r="J788" s="3" t="s">
        <v>125</v>
      </c>
      <c r="K788" s="3">
        <v>3.0</v>
      </c>
      <c r="L788" s="3">
        <v>1.0</v>
      </c>
      <c r="M788" s="4" t="s">
        <v>43</v>
      </c>
      <c r="N788" s="3" t="s">
        <v>130</v>
      </c>
      <c r="O788" s="4" t="s">
        <v>1838</v>
      </c>
      <c r="P788" s="4" t="s">
        <v>1824</v>
      </c>
      <c r="Q788" s="3"/>
      <c r="R788" s="3"/>
      <c r="S788" s="6"/>
      <c r="T788" s="6"/>
      <c r="U788" s="6"/>
    </row>
    <row r="789" ht="15.75" customHeight="1">
      <c r="A789" s="4" t="s">
        <v>2188</v>
      </c>
      <c r="B789" s="4" t="s">
        <v>2189</v>
      </c>
      <c r="C789" s="4" t="s">
        <v>39</v>
      </c>
      <c r="D789" s="6"/>
      <c r="E789" s="3" t="str">
        <f t="shared" si="1"/>
        <v>現存</v>
      </c>
      <c r="F789" s="3" t="s">
        <v>1613</v>
      </c>
      <c r="G789" s="6"/>
      <c r="H789" s="3" t="str">
        <f t="shared" si="2"/>
        <v>5,8</v>
      </c>
      <c r="I789" s="3" t="s">
        <v>1930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130</v>
      </c>
      <c r="O789" s="4" t="s">
        <v>1832</v>
      </c>
      <c r="P789" s="4" t="s">
        <v>1824</v>
      </c>
      <c r="Q789" s="3"/>
      <c r="R789" s="3"/>
      <c r="S789" s="6"/>
      <c r="T789" s="6"/>
      <c r="U789" s="6"/>
    </row>
    <row r="790" ht="15.75" customHeight="1">
      <c r="A790" s="4" t="s">
        <v>2190</v>
      </c>
      <c r="B790" s="4" t="s">
        <v>2191</v>
      </c>
      <c r="C790" s="4" t="s">
        <v>39</v>
      </c>
      <c r="D790" s="6"/>
      <c r="E790" s="3" t="str">
        <f t="shared" si="1"/>
        <v>現存</v>
      </c>
      <c r="F790" s="3" t="s">
        <v>443</v>
      </c>
      <c r="G790" s="6"/>
      <c r="H790" s="3" t="str">
        <f t="shared" si="2"/>
        <v>5,6,7</v>
      </c>
      <c r="I790" s="3" t="s">
        <v>738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130</v>
      </c>
      <c r="O790" s="4" t="s">
        <v>1832</v>
      </c>
      <c r="P790" s="4" t="s">
        <v>1824</v>
      </c>
      <c r="Q790" s="3"/>
      <c r="R790" s="3"/>
      <c r="S790" s="6"/>
      <c r="T790" s="6"/>
      <c r="U790" s="6"/>
    </row>
    <row r="791" ht="15.75" customHeight="1">
      <c r="A791" s="4" t="s">
        <v>2192</v>
      </c>
      <c r="B791" s="4" t="s">
        <v>2193</v>
      </c>
      <c r="C791" s="4" t="s">
        <v>39</v>
      </c>
      <c r="D791" s="6"/>
      <c r="E791" s="3" t="str">
        <f t="shared" si="1"/>
        <v>現存</v>
      </c>
      <c r="F791" s="3" t="s">
        <v>450</v>
      </c>
      <c r="G791" s="6"/>
      <c r="H791" s="3" t="str">
        <f t="shared" si="2"/>
        <v>5</v>
      </c>
      <c r="I791" s="3" t="s">
        <v>145</v>
      </c>
      <c r="J791" s="3" t="s">
        <v>135</v>
      </c>
      <c r="K791" s="3">
        <v>2.0</v>
      </c>
      <c r="L791" s="3">
        <v>1.0</v>
      </c>
      <c r="M791" s="4" t="s">
        <v>43</v>
      </c>
      <c r="N791" s="3" t="s">
        <v>130</v>
      </c>
      <c r="O791" s="4" t="s">
        <v>1838</v>
      </c>
      <c r="P791" s="4" t="s">
        <v>1824</v>
      </c>
      <c r="Q791" s="3"/>
      <c r="R791" s="3"/>
      <c r="S791" s="6"/>
      <c r="T791" s="6"/>
      <c r="U791" s="6"/>
    </row>
    <row r="792" ht="15.75" customHeight="1">
      <c r="A792" s="4" t="s">
        <v>2194</v>
      </c>
      <c r="B792" s="4" t="s">
        <v>2195</v>
      </c>
      <c r="C792" s="4" t="s">
        <v>39</v>
      </c>
      <c r="D792" s="6"/>
      <c r="E792" s="3" t="str">
        <f t="shared" si="1"/>
        <v>現存</v>
      </c>
      <c r="F792" s="3" t="s">
        <v>171</v>
      </c>
      <c r="G792" s="6"/>
      <c r="H792" s="3" t="str">
        <f t="shared" si="2"/>
        <v>5,6</v>
      </c>
      <c r="I792" s="3" t="s">
        <v>444</v>
      </c>
      <c r="J792" s="3" t="s">
        <v>135</v>
      </c>
      <c r="K792" s="3">
        <v>2.0</v>
      </c>
      <c r="L792" s="3">
        <v>1.0</v>
      </c>
      <c r="M792" s="4" t="s">
        <v>43</v>
      </c>
      <c r="N792" s="3" t="s">
        <v>130</v>
      </c>
      <c r="O792" s="9" t="s">
        <v>1558</v>
      </c>
      <c r="P792" s="9" t="s">
        <v>1821</v>
      </c>
      <c r="Q792" s="3"/>
      <c r="R792" s="3"/>
      <c r="S792" s="6"/>
      <c r="T792" s="6"/>
      <c r="U792" s="6"/>
    </row>
    <row r="793" ht="15.75" customHeight="1">
      <c r="A793" s="4" t="s">
        <v>2196</v>
      </c>
      <c r="B793" s="4" t="s">
        <v>2197</v>
      </c>
      <c r="C793" s="4" t="s">
        <v>39</v>
      </c>
      <c r="D793" s="6"/>
      <c r="E793" s="3" t="str">
        <f t="shared" si="1"/>
        <v>現存</v>
      </c>
      <c r="F793" s="3" t="s">
        <v>450</v>
      </c>
      <c r="G793" s="6"/>
      <c r="H793" s="3" t="str">
        <f t="shared" si="2"/>
        <v>5</v>
      </c>
      <c r="I793" s="3" t="s">
        <v>149</v>
      </c>
      <c r="J793" s="3" t="s">
        <v>135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2198</v>
      </c>
      <c r="Q793" s="3"/>
      <c r="R793" s="3"/>
      <c r="S793" s="6"/>
      <c r="T793" s="6"/>
      <c r="U793" s="8" t="s">
        <v>2199</v>
      </c>
    </row>
    <row r="794" ht="15.75" customHeight="1">
      <c r="A794" s="4" t="s">
        <v>2200</v>
      </c>
      <c r="B794" s="4" t="s">
        <v>2201</v>
      </c>
      <c r="C794" s="4" t="s">
        <v>39</v>
      </c>
      <c r="D794" s="6"/>
      <c r="E794" s="3" t="str">
        <f t="shared" si="1"/>
        <v>現存</v>
      </c>
      <c r="F794" s="3" t="s">
        <v>450</v>
      </c>
      <c r="G794" s="6"/>
      <c r="H794" s="3" t="str">
        <f t="shared" si="2"/>
        <v>5</v>
      </c>
      <c r="I794" s="3" t="s">
        <v>1758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130</v>
      </c>
      <c r="O794" s="4" t="s">
        <v>1838</v>
      </c>
      <c r="P794" s="4" t="s">
        <v>1824</v>
      </c>
      <c r="Q794" s="3"/>
      <c r="R794" s="3"/>
      <c r="S794" s="6"/>
      <c r="T794" s="6"/>
      <c r="U794" s="6"/>
    </row>
    <row r="795" ht="15.75" customHeight="1">
      <c r="A795" s="4" t="s">
        <v>2202</v>
      </c>
      <c r="B795" s="4" t="s">
        <v>2203</v>
      </c>
      <c r="C795" s="4" t="s">
        <v>39</v>
      </c>
      <c r="D795" s="6"/>
      <c r="E795" s="3" t="str">
        <f t="shared" si="1"/>
        <v>現存</v>
      </c>
      <c r="F795" s="3" t="s">
        <v>450</v>
      </c>
      <c r="G795" s="6"/>
      <c r="H795" s="3" t="str">
        <f t="shared" si="2"/>
        <v>5</v>
      </c>
      <c r="I795" s="3" t="s">
        <v>145</v>
      </c>
      <c r="J795" s="3" t="s">
        <v>135</v>
      </c>
      <c r="K795" s="3">
        <v>2.0</v>
      </c>
      <c r="L795" s="3">
        <v>1.0</v>
      </c>
      <c r="M795" s="4" t="s">
        <v>43</v>
      </c>
      <c r="N795" s="3" t="s">
        <v>130</v>
      </c>
      <c r="O795" s="4" t="s">
        <v>1838</v>
      </c>
      <c r="P795" s="4" t="s">
        <v>1824</v>
      </c>
      <c r="Q795" s="3"/>
      <c r="R795" s="3"/>
      <c r="S795" s="6"/>
      <c r="T795" s="6"/>
      <c r="U795" s="6"/>
    </row>
    <row r="796" ht="15.75" customHeight="1">
      <c r="A796" s="4" t="s">
        <v>2204</v>
      </c>
      <c r="B796" s="4" t="s">
        <v>2205</v>
      </c>
      <c r="C796" s="4" t="s">
        <v>39</v>
      </c>
      <c r="D796" s="6"/>
      <c r="E796" s="3" t="str">
        <f t="shared" si="1"/>
        <v>現存</v>
      </c>
      <c r="F796" s="3" t="s">
        <v>2206</v>
      </c>
      <c r="G796" s="6"/>
      <c r="H796" s="3" t="str">
        <f t="shared" si="2"/>
        <v>5,7,9</v>
      </c>
      <c r="I796" s="3" t="s">
        <v>502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130</v>
      </c>
      <c r="O796" s="4" t="s">
        <v>1832</v>
      </c>
      <c r="P796" s="4" t="s">
        <v>1824</v>
      </c>
      <c r="Q796" s="3"/>
      <c r="R796" s="3"/>
      <c r="S796" s="6"/>
      <c r="T796" s="6"/>
      <c r="U796" s="6"/>
    </row>
    <row r="797" ht="15.75" customHeight="1">
      <c r="A797" s="4" t="s">
        <v>2207</v>
      </c>
      <c r="B797" s="4" t="s">
        <v>2208</v>
      </c>
      <c r="C797" s="4" t="s">
        <v>39</v>
      </c>
      <c r="D797" s="6"/>
      <c r="E797" s="3" t="str">
        <f t="shared" si="1"/>
        <v>現存</v>
      </c>
      <c r="F797" s="3" t="s">
        <v>287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130</v>
      </c>
      <c r="O797" s="4" t="s">
        <v>1838</v>
      </c>
      <c r="P797" s="4" t="s">
        <v>1824</v>
      </c>
      <c r="Q797" s="3"/>
      <c r="R797" s="3"/>
      <c r="S797" s="6"/>
      <c r="T797" s="6"/>
      <c r="U797" s="6"/>
    </row>
    <row r="798" ht="15.75" customHeight="1">
      <c r="A798" s="4" t="s">
        <v>2209</v>
      </c>
      <c r="B798" s="4" t="s">
        <v>2210</v>
      </c>
      <c r="C798" s="4" t="s">
        <v>39</v>
      </c>
      <c r="D798" s="6"/>
      <c r="E798" s="3" t="str">
        <f t="shared" si="1"/>
        <v>現存</v>
      </c>
      <c r="F798" s="3" t="s">
        <v>2211</v>
      </c>
      <c r="G798" s="6"/>
      <c r="H798" s="3" t="str">
        <f t="shared" si="2"/>
        <v>5,7</v>
      </c>
      <c r="I798" s="3" t="s">
        <v>112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130</v>
      </c>
      <c r="O798" s="4" t="s">
        <v>1832</v>
      </c>
      <c r="P798" s="4" t="s">
        <v>1824</v>
      </c>
      <c r="Q798" s="3"/>
      <c r="R798" s="3"/>
      <c r="S798" s="6"/>
      <c r="T798" s="6"/>
      <c r="U798" s="6"/>
    </row>
    <row r="799" ht="15.75" customHeight="1">
      <c r="A799" s="4" t="s">
        <v>2212</v>
      </c>
      <c r="B799" s="4" t="s">
        <v>2213</v>
      </c>
      <c r="C799" s="4" t="s">
        <v>39</v>
      </c>
      <c r="D799" s="6"/>
      <c r="E799" s="3" t="str">
        <f t="shared" si="1"/>
        <v>現存</v>
      </c>
      <c r="F799" s="3" t="s">
        <v>469</v>
      </c>
      <c r="G799" s="6"/>
      <c r="H799" s="3" t="str">
        <f t="shared" si="2"/>
        <v>5,6,12</v>
      </c>
      <c r="I799" s="3" t="s">
        <v>857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130</v>
      </c>
      <c r="O799" s="4" t="s">
        <v>1832</v>
      </c>
      <c r="P799" s="4" t="s">
        <v>1824</v>
      </c>
      <c r="Q799" s="3"/>
      <c r="R799" s="3"/>
      <c r="S799" s="6"/>
      <c r="T799" s="6"/>
      <c r="U799" s="6"/>
    </row>
    <row r="800" ht="15.75" customHeight="1">
      <c r="A800" s="4" t="s">
        <v>2214</v>
      </c>
      <c r="B800" s="4" t="s">
        <v>2215</v>
      </c>
      <c r="C800" s="4" t="s">
        <v>39</v>
      </c>
      <c r="D800" s="6"/>
      <c r="E800" s="3" t="str">
        <f t="shared" si="1"/>
        <v>現存</v>
      </c>
      <c r="F800" s="3" t="s">
        <v>171</v>
      </c>
      <c r="G800" s="6"/>
      <c r="H800" s="3" t="str">
        <f t="shared" si="2"/>
        <v>5,6</v>
      </c>
      <c r="I800" s="3" t="s">
        <v>430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130</v>
      </c>
      <c r="O800" s="4" t="s">
        <v>1832</v>
      </c>
      <c r="P800" s="4" t="s">
        <v>1824</v>
      </c>
      <c r="Q800" s="3"/>
      <c r="R800" s="3"/>
      <c r="S800" s="6"/>
      <c r="T800" s="6"/>
      <c r="U800" s="6"/>
    </row>
    <row r="801" ht="15.75" customHeight="1">
      <c r="A801" s="4" t="s">
        <v>2216</v>
      </c>
      <c r="B801" s="4" t="s">
        <v>2217</v>
      </c>
      <c r="C801" s="4" t="s">
        <v>39</v>
      </c>
      <c r="D801" s="6"/>
      <c r="E801" s="3" t="str">
        <f t="shared" si="1"/>
        <v>現存</v>
      </c>
      <c r="F801" s="3" t="s">
        <v>171</v>
      </c>
      <c r="G801" s="6"/>
      <c r="H801" s="3" t="str">
        <f t="shared" si="2"/>
        <v>5,6</v>
      </c>
      <c r="I801" s="3" t="s">
        <v>447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130</v>
      </c>
      <c r="O801" s="4" t="s">
        <v>1838</v>
      </c>
      <c r="P801" s="4" t="s">
        <v>1824</v>
      </c>
      <c r="Q801" s="3"/>
      <c r="R801" s="3"/>
      <c r="S801" s="6"/>
      <c r="T801" s="6"/>
      <c r="U801" s="6"/>
    </row>
    <row r="802" ht="15.75" customHeight="1">
      <c r="A802" s="4" t="s">
        <v>2218</v>
      </c>
      <c r="B802" s="4" t="s">
        <v>2219</v>
      </c>
      <c r="C802" s="4" t="s">
        <v>39</v>
      </c>
      <c r="D802" s="8" t="s">
        <v>381</v>
      </c>
      <c r="E802" s="3" t="str">
        <f t="shared" si="1"/>
        <v>不收錄</v>
      </c>
      <c r="F802" s="3" t="s">
        <v>450</v>
      </c>
      <c r="G802" s="6"/>
      <c r="H802" s="3" t="str">
        <f t="shared" si="2"/>
        <v>5</v>
      </c>
      <c r="I802" s="3" t="s">
        <v>572</v>
      </c>
      <c r="J802" s="3" t="s">
        <v>42</v>
      </c>
      <c r="K802" s="3">
        <v>1.0</v>
      </c>
      <c r="L802" s="3">
        <v>1.0</v>
      </c>
      <c r="M802" s="9" t="s">
        <v>236</v>
      </c>
      <c r="N802" s="3" t="s">
        <v>130</v>
      </c>
      <c r="O802" s="4" t="s">
        <v>1832</v>
      </c>
      <c r="P802" s="4" t="s">
        <v>1824</v>
      </c>
      <c r="Q802" s="3"/>
      <c r="R802" s="3"/>
      <c r="S802" s="6"/>
      <c r="T802" s="6"/>
      <c r="U802" s="6"/>
    </row>
    <row r="803" ht="15.75" customHeight="1">
      <c r="A803" s="4" t="s">
        <v>2220</v>
      </c>
      <c r="B803" s="4" t="s">
        <v>2221</v>
      </c>
      <c r="C803" s="4" t="s">
        <v>39</v>
      </c>
      <c r="D803" s="6"/>
      <c r="E803" s="3" t="str">
        <f t="shared" si="1"/>
        <v>現存</v>
      </c>
      <c r="F803" s="3" t="s">
        <v>2222</v>
      </c>
      <c r="G803" s="6"/>
      <c r="H803" s="3" t="str">
        <f t="shared" si="2"/>
        <v>5,7,10</v>
      </c>
      <c r="I803" s="3" t="s">
        <v>557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130</v>
      </c>
      <c r="O803" s="4" t="s">
        <v>1838</v>
      </c>
      <c r="P803" s="4" t="s">
        <v>1824</v>
      </c>
      <c r="Q803" s="3"/>
      <c r="R803" s="3"/>
      <c r="S803" s="6"/>
      <c r="T803" s="6"/>
      <c r="U803" s="6"/>
    </row>
    <row r="804" ht="15.75" customHeight="1">
      <c r="A804" s="4" t="s">
        <v>2223</v>
      </c>
      <c r="B804" s="4" t="s">
        <v>2224</v>
      </c>
      <c r="C804" s="4" t="s">
        <v>39</v>
      </c>
      <c r="D804" s="6"/>
      <c r="E804" s="3" t="str">
        <f t="shared" si="1"/>
        <v>現存</v>
      </c>
      <c r="F804" s="3" t="s">
        <v>302</v>
      </c>
      <c r="G804" s="6"/>
      <c r="H804" s="3" t="str">
        <f t="shared" si="2"/>
        <v>5,7,8</v>
      </c>
      <c r="I804" s="3" t="s">
        <v>145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130</v>
      </c>
      <c r="O804" s="4" t="s">
        <v>1838</v>
      </c>
      <c r="P804" s="4" t="s">
        <v>1824</v>
      </c>
      <c r="Q804" s="3"/>
      <c r="R804" s="3"/>
      <c r="S804" s="6"/>
      <c r="T804" s="6"/>
      <c r="U804" s="6"/>
    </row>
    <row r="805" ht="15.75" customHeight="1">
      <c r="A805" s="4" t="s">
        <v>2225</v>
      </c>
      <c r="B805" s="4" t="s">
        <v>2226</v>
      </c>
      <c r="C805" s="4" t="s">
        <v>39</v>
      </c>
      <c r="D805" s="8" t="s">
        <v>170</v>
      </c>
      <c r="E805" s="3" t="str">
        <f t="shared" si="1"/>
        <v>近年未見</v>
      </c>
      <c r="F805" s="3" t="s">
        <v>450</v>
      </c>
      <c r="G805" s="6"/>
      <c r="H805" s="3" t="str">
        <f t="shared" si="2"/>
        <v>5</v>
      </c>
      <c r="I805" s="3" t="s">
        <v>1593</v>
      </c>
      <c r="J805" s="3" t="s">
        <v>42</v>
      </c>
      <c r="K805" s="3">
        <v>1.0</v>
      </c>
      <c r="L805" s="3">
        <v>1.0</v>
      </c>
      <c r="M805" s="9" t="s">
        <v>236</v>
      </c>
      <c r="N805" s="3" t="s">
        <v>130</v>
      </c>
      <c r="O805" s="4" t="s">
        <v>1832</v>
      </c>
      <c r="P805" s="4" t="s">
        <v>1824</v>
      </c>
      <c r="Q805" s="3"/>
      <c r="R805" s="3"/>
      <c r="S805" s="6"/>
      <c r="T805" s="6"/>
      <c r="U805" s="6"/>
    </row>
    <row r="806" ht="15.75" customHeight="1">
      <c r="A806" s="4" t="s">
        <v>2227</v>
      </c>
      <c r="B806" s="4" t="s">
        <v>2228</v>
      </c>
      <c r="C806" s="4" t="s">
        <v>39</v>
      </c>
      <c r="D806" s="6"/>
      <c r="E806" s="3" t="str">
        <f t="shared" si="1"/>
        <v>現存</v>
      </c>
      <c r="F806" s="3" t="s">
        <v>450</v>
      </c>
      <c r="G806" s="6"/>
      <c r="H806" s="3" t="str">
        <f t="shared" si="2"/>
        <v>5</v>
      </c>
      <c r="I806" s="3" t="s">
        <v>572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130</v>
      </c>
      <c r="O806" s="4" t="s">
        <v>1832</v>
      </c>
      <c r="P806" s="4" t="s">
        <v>1824</v>
      </c>
      <c r="Q806" s="3"/>
      <c r="R806" s="3"/>
      <c r="S806" s="6"/>
      <c r="T806" s="6"/>
      <c r="U806" s="6"/>
    </row>
    <row r="807" ht="15.75" customHeight="1">
      <c r="A807" s="4" t="s">
        <v>2229</v>
      </c>
      <c r="B807" s="4" t="s">
        <v>2230</v>
      </c>
      <c r="C807" s="4" t="s">
        <v>39</v>
      </c>
      <c r="D807" s="6"/>
      <c r="E807" s="3" t="str">
        <f t="shared" si="1"/>
        <v>現存</v>
      </c>
      <c r="F807" s="3" t="s">
        <v>443</v>
      </c>
      <c r="G807" s="6"/>
      <c r="H807" s="3" t="str">
        <f t="shared" si="2"/>
        <v>5,6,7</v>
      </c>
      <c r="I807" s="3" t="s">
        <v>2231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130</v>
      </c>
      <c r="O807" s="4" t="s">
        <v>1832</v>
      </c>
      <c r="P807" s="4" t="s">
        <v>1824</v>
      </c>
      <c r="Q807" s="3"/>
      <c r="R807" s="3"/>
      <c r="S807" s="6"/>
      <c r="T807" s="6"/>
      <c r="U807" s="6"/>
    </row>
    <row r="808" ht="15.75" customHeight="1">
      <c r="A808" s="4" t="s">
        <v>2232</v>
      </c>
      <c r="B808" s="4" t="s">
        <v>2233</v>
      </c>
      <c r="C808" s="4" t="s">
        <v>39</v>
      </c>
      <c r="D808" s="6"/>
      <c r="E808" s="3" t="str">
        <f t="shared" si="1"/>
        <v>現存</v>
      </c>
      <c r="F808" s="3" t="s">
        <v>459</v>
      </c>
      <c r="G808" s="6"/>
      <c r="H808" s="3" t="str">
        <f t="shared" si="2"/>
        <v>5,10</v>
      </c>
      <c r="I808" s="3" t="s">
        <v>577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130</v>
      </c>
      <c r="O808" s="4" t="s">
        <v>1838</v>
      </c>
      <c r="P808" s="4" t="s">
        <v>1824</v>
      </c>
      <c r="Q808" s="3"/>
      <c r="R808" s="3"/>
      <c r="S808" s="6"/>
      <c r="T808" s="6"/>
      <c r="U808" s="8" t="s">
        <v>2234</v>
      </c>
    </row>
    <row r="809" ht="15.75" customHeight="1">
      <c r="A809" s="4" t="s">
        <v>2235</v>
      </c>
      <c r="B809" s="4" t="s">
        <v>2236</v>
      </c>
      <c r="C809" s="4" t="s">
        <v>39</v>
      </c>
      <c r="D809" s="6"/>
      <c r="E809" s="3" t="str">
        <f t="shared" si="1"/>
        <v>現存</v>
      </c>
      <c r="F809" s="3" t="s">
        <v>2237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130</v>
      </c>
      <c r="O809" s="4" t="s">
        <v>1838</v>
      </c>
      <c r="P809" s="4" t="s">
        <v>1824</v>
      </c>
      <c r="Q809" s="3"/>
      <c r="R809" s="3"/>
      <c r="S809" s="6"/>
      <c r="T809" s="6"/>
      <c r="U809" s="6"/>
    </row>
    <row r="810" ht="15.75" customHeight="1">
      <c r="A810" s="4" t="s">
        <v>2238</v>
      </c>
      <c r="B810" s="4" t="s">
        <v>2239</v>
      </c>
      <c r="C810" s="4" t="s">
        <v>39</v>
      </c>
      <c r="D810" s="6"/>
      <c r="E810" s="3" t="str">
        <f t="shared" si="1"/>
        <v>現存</v>
      </c>
      <c r="F810" s="3" t="s">
        <v>2240</v>
      </c>
      <c r="G810" s="6"/>
      <c r="H810" s="3" t="str">
        <f t="shared" si="2"/>
        <v>6,7,10,11</v>
      </c>
      <c r="I810" s="3" t="s">
        <v>2011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130</v>
      </c>
      <c r="O810" s="4" t="s">
        <v>1838</v>
      </c>
      <c r="P810" s="4" t="s">
        <v>1824</v>
      </c>
      <c r="Q810" s="3"/>
      <c r="R810" s="3"/>
      <c r="S810" s="6"/>
      <c r="T810" s="6"/>
      <c r="U810" s="6"/>
    </row>
    <row r="811" ht="15.75" customHeight="1">
      <c r="A811" s="4" t="s">
        <v>2241</v>
      </c>
      <c r="B811" s="4" t="s">
        <v>2242</v>
      </c>
      <c r="C811" s="4" t="s">
        <v>39</v>
      </c>
      <c r="D811" s="6"/>
      <c r="E811" s="3" t="str">
        <f t="shared" si="1"/>
        <v>現存</v>
      </c>
      <c r="F811" s="3" t="s">
        <v>310</v>
      </c>
      <c r="G811" s="6"/>
      <c r="H811" s="3" t="str">
        <f t="shared" si="2"/>
        <v>6</v>
      </c>
      <c r="I811" s="3" t="s">
        <v>857</v>
      </c>
      <c r="J811" s="3" t="s">
        <v>135</v>
      </c>
      <c r="K811" s="3">
        <v>2.0</v>
      </c>
      <c r="L811" s="3">
        <v>1.0</v>
      </c>
      <c r="M811" s="4" t="s">
        <v>43</v>
      </c>
      <c r="N811" s="3" t="s">
        <v>130</v>
      </c>
      <c r="O811" s="4" t="s">
        <v>1832</v>
      </c>
      <c r="P811" s="4" t="s">
        <v>1824</v>
      </c>
      <c r="Q811" s="3"/>
      <c r="R811" s="3"/>
      <c r="S811" s="6"/>
      <c r="T811" s="6"/>
      <c r="U811" s="6"/>
    </row>
    <row r="812" ht="15.75" customHeight="1">
      <c r="A812" s="4" t="s">
        <v>2243</v>
      </c>
      <c r="B812" s="4" t="s">
        <v>2244</v>
      </c>
      <c r="C812" s="4" t="s">
        <v>39</v>
      </c>
      <c r="D812" s="6"/>
      <c r="E812" s="3" t="str">
        <f t="shared" si="1"/>
        <v>現存</v>
      </c>
      <c r="F812" s="3" t="s">
        <v>310</v>
      </c>
      <c r="G812" s="6"/>
      <c r="H812" s="3" t="str">
        <f t="shared" si="2"/>
        <v>6</v>
      </c>
      <c r="I812" s="3" t="s">
        <v>364</v>
      </c>
      <c r="J812" s="3" t="s">
        <v>135</v>
      </c>
      <c r="K812" s="3">
        <v>5.0</v>
      </c>
      <c r="L812" s="3">
        <v>1.0</v>
      </c>
      <c r="M812" s="4" t="s">
        <v>43</v>
      </c>
      <c r="N812" s="3" t="s">
        <v>130</v>
      </c>
      <c r="O812" s="4" t="s">
        <v>1832</v>
      </c>
      <c r="P812" s="4" t="s">
        <v>1824</v>
      </c>
      <c r="Q812" s="3"/>
      <c r="R812" s="3"/>
      <c r="S812" s="6"/>
      <c r="T812" s="6"/>
      <c r="U812" s="6"/>
    </row>
    <row r="813" ht="15.75" customHeight="1">
      <c r="A813" s="4" t="s">
        <v>2245</v>
      </c>
      <c r="B813" s="4" t="s">
        <v>2246</v>
      </c>
      <c r="C813" s="4" t="s">
        <v>39</v>
      </c>
      <c r="D813" s="8" t="s">
        <v>170</v>
      </c>
      <c r="E813" s="3" t="str">
        <f t="shared" si="1"/>
        <v>近年未見</v>
      </c>
      <c r="F813" s="3" t="s">
        <v>310</v>
      </c>
      <c r="G813" s="6"/>
      <c r="H813" s="3" t="str">
        <f t="shared" si="2"/>
        <v>6</v>
      </c>
      <c r="I813" s="3" t="s">
        <v>430</v>
      </c>
      <c r="J813" s="3" t="s">
        <v>42</v>
      </c>
      <c r="K813" s="3">
        <v>1.0</v>
      </c>
      <c r="L813" s="3">
        <v>1.0</v>
      </c>
      <c r="M813" s="9" t="s">
        <v>236</v>
      </c>
      <c r="N813" s="3" t="s">
        <v>130</v>
      </c>
      <c r="O813" s="4" t="s">
        <v>1832</v>
      </c>
      <c r="P813" s="4" t="s">
        <v>1824</v>
      </c>
      <c r="Q813" s="3"/>
      <c r="R813" s="3"/>
      <c r="S813" s="6"/>
      <c r="T813" s="6"/>
      <c r="U813" s="6"/>
    </row>
    <row r="814" ht="15.75" customHeight="1">
      <c r="A814" s="4" t="s">
        <v>2247</v>
      </c>
      <c r="B814" s="4" t="s">
        <v>2248</v>
      </c>
      <c r="C814" s="4" t="s">
        <v>39</v>
      </c>
      <c r="D814" s="6"/>
      <c r="E814" s="3" t="str">
        <f t="shared" si="1"/>
        <v>現存</v>
      </c>
      <c r="F814" s="3" t="s">
        <v>310</v>
      </c>
      <c r="G814" s="6"/>
      <c r="H814" s="3" t="str">
        <f t="shared" si="2"/>
        <v>6</v>
      </c>
      <c r="I814" s="3" t="s">
        <v>364</v>
      </c>
      <c r="J814" s="3" t="s">
        <v>135</v>
      </c>
      <c r="K814" s="3">
        <v>2.0</v>
      </c>
      <c r="L814" s="3">
        <v>1.0</v>
      </c>
      <c r="M814" s="4" t="s">
        <v>43</v>
      </c>
      <c r="N814" s="3" t="s">
        <v>130</v>
      </c>
      <c r="O814" s="4" t="s">
        <v>1838</v>
      </c>
      <c r="P814" s="4" t="s">
        <v>1824</v>
      </c>
      <c r="Q814" s="3"/>
      <c r="R814" s="3"/>
      <c r="S814" s="6"/>
      <c r="T814" s="6"/>
      <c r="U814" s="8" t="s">
        <v>2249</v>
      </c>
    </row>
    <row r="815" ht="15.75" customHeight="1">
      <c r="A815" s="4" t="s">
        <v>2250</v>
      </c>
      <c r="B815" s="4" t="s">
        <v>2251</v>
      </c>
      <c r="C815" s="4" t="s">
        <v>39</v>
      </c>
      <c r="D815" s="6"/>
      <c r="E815" s="3" t="str">
        <f t="shared" si="1"/>
        <v>現存</v>
      </c>
      <c r="F815" s="3" t="s">
        <v>588</v>
      </c>
      <c r="G815" s="6"/>
      <c r="H815" s="3" t="str">
        <f t="shared" si="2"/>
        <v>6,7</v>
      </c>
      <c r="I815" s="3" t="s">
        <v>112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130</v>
      </c>
      <c r="O815" s="4" t="s">
        <v>1838</v>
      </c>
      <c r="P815" s="4" t="s">
        <v>1824</v>
      </c>
      <c r="Q815" s="3"/>
      <c r="R815" s="3"/>
      <c r="S815" s="6"/>
      <c r="T815" s="6"/>
      <c r="U815" s="6"/>
    </row>
    <row r="816" ht="15.75" customHeight="1">
      <c r="A816" s="4" t="s">
        <v>2252</v>
      </c>
      <c r="B816" s="4" t="s">
        <v>2253</v>
      </c>
      <c r="C816" s="4" t="s">
        <v>39</v>
      </c>
      <c r="D816" s="6"/>
      <c r="E816" s="3" t="str">
        <f t="shared" si="1"/>
        <v>現存</v>
      </c>
      <c r="F816" s="3" t="s">
        <v>2254</v>
      </c>
      <c r="G816" s="6"/>
      <c r="H816" s="3" t="str">
        <f t="shared" si="2"/>
        <v>1,2,3,6,7,10</v>
      </c>
      <c r="I816" s="3" t="s">
        <v>444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130</v>
      </c>
      <c r="O816" s="3"/>
      <c r="P816" s="4" t="s">
        <v>1821</v>
      </c>
      <c r="Q816" s="3"/>
      <c r="R816" s="3"/>
      <c r="S816" s="6"/>
      <c r="T816" s="6"/>
      <c r="U816" s="6"/>
    </row>
    <row r="817" ht="15.75" customHeight="1">
      <c r="A817" s="4" t="s">
        <v>2255</v>
      </c>
      <c r="B817" s="4" t="s">
        <v>2256</v>
      </c>
      <c r="C817" s="4" t="s">
        <v>39</v>
      </c>
      <c r="D817" s="6"/>
      <c r="E817" s="3" t="str">
        <f t="shared" si="1"/>
        <v>現存</v>
      </c>
      <c r="F817" s="3" t="s">
        <v>130</v>
      </c>
      <c r="G817" s="6"/>
      <c r="H817" s="3" t="str">
        <f t="shared" si="2"/>
        <v>1</v>
      </c>
      <c r="I817" s="3" t="s">
        <v>49</v>
      </c>
      <c r="J817" s="3" t="s">
        <v>135</v>
      </c>
      <c r="K817" s="3">
        <v>1.0</v>
      </c>
      <c r="L817" s="3">
        <v>1.0</v>
      </c>
      <c r="M817" s="4" t="s">
        <v>43</v>
      </c>
      <c r="N817" s="3" t="s">
        <v>130</v>
      </c>
      <c r="O817" s="3"/>
      <c r="P817" s="4" t="s">
        <v>1821</v>
      </c>
      <c r="Q817" s="3"/>
      <c r="R817" s="3"/>
      <c r="S817" s="6"/>
      <c r="T817" s="6"/>
      <c r="U817" s="6"/>
    </row>
    <row r="818" ht="15.75" customHeight="1">
      <c r="A818" s="4" t="s">
        <v>2257</v>
      </c>
      <c r="B818" s="4" t="s">
        <v>2258</v>
      </c>
      <c r="C818" s="4" t="s">
        <v>39</v>
      </c>
      <c r="D818" s="6"/>
      <c r="E818" s="3" t="str">
        <f t="shared" si="1"/>
        <v>現存</v>
      </c>
      <c r="F818" s="3" t="s">
        <v>130</v>
      </c>
      <c r="G818" s="6"/>
      <c r="H818" s="3" t="str">
        <f t="shared" si="2"/>
        <v>1</v>
      </c>
      <c r="I818" s="3" t="s">
        <v>49</v>
      </c>
      <c r="J818" s="3" t="s">
        <v>135</v>
      </c>
      <c r="K818" s="3">
        <v>1.0</v>
      </c>
      <c r="L818" s="3">
        <v>1.0</v>
      </c>
      <c r="M818" s="4" t="s">
        <v>43</v>
      </c>
      <c r="N818" s="3" t="s">
        <v>130</v>
      </c>
      <c r="O818" s="4" t="s">
        <v>1838</v>
      </c>
      <c r="P818" s="4" t="s">
        <v>1824</v>
      </c>
      <c r="Q818" s="3"/>
      <c r="R818" s="3"/>
      <c r="S818" s="6"/>
      <c r="T818" s="6"/>
      <c r="U818" s="6"/>
    </row>
    <row r="819" ht="15.75" customHeight="1">
      <c r="A819" s="4" t="s">
        <v>2259</v>
      </c>
      <c r="B819" s="4" t="s">
        <v>2260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130</v>
      </c>
      <c r="O819" s="3"/>
      <c r="P819" s="4" t="s">
        <v>1821</v>
      </c>
      <c r="Q819" s="3"/>
      <c r="R819" s="3"/>
      <c r="S819" s="6"/>
      <c r="T819" s="6"/>
      <c r="U819" s="6"/>
    </row>
    <row r="820" ht="15.75" customHeight="1">
      <c r="A820" s="4" t="s">
        <v>2261</v>
      </c>
      <c r="B820" s="4" t="s">
        <v>2262</v>
      </c>
      <c r="C820" s="4" t="s">
        <v>39</v>
      </c>
      <c r="D820" s="6"/>
      <c r="E820" s="3" t="str">
        <f t="shared" si="1"/>
        <v>現存</v>
      </c>
      <c r="F820" s="3" t="s">
        <v>2263</v>
      </c>
      <c r="G820" s="6"/>
      <c r="H820" s="3" t="str">
        <f t="shared" si="2"/>
        <v>1,5,9,10,11,12</v>
      </c>
      <c r="I820" s="3" t="s">
        <v>149</v>
      </c>
      <c r="J820" s="3" t="s">
        <v>193</v>
      </c>
      <c r="K820" s="3">
        <v>10.0</v>
      </c>
      <c r="L820" s="3">
        <v>1.0</v>
      </c>
      <c r="M820" s="4" t="s">
        <v>43</v>
      </c>
      <c r="N820" s="3" t="s">
        <v>130</v>
      </c>
      <c r="O820" s="3"/>
      <c r="P820" s="4" t="s">
        <v>1821</v>
      </c>
      <c r="Q820" s="3"/>
      <c r="R820" s="3"/>
      <c r="S820" s="6"/>
      <c r="T820" s="6"/>
      <c r="U820" s="6"/>
    </row>
    <row r="821" ht="15.75" customHeight="1">
      <c r="A821" s="4" t="s">
        <v>2264</v>
      </c>
      <c r="B821" s="4" t="s">
        <v>2265</v>
      </c>
      <c r="C821" s="4" t="s">
        <v>39</v>
      </c>
      <c r="D821" s="6"/>
      <c r="E821" s="3" t="str">
        <f t="shared" si="1"/>
        <v>現存</v>
      </c>
      <c r="F821" s="3" t="s">
        <v>130</v>
      </c>
      <c r="G821" s="6"/>
      <c r="H821" s="3" t="str">
        <f t="shared" si="2"/>
        <v>1</v>
      </c>
      <c r="I821" s="3" t="s">
        <v>49</v>
      </c>
      <c r="J821" s="3" t="s">
        <v>135</v>
      </c>
      <c r="K821" s="3">
        <v>1.0</v>
      </c>
      <c r="L821" s="3">
        <v>1.0</v>
      </c>
      <c r="M821" s="4" t="s">
        <v>43</v>
      </c>
      <c r="N821" s="3" t="s">
        <v>130</v>
      </c>
      <c r="O821" s="4" t="s">
        <v>1838</v>
      </c>
      <c r="P821" s="4" t="s">
        <v>1824</v>
      </c>
      <c r="Q821" s="3"/>
      <c r="R821" s="3"/>
      <c r="S821" s="6"/>
      <c r="T821" s="6"/>
      <c r="U821" s="6"/>
    </row>
    <row r="822" ht="15.75" customHeight="1">
      <c r="A822" s="4" t="s">
        <v>2266</v>
      </c>
      <c r="B822" s="4" t="s">
        <v>2267</v>
      </c>
      <c r="C822" s="4" t="s">
        <v>39</v>
      </c>
      <c r="D822" s="6"/>
      <c r="E822" s="3" t="str">
        <f t="shared" si="1"/>
        <v>現存</v>
      </c>
      <c r="F822" s="3" t="s">
        <v>2268</v>
      </c>
      <c r="G822" s="6"/>
      <c r="H822" s="3" t="str">
        <f t="shared" si="2"/>
        <v>1,3,6,8,9</v>
      </c>
      <c r="I822" s="3" t="s">
        <v>386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130</v>
      </c>
      <c r="O822" s="3"/>
      <c r="P822" s="4" t="s">
        <v>1821</v>
      </c>
      <c r="Q822" s="3"/>
      <c r="R822" s="3"/>
      <c r="S822" s="6"/>
      <c r="T822" s="6"/>
      <c r="U822" s="6"/>
    </row>
    <row r="823" ht="15.75" customHeight="1">
      <c r="A823" s="4" t="s">
        <v>2269</v>
      </c>
      <c r="B823" s="4" t="s">
        <v>2270</v>
      </c>
      <c r="C823" s="4" t="s">
        <v>39</v>
      </c>
      <c r="D823" s="6"/>
      <c r="E823" s="3" t="str">
        <f t="shared" si="1"/>
        <v>現存</v>
      </c>
      <c r="F823" s="3" t="s">
        <v>2271</v>
      </c>
      <c r="G823" s="6"/>
      <c r="H823" s="3" t="str">
        <f t="shared" si="2"/>
        <v>1,5,6,7</v>
      </c>
      <c r="I823" s="3" t="s">
        <v>112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130</v>
      </c>
      <c r="O823" s="3"/>
      <c r="P823" s="4" t="s">
        <v>1821</v>
      </c>
      <c r="Q823" s="3"/>
      <c r="R823" s="3"/>
      <c r="S823" s="6"/>
      <c r="T823" s="6"/>
      <c r="U823" s="6"/>
    </row>
    <row r="824" ht="15.75" customHeight="1">
      <c r="A824" s="4" t="s">
        <v>2272</v>
      </c>
      <c r="B824" s="4" t="s">
        <v>2273</v>
      </c>
      <c r="C824" s="4" t="s">
        <v>39</v>
      </c>
      <c r="D824" s="6"/>
      <c r="E824" s="3" t="str">
        <f t="shared" si="1"/>
        <v>現存</v>
      </c>
      <c r="F824" s="3" t="s">
        <v>2274</v>
      </c>
      <c r="G824" s="6"/>
      <c r="H824" s="3" t="str">
        <f t="shared" si="2"/>
        <v>1,3,6,9,10,11</v>
      </c>
      <c r="I824" s="3" t="s">
        <v>444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130</v>
      </c>
      <c r="O824" s="3"/>
      <c r="P824" s="4" t="s">
        <v>1821</v>
      </c>
      <c r="Q824" s="3"/>
      <c r="R824" s="3"/>
      <c r="S824" s="6"/>
      <c r="T824" s="6"/>
      <c r="U824" s="6"/>
    </row>
    <row r="825" ht="15.75" customHeight="1">
      <c r="A825" s="4" t="s">
        <v>2275</v>
      </c>
      <c r="B825" s="4" t="s">
        <v>2276</v>
      </c>
      <c r="C825" s="4" t="s">
        <v>39</v>
      </c>
      <c r="D825" s="6"/>
      <c r="E825" s="3" t="str">
        <f t="shared" si="1"/>
        <v>現存</v>
      </c>
      <c r="F825" s="3" t="s">
        <v>2277</v>
      </c>
      <c r="G825" s="6"/>
      <c r="H825" s="3" t="str">
        <f t="shared" si="2"/>
        <v>1,6,7,8,11,12</v>
      </c>
      <c r="I825" s="3" t="s">
        <v>303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130</v>
      </c>
      <c r="O825" s="3"/>
      <c r="P825" s="4" t="s">
        <v>1821</v>
      </c>
      <c r="Q825" s="3"/>
      <c r="R825" s="3"/>
      <c r="S825" s="6"/>
      <c r="T825" s="6"/>
      <c r="U825" s="6"/>
    </row>
    <row r="826" ht="15.75" customHeight="1">
      <c r="A826" s="4" t="s">
        <v>2278</v>
      </c>
      <c r="B826" s="4" t="s">
        <v>2279</v>
      </c>
      <c r="C826" s="4" t="s">
        <v>39</v>
      </c>
      <c r="D826" s="6"/>
      <c r="E826" s="3" t="str">
        <f t="shared" si="1"/>
        <v>現存</v>
      </c>
      <c r="F826" s="3" t="s">
        <v>2280</v>
      </c>
      <c r="G826" s="6"/>
      <c r="H826" s="3" t="str">
        <f t="shared" si="2"/>
        <v>1,3,6</v>
      </c>
      <c r="I826" s="3" t="s">
        <v>444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130</v>
      </c>
      <c r="O826" s="9" t="s">
        <v>1558</v>
      </c>
      <c r="P826" s="4" t="s">
        <v>1821</v>
      </c>
      <c r="Q826" s="3"/>
      <c r="R826" s="3"/>
      <c r="S826" s="6"/>
      <c r="T826" s="6"/>
      <c r="U826" s="6"/>
    </row>
    <row r="827" ht="15.75" customHeight="1">
      <c r="A827" s="4" t="s">
        <v>2281</v>
      </c>
      <c r="B827" s="4" t="s">
        <v>2282</v>
      </c>
      <c r="C827" s="4" t="s">
        <v>39</v>
      </c>
      <c r="D827" s="6"/>
      <c r="E827" s="3" t="str">
        <f t="shared" si="1"/>
        <v>現存</v>
      </c>
      <c r="F827" s="3" t="s">
        <v>207</v>
      </c>
      <c r="G827" s="6"/>
      <c r="H827" s="3" t="str">
        <f t="shared" si="2"/>
        <v>1,2,3,4</v>
      </c>
      <c r="I827" s="3" t="s">
        <v>212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130</v>
      </c>
      <c r="O827" s="9" t="s">
        <v>1558</v>
      </c>
      <c r="P827" s="4" t="s">
        <v>1821</v>
      </c>
      <c r="Q827" s="3"/>
      <c r="R827" s="3"/>
      <c r="S827" s="6"/>
      <c r="T827" s="6"/>
      <c r="U827" s="6"/>
    </row>
    <row r="828" ht="15.75" customHeight="1">
      <c r="A828" s="4" t="s">
        <v>2283</v>
      </c>
      <c r="B828" s="4" t="s">
        <v>2284</v>
      </c>
      <c r="C828" s="4" t="s">
        <v>39</v>
      </c>
      <c r="D828" s="6"/>
      <c r="E828" s="3" t="str">
        <f t="shared" si="1"/>
        <v>現存</v>
      </c>
      <c r="F828" s="3" t="s">
        <v>2285</v>
      </c>
      <c r="G828" s="6"/>
      <c r="H828" s="3" t="str">
        <f t="shared" si="2"/>
        <v>1,6,7,8,9,10</v>
      </c>
      <c r="I828" s="3" t="s">
        <v>738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130</v>
      </c>
      <c r="O828" s="3"/>
      <c r="P828" s="4" t="s">
        <v>1821</v>
      </c>
      <c r="Q828" s="3"/>
      <c r="R828" s="3"/>
      <c r="S828" s="6"/>
      <c r="T828" s="6"/>
      <c r="U828" s="6"/>
    </row>
    <row r="829" ht="15.75" customHeight="1">
      <c r="A829" s="4" t="s">
        <v>2286</v>
      </c>
      <c r="B829" s="4" t="s">
        <v>1315</v>
      </c>
      <c r="C829" s="4" t="s">
        <v>39</v>
      </c>
      <c r="D829" s="6"/>
      <c r="E829" s="3" t="str">
        <f t="shared" si="1"/>
        <v>現存</v>
      </c>
      <c r="F829" s="3" t="s">
        <v>2287</v>
      </c>
      <c r="G829" s="6"/>
      <c r="H829" s="3" t="str">
        <f t="shared" si="2"/>
        <v>1,2,3,4,5,7</v>
      </c>
      <c r="I829" s="3" t="s">
        <v>426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130</v>
      </c>
      <c r="O829" s="3"/>
      <c r="P829" s="4" t="s">
        <v>1821</v>
      </c>
      <c r="Q829" s="3"/>
      <c r="R829" s="3"/>
      <c r="S829" s="6"/>
      <c r="T829" s="6"/>
      <c r="U829" s="6"/>
    </row>
    <row r="830" ht="15.75" customHeight="1">
      <c r="A830" s="4" t="s">
        <v>2288</v>
      </c>
      <c r="B830" s="4" t="s">
        <v>2289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135</v>
      </c>
      <c r="K830" s="3">
        <v>2.0</v>
      </c>
      <c r="L830" s="3">
        <v>1.0</v>
      </c>
      <c r="M830" s="4" t="s">
        <v>43</v>
      </c>
      <c r="N830" s="3" t="s">
        <v>130</v>
      </c>
      <c r="O830" s="3"/>
      <c r="P830" s="4" t="s">
        <v>1821</v>
      </c>
      <c r="Q830" s="3"/>
      <c r="R830" s="3"/>
      <c r="S830" s="6"/>
      <c r="T830" s="6"/>
      <c r="U830" s="6"/>
    </row>
    <row r="831" ht="15.75" customHeight="1">
      <c r="A831" s="4" t="s">
        <v>2290</v>
      </c>
      <c r="B831" s="4" t="s">
        <v>2291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135</v>
      </c>
      <c r="K831" s="3">
        <v>2.0</v>
      </c>
      <c r="L831" s="3">
        <v>1.0</v>
      </c>
      <c r="M831" s="9" t="s">
        <v>236</v>
      </c>
      <c r="N831" s="3" t="s">
        <v>130</v>
      </c>
      <c r="O831" s="3"/>
      <c r="P831" s="4" t="s">
        <v>1821</v>
      </c>
      <c r="Q831" s="3"/>
      <c r="R831" s="3"/>
      <c r="S831" s="6"/>
      <c r="T831" s="6"/>
      <c r="U831" s="6"/>
    </row>
    <row r="832" ht="15.75" customHeight="1">
      <c r="A832" s="4" t="s">
        <v>2292</v>
      </c>
      <c r="B832" s="4" t="s">
        <v>2293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198</v>
      </c>
      <c r="J832" s="3" t="s">
        <v>135</v>
      </c>
      <c r="K832" s="3">
        <v>2.0</v>
      </c>
      <c r="L832" s="3">
        <v>1.0</v>
      </c>
      <c r="M832" s="9" t="s">
        <v>236</v>
      </c>
      <c r="N832" s="3" t="s">
        <v>130</v>
      </c>
      <c r="O832" s="3"/>
      <c r="P832" s="4" t="s">
        <v>1821</v>
      </c>
      <c r="Q832" s="3"/>
      <c r="R832" s="3"/>
      <c r="S832" s="6"/>
      <c r="T832" s="6"/>
      <c r="U832" s="6"/>
    </row>
    <row r="833" ht="15.75" customHeight="1">
      <c r="A833" s="4" t="s">
        <v>2294</v>
      </c>
      <c r="B833" s="4" t="s">
        <v>2295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212</v>
      </c>
      <c r="J833" s="3" t="s">
        <v>135</v>
      </c>
      <c r="K833" s="3">
        <v>2.0</v>
      </c>
      <c r="L833" s="3">
        <v>1.0</v>
      </c>
      <c r="M833" s="4" t="s">
        <v>43</v>
      </c>
      <c r="N833" s="3" t="s">
        <v>130</v>
      </c>
      <c r="O833" s="3"/>
      <c r="P833" s="4" t="s">
        <v>1821</v>
      </c>
      <c r="Q833" s="3"/>
      <c r="R833" s="3"/>
      <c r="S833" s="6"/>
      <c r="T833" s="6"/>
      <c r="U833" s="6"/>
    </row>
    <row r="834" ht="15.75" customHeight="1">
      <c r="A834" s="4" t="s">
        <v>2296</v>
      </c>
      <c r="B834" s="4" t="s">
        <v>2297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212</v>
      </c>
      <c r="J834" s="3" t="s">
        <v>135</v>
      </c>
      <c r="K834" s="3">
        <v>1.0</v>
      </c>
      <c r="L834" s="3">
        <v>1.0</v>
      </c>
      <c r="M834" s="4" t="s">
        <v>43</v>
      </c>
      <c r="N834" s="3" t="s">
        <v>130</v>
      </c>
      <c r="O834" s="4" t="s">
        <v>1838</v>
      </c>
      <c r="P834" s="4" t="s">
        <v>1824</v>
      </c>
      <c r="Q834" s="3"/>
      <c r="R834" s="3"/>
      <c r="S834" s="6"/>
      <c r="T834" s="6"/>
      <c r="U834" s="6"/>
    </row>
    <row r="835" ht="15.75" customHeight="1">
      <c r="A835" s="4" t="s">
        <v>2298</v>
      </c>
      <c r="B835" s="4" t="s">
        <v>2299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135</v>
      </c>
      <c r="K835" s="3">
        <v>1.0</v>
      </c>
      <c r="L835" s="3">
        <v>1.0</v>
      </c>
      <c r="M835" s="4" t="s">
        <v>43</v>
      </c>
      <c r="N835" s="3" t="s">
        <v>130</v>
      </c>
      <c r="O835" s="4" t="s">
        <v>1838</v>
      </c>
      <c r="P835" s="4" t="s">
        <v>1824</v>
      </c>
      <c r="Q835" s="3"/>
      <c r="R835" s="3"/>
      <c r="S835" s="6"/>
      <c r="T835" s="6"/>
      <c r="U835" s="6"/>
    </row>
    <row r="836" ht="15.75" customHeight="1">
      <c r="A836" s="4" t="s">
        <v>2300</v>
      </c>
      <c r="B836" s="4" t="s">
        <v>2301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135</v>
      </c>
      <c r="K836" s="3">
        <v>1.0</v>
      </c>
      <c r="L836" s="3">
        <v>1.0</v>
      </c>
      <c r="M836" s="4" t="s">
        <v>43</v>
      </c>
      <c r="N836" s="3" t="s">
        <v>130</v>
      </c>
      <c r="O836" s="3"/>
      <c r="P836" s="4" t="s">
        <v>1821</v>
      </c>
      <c r="Q836" s="3"/>
      <c r="R836" s="3"/>
      <c r="S836" s="6"/>
      <c r="T836" s="6"/>
      <c r="U836" s="6"/>
    </row>
    <row r="837" ht="15.75" customHeight="1">
      <c r="A837" s="4" t="s">
        <v>2302</v>
      </c>
      <c r="B837" s="4" t="s">
        <v>2303</v>
      </c>
      <c r="C837" s="4" t="s">
        <v>39</v>
      </c>
      <c r="D837" s="6"/>
      <c r="E837" s="3" t="str">
        <f t="shared" si="1"/>
        <v>現存</v>
      </c>
      <c r="F837" s="3" t="s">
        <v>686</v>
      </c>
      <c r="G837" s="6"/>
      <c r="H837" s="3" t="str">
        <f t="shared" si="2"/>
        <v>2,3,4,5</v>
      </c>
      <c r="I837" s="3" t="s">
        <v>145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1821</v>
      </c>
      <c r="Q837" s="3"/>
      <c r="R837" s="3"/>
      <c r="S837" s="6"/>
      <c r="T837" s="6"/>
      <c r="U837" s="6"/>
    </row>
    <row r="838" ht="15.75" customHeight="1">
      <c r="A838" s="4" t="s">
        <v>2304</v>
      </c>
      <c r="B838" s="4" t="s">
        <v>2305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236</v>
      </c>
      <c r="N838" s="3" t="s">
        <v>130</v>
      </c>
      <c r="O838" s="3"/>
      <c r="P838" s="4" t="s">
        <v>1821</v>
      </c>
      <c r="Q838" s="3"/>
      <c r="R838" s="3"/>
      <c r="S838" s="6"/>
      <c r="T838" s="6"/>
      <c r="U838" s="6"/>
    </row>
    <row r="839" ht="15.75" customHeight="1">
      <c r="A839" s="4" t="s">
        <v>2306</v>
      </c>
      <c r="B839" s="4" t="s">
        <v>2307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198</v>
      </c>
      <c r="J839" s="3" t="s">
        <v>135</v>
      </c>
      <c r="K839" s="3">
        <v>1.0</v>
      </c>
      <c r="L839" s="3">
        <v>1.0</v>
      </c>
      <c r="M839" s="9" t="s">
        <v>236</v>
      </c>
      <c r="N839" s="3" t="s">
        <v>130</v>
      </c>
      <c r="O839" s="3"/>
      <c r="P839" s="4" t="s">
        <v>1821</v>
      </c>
      <c r="Q839" s="3"/>
      <c r="R839" s="3"/>
      <c r="S839" s="6"/>
      <c r="T839" s="6"/>
      <c r="U839" s="6"/>
    </row>
    <row r="840" ht="15.75" customHeight="1">
      <c r="A840" s="4" t="s">
        <v>2308</v>
      </c>
      <c r="B840" s="4" t="s">
        <v>2309</v>
      </c>
      <c r="C840" s="4" t="s">
        <v>39</v>
      </c>
      <c r="D840" s="6"/>
      <c r="E840" s="3" t="str">
        <f t="shared" si="1"/>
        <v>現存</v>
      </c>
      <c r="F840" s="3" t="s">
        <v>116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1821</v>
      </c>
      <c r="Q840" s="3"/>
      <c r="R840" s="3"/>
      <c r="S840" s="6"/>
      <c r="T840" s="6"/>
      <c r="U840" s="6"/>
    </row>
    <row r="841" ht="15.75" customHeight="1">
      <c r="A841" s="4" t="s">
        <v>2310</v>
      </c>
      <c r="B841" s="4" t="s">
        <v>2311</v>
      </c>
      <c r="C841" s="4" t="s">
        <v>39</v>
      </c>
      <c r="D841" s="6"/>
      <c r="E841" s="3" t="str">
        <f t="shared" si="1"/>
        <v>現存</v>
      </c>
      <c r="F841" s="3" t="s">
        <v>1140</v>
      </c>
      <c r="G841" s="6"/>
      <c r="H841" s="3" t="str">
        <f t="shared" si="2"/>
        <v>3,5</v>
      </c>
      <c r="I841" s="3" t="s">
        <v>149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1821</v>
      </c>
      <c r="Q841" s="3"/>
      <c r="R841" s="3"/>
      <c r="S841" s="6"/>
      <c r="T841" s="6"/>
      <c r="U841" s="6"/>
    </row>
    <row r="842" ht="15.75" customHeight="1">
      <c r="A842" s="4" t="s">
        <v>2312</v>
      </c>
      <c r="B842" s="4" t="s">
        <v>2313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135</v>
      </c>
      <c r="K842" s="3">
        <v>1.0</v>
      </c>
      <c r="L842" s="3">
        <v>1.0</v>
      </c>
      <c r="M842" s="4" t="s">
        <v>43</v>
      </c>
      <c r="N842" s="3" t="s">
        <v>130</v>
      </c>
      <c r="O842" s="4" t="s">
        <v>1838</v>
      </c>
      <c r="P842" s="4" t="s">
        <v>1824</v>
      </c>
      <c r="Q842" s="3"/>
      <c r="R842" s="3"/>
      <c r="S842" s="6"/>
      <c r="T842" s="6"/>
      <c r="U842" s="6"/>
    </row>
    <row r="843" ht="15.75" customHeight="1">
      <c r="A843" s="4" t="s">
        <v>2314</v>
      </c>
      <c r="B843" s="4" t="s">
        <v>2315</v>
      </c>
      <c r="C843" s="4" t="s">
        <v>39</v>
      </c>
      <c r="D843" s="6"/>
      <c r="E843" s="3" t="str">
        <f t="shared" si="1"/>
        <v>現存</v>
      </c>
      <c r="F843" s="3" t="s">
        <v>1140</v>
      </c>
      <c r="G843" s="6"/>
      <c r="H843" s="3" t="str">
        <f t="shared" si="2"/>
        <v>3,5</v>
      </c>
      <c r="I843" s="3" t="s">
        <v>145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2316</v>
      </c>
      <c r="O843" s="3"/>
      <c r="P843" s="4" t="s">
        <v>1821</v>
      </c>
      <c r="Q843" s="3"/>
      <c r="R843" s="3"/>
      <c r="S843" s="6"/>
      <c r="T843" s="6"/>
      <c r="U843" s="6"/>
    </row>
    <row r="844" ht="15.75" customHeight="1">
      <c r="A844" s="4" t="s">
        <v>2317</v>
      </c>
      <c r="B844" s="4" t="s">
        <v>2318</v>
      </c>
      <c r="C844" s="4" t="s">
        <v>39</v>
      </c>
      <c r="D844" s="6"/>
      <c r="E844" s="3" t="str">
        <f t="shared" si="1"/>
        <v>現存</v>
      </c>
      <c r="F844" s="3" t="s">
        <v>1306</v>
      </c>
      <c r="G844" s="6"/>
      <c r="H844" s="3" t="str">
        <f t="shared" si="2"/>
        <v>3,4,12</v>
      </c>
      <c r="I844" s="3" t="s">
        <v>2319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130</v>
      </c>
      <c r="O844" s="3"/>
      <c r="P844" s="4" t="s">
        <v>1821</v>
      </c>
      <c r="Q844" s="3"/>
      <c r="R844" s="3"/>
      <c r="S844" s="6"/>
      <c r="T844" s="6"/>
      <c r="U844" s="6"/>
    </row>
    <row r="845" ht="15.75" customHeight="1">
      <c r="A845" s="4" t="s">
        <v>2320</v>
      </c>
      <c r="B845" s="4" t="s">
        <v>2321</v>
      </c>
      <c r="C845" s="4" t="s">
        <v>39</v>
      </c>
      <c r="D845" s="6"/>
      <c r="E845" s="3" t="str">
        <f t="shared" si="1"/>
        <v>現存</v>
      </c>
      <c r="F845" s="3" t="s">
        <v>156</v>
      </c>
      <c r="G845" s="6"/>
      <c r="H845" s="3" t="str">
        <f t="shared" si="2"/>
        <v>4</v>
      </c>
      <c r="I845" s="3" t="s">
        <v>142</v>
      </c>
      <c r="J845" s="3" t="s">
        <v>135</v>
      </c>
      <c r="K845" s="3">
        <v>1.0</v>
      </c>
      <c r="L845" s="3">
        <v>1.0</v>
      </c>
      <c r="M845" s="9" t="s">
        <v>236</v>
      </c>
      <c r="N845" s="3" t="s">
        <v>130</v>
      </c>
      <c r="O845" s="3"/>
      <c r="P845" s="4" t="s">
        <v>1821</v>
      </c>
      <c r="Q845" s="3"/>
      <c r="R845" s="3"/>
      <c r="S845" s="6"/>
      <c r="T845" s="6"/>
      <c r="U845" s="6"/>
    </row>
    <row r="846" ht="15.75" customHeight="1">
      <c r="A846" s="4" t="s">
        <v>2322</v>
      </c>
      <c r="B846" s="4" t="s">
        <v>2323</v>
      </c>
      <c r="C846" s="4" t="s">
        <v>39</v>
      </c>
      <c r="D846" s="6"/>
      <c r="E846" s="3" t="str">
        <f t="shared" si="1"/>
        <v>現存</v>
      </c>
      <c r="F846" s="3" t="s">
        <v>156</v>
      </c>
      <c r="G846" s="6"/>
      <c r="H846" s="3" t="str">
        <f t="shared" si="2"/>
        <v>4</v>
      </c>
      <c r="I846" s="3" t="s">
        <v>142</v>
      </c>
      <c r="J846" s="3" t="s">
        <v>135</v>
      </c>
      <c r="K846" s="3">
        <v>1.0</v>
      </c>
      <c r="L846" s="3">
        <v>1.0</v>
      </c>
      <c r="M846" s="9" t="s">
        <v>236</v>
      </c>
      <c r="N846" s="3" t="s">
        <v>130</v>
      </c>
      <c r="O846" s="3"/>
      <c r="P846" s="4" t="s">
        <v>1821</v>
      </c>
      <c r="Q846" s="3"/>
      <c r="R846" s="3"/>
      <c r="S846" s="6"/>
      <c r="T846" s="6"/>
      <c r="U846" s="6"/>
    </row>
    <row r="847" ht="15.75" customHeight="1">
      <c r="A847" s="4" t="s">
        <v>2324</v>
      </c>
      <c r="B847" s="4" t="s">
        <v>2325</v>
      </c>
      <c r="C847" s="4" t="s">
        <v>39</v>
      </c>
      <c r="D847" s="6"/>
      <c r="E847" s="3" t="str">
        <f t="shared" si="1"/>
        <v>現存</v>
      </c>
      <c r="F847" s="3" t="s">
        <v>156</v>
      </c>
      <c r="G847" s="6"/>
      <c r="H847" s="3" t="str">
        <f t="shared" si="2"/>
        <v>4</v>
      </c>
      <c r="I847" s="3" t="s">
        <v>83</v>
      </c>
      <c r="J847" s="3" t="s">
        <v>135</v>
      </c>
      <c r="K847" s="3">
        <v>1.0</v>
      </c>
      <c r="L847" s="3">
        <v>1.0</v>
      </c>
      <c r="M847" s="9" t="s">
        <v>236</v>
      </c>
      <c r="N847" s="3" t="s">
        <v>130</v>
      </c>
      <c r="O847" s="3"/>
      <c r="P847" s="4" t="s">
        <v>1821</v>
      </c>
      <c r="Q847" s="3"/>
      <c r="R847" s="3"/>
      <c r="S847" s="6"/>
      <c r="T847" s="6"/>
      <c r="U847" s="6"/>
    </row>
    <row r="848" ht="15.75" customHeight="1">
      <c r="A848" s="4" t="s">
        <v>2326</v>
      </c>
      <c r="B848" s="4" t="s">
        <v>2327</v>
      </c>
      <c r="C848" s="4" t="s">
        <v>39</v>
      </c>
      <c r="D848" s="6"/>
      <c r="E848" s="3" t="str">
        <f t="shared" si="1"/>
        <v>現存</v>
      </c>
      <c r="F848" s="3" t="s">
        <v>156</v>
      </c>
      <c r="G848" s="6"/>
      <c r="H848" s="3" t="str">
        <f t="shared" si="2"/>
        <v>4</v>
      </c>
      <c r="I848" s="3" t="s">
        <v>142</v>
      </c>
      <c r="J848" s="3" t="s">
        <v>135</v>
      </c>
      <c r="K848" s="3">
        <v>1.0</v>
      </c>
      <c r="L848" s="3">
        <v>1.0</v>
      </c>
      <c r="M848" s="9" t="s">
        <v>236</v>
      </c>
      <c r="N848" s="3" t="s">
        <v>130</v>
      </c>
      <c r="O848" s="3"/>
      <c r="P848" s="4" t="s">
        <v>1821</v>
      </c>
      <c r="Q848" s="3"/>
      <c r="R848" s="3"/>
      <c r="S848" s="6"/>
      <c r="T848" s="6"/>
      <c r="U848" s="6"/>
    </row>
    <row r="849" ht="15.75" customHeight="1">
      <c r="A849" s="4" t="s">
        <v>2328</v>
      </c>
      <c r="B849" s="4" t="s">
        <v>2329</v>
      </c>
      <c r="C849" s="4" t="s">
        <v>39</v>
      </c>
      <c r="D849" s="6"/>
      <c r="E849" s="3" t="str">
        <f t="shared" si="1"/>
        <v>現存</v>
      </c>
      <c r="F849" s="3" t="s">
        <v>156</v>
      </c>
      <c r="G849" s="6"/>
      <c r="H849" s="3" t="str">
        <f t="shared" si="2"/>
        <v>4</v>
      </c>
      <c r="I849" s="3" t="s">
        <v>83</v>
      </c>
      <c r="J849" s="3" t="s">
        <v>135</v>
      </c>
      <c r="K849" s="3">
        <v>1.0</v>
      </c>
      <c r="L849" s="3">
        <v>1.0</v>
      </c>
      <c r="M849" s="9" t="s">
        <v>236</v>
      </c>
      <c r="N849" s="3" t="s">
        <v>130</v>
      </c>
      <c r="O849" s="3"/>
      <c r="P849" s="4" t="s">
        <v>1821</v>
      </c>
      <c r="Q849" s="3"/>
      <c r="R849" s="3"/>
      <c r="S849" s="6"/>
      <c r="T849" s="6"/>
      <c r="U849" s="6"/>
    </row>
    <row r="850" ht="15.75" customHeight="1">
      <c r="A850" s="4" t="s">
        <v>2330</v>
      </c>
      <c r="B850" s="4" t="s">
        <v>2331</v>
      </c>
      <c r="C850" s="4" t="s">
        <v>39</v>
      </c>
      <c r="D850" s="6"/>
      <c r="E850" s="3" t="str">
        <f t="shared" si="1"/>
        <v>現存</v>
      </c>
      <c r="F850" s="3" t="s">
        <v>156</v>
      </c>
      <c r="G850" s="6"/>
      <c r="H850" s="3" t="str">
        <f t="shared" si="2"/>
        <v>4</v>
      </c>
      <c r="I850" s="3" t="s">
        <v>142</v>
      </c>
      <c r="J850" s="3" t="s">
        <v>135</v>
      </c>
      <c r="K850" s="3">
        <v>1.0</v>
      </c>
      <c r="L850" s="3">
        <v>1.0</v>
      </c>
      <c r="M850" s="4" t="s">
        <v>43</v>
      </c>
      <c r="N850" s="3" t="s">
        <v>130</v>
      </c>
      <c r="O850" s="3"/>
      <c r="P850" s="9" t="s">
        <v>2332</v>
      </c>
      <c r="Q850" s="3"/>
      <c r="R850" s="3"/>
      <c r="S850" s="6"/>
      <c r="T850" s="6"/>
      <c r="U850" s="6"/>
    </row>
    <row r="851" ht="15.75" customHeight="1">
      <c r="A851" s="4" t="s">
        <v>2333</v>
      </c>
      <c r="B851" s="4" t="s">
        <v>2334</v>
      </c>
      <c r="C851" s="4" t="s">
        <v>39</v>
      </c>
      <c r="D851" s="6"/>
      <c r="E851" s="3" t="str">
        <f t="shared" si="1"/>
        <v>現存</v>
      </c>
      <c r="F851" s="3" t="s">
        <v>148</v>
      </c>
      <c r="G851" s="6"/>
      <c r="H851" s="3" t="str">
        <f t="shared" si="2"/>
        <v>4,5</v>
      </c>
      <c r="I851" s="3" t="s">
        <v>145</v>
      </c>
      <c r="J851" s="3" t="s">
        <v>125</v>
      </c>
      <c r="K851" s="3">
        <v>6.0</v>
      </c>
      <c r="L851" s="3">
        <v>1.0</v>
      </c>
      <c r="M851" s="4" t="s">
        <v>43</v>
      </c>
      <c r="N851" s="3" t="s">
        <v>130</v>
      </c>
      <c r="O851" s="3"/>
      <c r="P851" s="4" t="s">
        <v>1821</v>
      </c>
      <c r="Q851" s="3"/>
      <c r="R851" s="3"/>
      <c r="S851" s="6"/>
      <c r="T851" s="6"/>
      <c r="U851" s="6"/>
    </row>
    <row r="852" ht="15.75" customHeight="1">
      <c r="A852" s="4" t="s">
        <v>2335</v>
      </c>
      <c r="B852" s="4" t="s">
        <v>2336</v>
      </c>
      <c r="C852" s="4" t="s">
        <v>39</v>
      </c>
      <c r="D852" s="6"/>
      <c r="E852" s="3" t="str">
        <f t="shared" si="1"/>
        <v>現存</v>
      </c>
      <c r="F852" s="3" t="s">
        <v>152</v>
      </c>
      <c r="G852" s="6"/>
      <c r="H852" s="3" t="str">
        <f t="shared" si="2"/>
        <v>4,11</v>
      </c>
      <c r="I852" s="3" t="s">
        <v>142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130</v>
      </c>
      <c r="O852" s="9" t="s">
        <v>1558</v>
      </c>
      <c r="P852" s="4" t="s">
        <v>1821</v>
      </c>
      <c r="Q852" s="3"/>
      <c r="R852" s="3"/>
      <c r="S852" s="6"/>
      <c r="T852" s="6"/>
      <c r="U852" s="6"/>
    </row>
    <row r="853" ht="15.75" customHeight="1">
      <c r="A853" s="4" t="s">
        <v>2337</v>
      </c>
      <c r="B853" s="4" t="s">
        <v>2338</v>
      </c>
      <c r="C853" s="4" t="s">
        <v>39</v>
      </c>
      <c r="D853" s="6"/>
      <c r="E853" s="3" t="str">
        <f t="shared" si="1"/>
        <v>現存</v>
      </c>
      <c r="F853" s="3" t="s">
        <v>156</v>
      </c>
      <c r="G853" s="6"/>
      <c r="H853" s="3" t="str">
        <f t="shared" si="2"/>
        <v>4</v>
      </c>
      <c r="I853" s="3" t="s">
        <v>139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130</v>
      </c>
      <c r="O853" s="3"/>
      <c r="P853" s="4" t="s">
        <v>1821</v>
      </c>
      <c r="Q853" s="3"/>
      <c r="R853" s="3"/>
      <c r="S853" s="6"/>
      <c r="T853" s="6"/>
      <c r="U853" s="6"/>
    </row>
    <row r="854" ht="15.75" customHeight="1">
      <c r="A854" s="4" t="s">
        <v>2339</v>
      </c>
      <c r="B854" s="4" t="s">
        <v>2340</v>
      </c>
      <c r="C854" s="4" t="s">
        <v>39</v>
      </c>
      <c r="D854" s="6"/>
      <c r="E854" s="3" t="str">
        <f t="shared" si="1"/>
        <v>現存</v>
      </c>
      <c r="F854" s="3" t="s">
        <v>156</v>
      </c>
      <c r="G854" s="6"/>
      <c r="H854" s="3" t="str">
        <f t="shared" si="2"/>
        <v>4</v>
      </c>
      <c r="I854" s="3" t="s">
        <v>142</v>
      </c>
      <c r="J854" s="3" t="s">
        <v>135</v>
      </c>
      <c r="K854" s="3">
        <v>1.0</v>
      </c>
      <c r="L854" s="3">
        <v>1.0</v>
      </c>
      <c r="M854" s="4" t="s">
        <v>43</v>
      </c>
      <c r="N854" s="3" t="s">
        <v>130</v>
      </c>
      <c r="O854" s="3"/>
      <c r="P854" s="4" t="s">
        <v>1821</v>
      </c>
      <c r="Q854" s="3"/>
      <c r="R854" s="3"/>
      <c r="S854" s="6"/>
      <c r="T854" s="6"/>
      <c r="U854" s="6"/>
    </row>
    <row r="855" ht="15.75" customHeight="1">
      <c r="A855" s="4" t="s">
        <v>2341</v>
      </c>
      <c r="B855" s="4" t="s">
        <v>2342</v>
      </c>
      <c r="C855" s="4" t="s">
        <v>39</v>
      </c>
      <c r="D855" s="6"/>
      <c r="E855" s="3" t="str">
        <f t="shared" si="1"/>
        <v>現存</v>
      </c>
      <c r="F855" s="3" t="s">
        <v>2343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130</v>
      </c>
      <c r="O855" s="9" t="s">
        <v>1558</v>
      </c>
      <c r="P855" s="4" t="s">
        <v>1821</v>
      </c>
      <c r="Q855" s="3"/>
      <c r="R855" s="3"/>
      <c r="S855" s="6"/>
      <c r="T855" s="6"/>
      <c r="U855" s="6"/>
    </row>
    <row r="856" ht="15.75" customHeight="1">
      <c r="A856" s="4" t="s">
        <v>2344</v>
      </c>
      <c r="B856" s="4" t="s">
        <v>2345</v>
      </c>
      <c r="C856" s="4" t="s">
        <v>39</v>
      </c>
      <c r="D856" s="6"/>
      <c r="E856" s="3" t="str">
        <f t="shared" si="1"/>
        <v>現存</v>
      </c>
      <c r="F856" s="3" t="s">
        <v>156</v>
      </c>
      <c r="G856" s="6"/>
      <c r="H856" s="3" t="str">
        <f t="shared" si="2"/>
        <v>4</v>
      </c>
      <c r="I856" s="3" t="s">
        <v>142</v>
      </c>
      <c r="J856" s="3" t="s">
        <v>135</v>
      </c>
      <c r="K856" s="3">
        <v>2.0</v>
      </c>
      <c r="L856" s="3">
        <v>1.0</v>
      </c>
      <c r="M856" s="9" t="s">
        <v>236</v>
      </c>
      <c r="N856" s="3" t="s">
        <v>130</v>
      </c>
      <c r="O856" s="3"/>
      <c r="P856" s="4" t="s">
        <v>1821</v>
      </c>
      <c r="Q856" s="3"/>
      <c r="R856" s="3"/>
      <c r="S856" s="6"/>
      <c r="T856" s="6"/>
      <c r="U856" s="6"/>
    </row>
    <row r="857" ht="15.75" customHeight="1">
      <c r="A857" s="4" t="s">
        <v>2346</v>
      </c>
      <c r="B857" s="4" t="s">
        <v>2347</v>
      </c>
      <c r="C857" s="4" t="s">
        <v>39</v>
      </c>
      <c r="D857" s="6"/>
      <c r="E857" s="3" t="str">
        <f t="shared" si="1"/>
        <v>現存</v>
      </c>
      <c r="F857" s="3" t="s">
        <v>156</v>
      </c>
      <c r="G857" s="6"/>
      <c r="H857" s="3" t="str">
        <f t="shared" si="2"/>
        <v>4</v>
      </c>
      <c r="I857" s="3" t="s">
        <v>2348</v>
      </c>
      <c r="J857" s="3" t="s">
        <v>181</v>
      </c>
      <c r="K857" s="3">
        <v>1.0</v>
      </c>
      <c r="L857" s="3">
        <v>1.0</v>
      </c>
      <c r="M857" s="4" t="s">
        <v>43</v>
      </c>
      <c r="N857" s="3" t="s">
        <v>130</v>
      </c>
      <c r="O857" s="3"/>
      <c r="P857" s="4" t="s">
        <v>1821</v>
      </c>
      <c r="Q857" s="3"/>
      <c r="R857" s="3"/>
      <c r="S857" s="6"/>
      <c r="T857" s="6"/>
      <c r="U857" s="6"/>
    </row>
    <row r="858" ht="15.75" customHeight="1">
      <c r="A858" s="4" t="s">
        <v>2349</v>
      </c>
      <c r="B858" s="4" t="s">
        <v>2350</v>
      </c>
      <c r="C858" s="4" t="s">
        <v>39</v>
      </c>
      <c r="D858" s="6"/>
      <c r="E858" s="3" t="str">
        <f t="shared" si="1"/>
        <v>現存</v>
      </c>
      <c r="F858" s="3" t="s">
        <v>418</v>
      </c>
      <c r="G858" s="6"/>
      <c r="H858" s="3" t="str">
        <f t="shared" si="2"/>
        <v>4,6</v>
      </c>
      <c r="I858" s="3" t="s">
        <v>447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130</v>
      </c>
      <c r="O858" s="3"/>
      <c r="P858" s="4" t="s">
        <v>1821</v>
      </c>
      <c r="Q858" s="3"/>
      <c r="R858" s="3"/>
      <c r="S858" s="6"/>
      <c r="T858" s="6"/>
      <c r="U858" s="6"/>
    </row>
    <row r="859" ht="15.75" customHeight="1">
      <c r="A859" s="4" t="s">
        <v>2351</v>
      </c>
      <c r="B859" s="4" t="s">
        <v>2352</v>
      </c>
      <c r="C859" s="4" t="s">
        <v>39</v>
      </c>
      <c r="D859" s="6"/>
      <c r="E859" s="3" t="str">
        <f t="shared" si="1"/>
        <v>現存</v>
      </c>
      <c r="F859" s="3" t="s">
        <v>1358</v>
      </c>
      <c r="G859" s="6"/>
      <c r="H859" s="3" t="str">
        <f t="shared" si="2"/>
        <v>5,7,8,9</v>
      </c>
      <c r="I859" s="3" t="s">
        <v>1887</v>
      </c>
      <c r="J859" s="3" t="s">
        <v>193</v>
      </c>
      <c r="K859" s="3">
        <v>7.0</v>
      </c>
      <c r="L859" s="3">
        <v>1.0</v>
      </c>
      <c r="M859" s="4" t="s">
        <v>43</v>
      </c>
      <c r="N859" s="3" t="s">
        <v>130</v>
      </c>
      <c r="O859" s="3"/>
      <c r="P859" s="4" t="s">
        <v>1821</v>
      </c>
      <c r="Q859" s="3"/>
      <c r="R859" s="3"/>
      <c r="S859" s="6"/>
      <c r="T859" s="6"/>
      <c r="U859" s="6"/>
    </row>
    <row r="860" ht="15.75" customHeight="1">
      <c r="A860" s="4" t="s">
        <v>2353</v>
      </c>
      <c r="B860" s="4" t="s">
        <v>2354</v>
      </c>
      <c r="C860" s="4" t="s">
        <v>39</v>
      </c>
      <c r="D860" s="6"/>
      <c r="E860" s="3" t="str">
        <f t="shared" si="1"/>
        <v>現存</v>
      </c>
      <c r="F860" s="3" t="s">
        <v>171</v>
      </c>
      <c r="G860" s="6"/>
      <c r="H860" s="3" t="str">
        <f t="shared" si="2"/>
        <v>5,6</v>
      </c>
      <c r="I860" s="3" t="s">
        <v>444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130</v>
      </c>
      <c r="O860" s="3"/>
      <c r="P860" s="4" t="s">
        <v>1821</v>
      </c>
      <c r="Q860" s="4" t="s">
        <v>1137</v>
      </c>
      <c r="R860" s="3"/>
      <c r="S860" s="6"/>
      <c r="T860" s="6"/>
      <c r="U860" s="6"/>
    </row>
    <row r="861" ht="15.75" customHeight="1">
      <c r="A861" s="4" t="s">
        <v>2355</v>
      </c>
      <c r="B861" s="4" t="s">
        <v>2356</v>
      </c>
      <c r="C861" s="4" t="s">
        <v>39</v>
      </c>
      <c r="D861" s="6"/>
      <c r="E861" s="3" t="str">
        <f t="shared" si="1"/>
        <v>現存</v>
      </c>
      <c r="F861" s="3" t="s">
        <v>2206</v>
      </c>
      <c r="G861" s="6"/>
      <c r="H861" s="3" t="str">
        <f t="shared" si="2"/>
        <v>5,7,9</v>
      </c>
      <c r="I861" s="3" t="s">
        <v>145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130</v>
      </c>
      <c r="O861" s="3"/>
      <c r="P861" s="4" t="s">
        <v>1821</v>
      </c>
      <c r="Q861" s="3"/>
      <c r="R861" s="3"/>
      <c r="S861" s="6"/>
      <c r="T861" s="6"/>
      <c r="U861" s="6"/>
    </row>
    <row r="862" ht="15.75" customHeight="1">
      <c r="A862" s="4" t="s">
        <v>2357</v>
      </c>
      <c r="B862" s="4" t="s">
        <v>2358</v>
      </c>
      <c r="C862" s="4" t="s">
        <v>39</v>
      </c>
      <c r="D862" s="6"/>
      <c r="E862" s="3" t="str">
        <f t="shared" si="1"/>
        <v>現存</v>
      </c>
      <c r="F862" s="3" t="s">
        <v>2359</v>
      </c>
      <c r="G862" s="6"/>
      <c r="H862" s="3" t="str">
        <f t="shared" si="2"/>
        <v>5,6,11,12</v>
      </c>
      <c r="I862" s="3" t="s">
        <v>444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130</v>
      </c>
      <c r="O862" s="3"/>
      <c r="P862" s="4" t="s">
        <v>1821</v>
      </c>
      <c r="Q862" s="3"/>
      <c r="R862" s="3"/>
      <c r="S862" s="6"/>
      <c r="T862" s="6"/>
      <c r="U862" s="6"/>
    </row>
    <row r="863" ht="15.75" customHeight="1">
      <c r="A863" s="4" t="s">
        <v>2360</v>
      </c>
      <c r="B863" s="4" t="s">
        <v>2361</v>
      </c>
      <c r="C863" s="4" t="s">
        <v>39</v>
      </c>
      <c r="D863" s="6"/>
      <c r="E863" s="3" t="str">
        <f t="shared" si="1"/>
        <v>現存</v>
      </c>
      <c r="F863" s="3" t="s">
        <v>2362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130</v>
      </c>
      <c r="O863" s="3"/>
      <c r="P863" s="4" t="s">
        <v>1821</v>
      </c>
      <c r="Q863" s="3"/>
      <c r="R863" s="3"/>
      <c r="S863" s="6"/>
      <c r="T863" s="6"/>
      <c r="U863" s="6"/>
    </row>
    <row r="864" ht="15.75" customHeight="1">
      <c r="A864" s="4" t="s">
        <v>2363</v>
      </c>
      <c r="B864" s="4" t="s">
        <v>2364</v>
      </c>
      <c r="C864" s="4" t="s">
        <v>39</v>
      </c>
      <c r="D864" s="8" t="s">
        <v>170</v>
      </c>
      <c r="E864" s="3" t="str">
        <f t="shared" si="1"/>
        <v>近年未見</v>
      </c>
      <c r="F864" s="3" t="s">
        <v>450</v>
      </c>
      <c r="G864" s="6"/>
      <c r="H864" s="3" t="str">
        <f t="shared" si="2"/>
        <v>5</v>
      </c>
      <c r="I864" s="3" t="s">
        <v>2185</v>
      </c>
      <c r="J864" s="3" t="s">
        <v>181</v>
      </c>
      <c r="K864" s="3">
        <v>1.0</v>
      </c>
      <c r="L864" s="3">
        <v>1.0</v>
      </c>
      <c r="M864" s="4" t="s">
        <v>43</v>
      </c>
      <c r="N864" s="3" t="s">
        <v>130</v>
      </c>
      <c r="O864" s="3"/>
      <c r="P864" s="4" t="s">
        <v>1821</v>
      </c>
      <c r="Q864" s="3"/>
      <c r="R864" s="3"/>
      <c r="S864" s="6"/>
      <c r="T864" s="6"/>
      <c r="U864" s="6"/>
    </row>
    <row r="865" ht="15.75" customHeight="1">
      <c r="A865" s="4" t="s">
        <v>2365</v>
      </c>
      <c r="B865" s="9" t="s">
        <v>2366</v>
      </c>
      <c r="C865" s="4" t="s">
        <v>39</v>
      </c>
      <c r="D865" s="6"/>
      <c r="E865" s="3" t="str">
        <f t="shared" si="1"/>
        <v>現存</v>
      </c>
      <c r="F865" s="3" t="s">
        <v>450</v>
      </c>
      <c r="G865" s="6"/>
      <c r="H865" s="3" t="str">
        <f t="shared" si="2"/>
        <v>5</v>
      </c>
      <c r="I865" s="3" t="s">
        <v>160</v>
      </c>
      <c r="J865" s="3" t="s">
        <v>135</v>
      </c>
      <c r="K865" s="3">
        <v>1.0</v>
      </c>
      <c r="L865" s="3">
        <v>1.0</v>
      </c>
      <c r="M865" s="4" t="s">
        <v>43</v>
      </c>
      <c r="N865" s="3" t="s">
        <v>130</v>
      </c>
      <c r="O865" s="3"/>
      <c r="P865" s="4" t="s">
        <v>1821</v>
      </c>
      <c r="Q865" s="3"/>
      <c r="R865" s="3"/>
      <c r="S865" s="6"/>
      <c r="T865" s="6"/>
      <c r="U865" s="6"/>
    </row>
    <row r="866" ht="15.75" customHeight="1">
      <c r="A866" s="4" t="s">
        <v>2367</v>
      </c>
      <c r="B866" s="4" t="s">
        <v>2368</v>
      </c>
      <c r="C866" s="4" t="s">
        <v>39</v>
      </c>
      <c r="D866" s="6"/>
      <c r="E866" s="3" t="str">
        <f t="shared" si="1"/>
        <v>現存</v>
      </c>
      <c r="F866" s="3" t="s">
        <v>2369</v>
      </c>
      <c r="G866" s="6"/>
      <c r="H866" s="3" t="str">
        <f t="shared" si="2"/>
        <v>5,9,10,11</v>
      </c>
      <c r="I866" s="3" t="s">
        <v>1998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130</v>
      </c>
      <c r="O866" s="3"/>
      <c r="P866" s="4" t="s">
        <v>1821</v>
      </c>
      <c r="Q866" s="3"/>
      <c r="R866" s="3"/>
      <c r="S866" s="6"/>
      <c r="T866" s="6"/>
      <c r="U866" s="6"/>
    </row>
    <row r="867" ht="15.75" customHeight="1">
      <c r="A867" s="4" t="s">
        <v>2370</v>
      </c>
      <c r="B867" s="4" t="s">
        <v>2371</v>
      </c>
      <c r="C867" s="4" t="s">
        <v>39</v>
      </c>
      <c r="D867" s="6"/>
      <c r="E867" s="3" t="str">
        <f t="shared" si="1"/>
        <v>現存</v>
      </c>
      <c r="F867" s="3" t="s">
        <v>450</v>
      </c>
      <c r="G867" s="6"/>
      <c r="H867" s="3" t="str">
        <f t="shared" si="2"/>
        <v>5</v>
      </c>
      <c r="I867" s="3" t="s">
        <v>410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130</v>
      </c>
      <c r="O867" s="3"/>
      <c r="P867" s="4" t="s">
        <v>1821</v>
      </c>
      <c r="Q867" s="3"/>
      <c r="R867" s="3"/>
      <c r="S867" s="6"/>
      <c r="T867" s="6"/>
      <c r="U867" s="6"/>
    </row>
    <row r="868" ht="15.75" customHeight="1">
      <c r="A868" s="4" t="s">
        <v>2372</v>
      </c>
      <c r="B868" s="4" t="s">
        <v>2373</v>
      </c>
      <c r="C868" s="4" t="s">
        <v>39</v>
      </c>
      <c r="D868" s="6"/>
      <c r="E868" s="3" t="str">
        <f t="shared" si="1"/>
        <v>現存</v>
      </c>
      <c r="F868" s="3" t="s">
        <v>2374</v>
      </c>
      <c r="G868" s="6"/>
      <c r="H868" s="3" t="str">
        <f t="shared" si="2"/>
        <v>5,10,11</v>
      </c>
      <c r="I868" s="3" t="s">
        <v>149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130</v>
      </c>
      <c r="O868" s="3"/>
      <c r="P868" s="4" t="s">
        <v>1821</v>
      </c>
      <c r="Q868" s="3"/>
      <c r="R868" s="3"/>
      <c r="S868" s="6"/>
      <c r="T868" s="6"/>
      <c r="U868" s="6"/>
    </row>
    <row r="869" ht="15.75" customHeight="1">
      <c r="A869" s="4" t="s">
        <v>2375</v>
      </c>
      <c r="B869" s="4" t="s">
        <v>2376</v>
      </c>
      <c r="C869" s="4" t="s">
        <v>39</v>
      </c>
      <c r="D869" s="6"/>
      <c r="E869" s="3" t="str">
        <f t="shared" si="1"/>
        <v>現存</v>
      </c>
      <c r="F869" s="3" t="s">
        <v>287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2377</v>
      </c>
      <c r="O869" s="3"/>
      <c r="P869" s="4" t="s">
        <v>1821</v>
      </c>
      <c r="Q869" s="3"/>
      <c r="R869" s="3"/>
      <c r="S869" s="6"/>
      <c r="T869" s="6"/>
      <c r="U869" s="6"/>
    </row>
    <row r="870" ht="15.75" customHeight="1">
      <c r="A870" s="4" t="s">
        <v>2378</v>
      </c>
      <c r="B870" s="4" t="s">
        <v>2379</v>
      </c>
      <c r="C870" s="4" t="s">
        <v>39</v>
      </c>
      <c r="D870" s="6"/>
      <c r="E870" s="3" t="str">
        <f t="shared" si="1"/>
        <v>現存</v>
      </c>
      <c r="F870" s="3" t="s">
        <v>2380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130</v>
      </c>
      <c r="O870" s="3"/>
      <c r="P870" s="4" t="s">
        <v>1821</v>
      </c>
      <c r="Q870" s="3"/>
      <c r="R870" s="3"/>
      <c r="S870" s="6"/>
      <c r="T870" s="6"/>
      <c r="U870" s="8" t="s">
        <v>2381</v>
      </c>
    </row>
    <row r="871" ht="15.75" customHeight="1">
      <c r="A871" s="4" t="s">
        <v>2382</v>
      </c>
      <c r="B871" s="4" t="s">
        <v>2383</v>
      </c>
      <c r="C871" s="4" t="s">
        <v>39</v>
      </c>
      <c r="D871" s="6"/>
      <c r="E871" s="3" t="str">
        <f t="shared" si="1"/>
        <v>現存</v>
      </c>
      <c r="F871" s="3" t="s">
        <v>2384</v>
      </c>
      <c r="G871" s="6"/>
      <c r="H871" s="3" t="str">
        <f t="shared" si="2"/>
        <v>6,7,10</v>
      </c>
      <c r="I871" s="3" t="s">
        <v>447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130</v>
      </c>
      <c r="O871" s="3"/>
      <c r="P871" s="4" t="s">
        <v>1821</v>
      </c>
      <c r="Q871" s="3"/>
      <c r="R871" s="3"/>
      <c r="S871" s="6"/>
      <c r="T871" s="6"/>
      <c r="U871" s="6"/>
    </row>
    <row r="872" ht="15.75" customHeight="1">
      <c r="A872" s="4" t="s">
        <v>2385</v>
      </c>
      <c r="B872" s="4" t="s">
        <v>2386</v>
      </c>
      <c r="C872" s="4" t="s">
        <v>170</v>
      </c>
      <c r="D872" s="6"/>
      <c r="E872" s="3" t="str">
        <f t="shared" si="1"/>
        <v>近年未見</v>
      </c>
      <c r="F872" s="3" t="s">
        <v>2387</v>
      </c>
      <c r="G872" s="6"/>
      <c r="H872" s="3" t="str">
        <f t="shared" si="2"/>
        <v>6,9,10</v>
      </c>
      <c r="I872" s="3" t="s">
        <v>1184</v>
      </c>
      <c r="J872" s="3" t="s">
        <v>98</v>
      </c>
      <c r="K872" s="3">
        <v>4.0</v>
      </c>
      <c r="L872" s="3">
        <v>0.0</v>
      </c>
      <c r="M872" s="4" t="s">
        <v>236</v>
      </c>
      <c r="N872" s="3"/>
      <c r="O872" s="3"/>
      <c r="P872" s="4" t="s">
        <v>1821</v>
      </c>
      <c r="Q872" s="3"/>
      <c r="R872" s="3"/>
      <c r="S872" s="6"/>
      <c r="T872" s="6"/>
      <c r="U872" s="6"/>
    </row>
    <row r="873" ht="15.75" customHeight="1">
      <c r="A873" s="4" t="s">
        <v>2388</v>
      </c>
      <c r="B873" s="4" t="s">
        <v>2389</v>
      </c>
      <c r="C873" s="4" t="s">
        <v>39</v>
      </c>
      <c r="D873" s="6"/>
      <c r="E873" s="3" t="str">
        <f t="shared" si="1"/>
        <v>現存</v>
      </c>
      <c r="F873" s="3" t="s">
        <v>310</v>
      </c>
      <c r="G873" s="6"/>
      <c r="H873" s="3" t="str">
        <f t="shared" si="2"/>
        <v>6</v>
      </c>
      <c r="I873" s="3" t="s">
        <v>364</v>
      </c>
      <c r="J873" s="3" t="s">
        <v>135</v>
      </c>
      <c r="K873" s="3">
        <v>1.0</v>
      </c>
      <c r="L873" s="3">
        <v>1.0</v>
      </c>
      <c r="M873" s="4" t="s">
        <v>43</v>
      </c>
      <c r="N873" s="3" t="s">
        <v>130</v>
      </c>
      <c r="O873" s="4" t="s">
        <v>1838</v>
      </c>
      <c r="P873" s="4" t="s">
        <v>1824</v>
      </c>
      <c r="Q873" s="3"/>
      <c r="R873" s="3"/>
      <c r="S873" s="6"/>
      <c r="T873" s="6"/>
      <c r="U873" s="6"/>
    </row>
    <row r="874" ht="15.75" customHeight="1">
      <c r="A874" s="4" t="s">
        <v>2390</v>
      </c>
      <c r="B874" s="4" t="s">
        <v>2391</v>
      </c>
      <c r="C874" s="4" t="s">
        <v>39</v>
      </c>
      <c r="D874" s="6"/>
      <c r="E874" s="3" t="str">
        <f t="shared" si="1"/>
        <v>現存</v>
      </c>
      <c r="F874" s="3" t="s">
        <v>2392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130</v>
      </c>
      <c r="O874" s="3"/>
      <c r="P874" s="4" t="s">
        <v>1821</v>
      </c>
      <c r="Q874" s="3"/>
      <c r="R874" s="3"/>
      <c r="S874" s="6"/>
      <c r="T874" s="6"/>
      <c r="U874" s="6"/>
    </row>
    <row r="875" ht="15.75" customHeight="1">
      <c r="A875" s="4" t="s">
        <v>2393</v>
      </c>
      <c r="B875" s="4" t="s">
        <v>2394</v>
      </c>
      <c r="C875" s="4" t="s">
        <v>39</v>
      </c>
      <c r="D875" s="6"/>
      <c r="E875" s="3" t="str">
        <f t="shared" si="1"/>
        <v>現存</v>
      </c>
      <c r="F875" s="3" t="s">
        <v>1899</v>
      </c>
      <c r="G875" s="6"/>
      <c r="H875" s="3" t="str">
        <f t="shared" si="2"/>
        <v>7,9</v>
      </c>
      <c r="I875" s="3" t="s">
        <v>1184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130</v>
      </c>
      <c r="O875" s="3"/>
      <c r="P875" s="4" t="s">
        <v>1821</v>
      </c>
      <c r="Q875" s="3"/>
      <c r="R875" s="3"/>
      <c r="S875" s="6"/>
      <c r="T875" s="6"/>
      <c r="U875" s="6"/>
    </row>
    <row r="876" ht="15.75" customHeight="1">
      <c r="A876" s="4" t="s">
        <v>2395</v>
      </c>
      <c r="B876" s="4" t="s">
        <v>2396</v>
      </c>
      <c r="C876" s="4" t="s">
        <v>39</v>
      </c>
      <c r="D876" s="6"/>
      <c r="E876" s="3" t="str">
        <f t="shared" si="1"/>
        <v>現存</v>
      </c>
      <c r="F876" s="3" t="s">
        <v>2397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130</v>
      </c>
      <c r="O876" s="3"/>
      <c r="P876" s="4" t="s">
        <v>1821</v>
      </c>
      <c r="Q876" s="3"/>
      <c r="R876" s="3"/>
      <c r="S876" s="6"/>
      <c r="T876" s="6"/>
      <c r="U876" s="6"/>
    </row>
    <row r="877" ht="15.75" customHeight="1">
      <c r="A877" s="4" t="s">
        <v>2398</v>
      </c>
      <c r="B877" s="4" t="s">
        <v>2399</v>
      </c>
      <c r="C877" s="4" t="s">
        <v>39</v>
      </c>
      <c r="D877" s="6"/>
      <c r="E877" s="3" t="str">
        <f t="shared" si="1"/>
        <v>現存</v>
      </c>
      <c r="F877" s="3" t="s">
        <v>179</v>
      </c>
      <c r="G877" s="6"/>
      <c r="H877" s="3" t="str">
        <f t="shared" si="2"/>
        <v>8</v>
      </c>
      <c r="I877" s="3" t="s">
        <v>2400</v>
      </c>
      <c r="J877" s="3" t="s">
        <v>181</v>
      </c>
      <c r="K877" s="3">
        <v>1.0</v>
      </c>
      <c r="L877" s="3">
        <v>1.0</v>
      </c>
      <c r="M877" s="4" t="s">
        <v>43</v>
      </c>
      <c r="N877" s="3" t="s">
        <v>130</v>
      </c>
      <c r="O877" s="3"/>
      <c r="P877" s="4" t="s">
        <v>1821</v>
      </c>
      <c r="Q877" s="3"/>
      <c r="R877" s="3"/>
      <c r="S877" s="6"/>
      <c r="T877" s="6"/>
      <c r="U877" s="6"/>
    </row>
    <row r="878" ht="15.75" customHeight="1">
      <c r="A878" s="4" t="s">
        <v>2401</v>
      </c>
      <c r="B878" s="4" t="s">
        <v>2402</v>
      </c>
      <c r="C878" s="4" t="s">
        <v>39</v>
      </c>
      <c r="D878" s="6"/>
      <c r="E878" s="3" t="str">
        <f t="shared" si="1"/>
        <v>現存</v>
      </c>
      <c r="F878" s="3" t="s">
        <v>188</v>
      </c>
      <c r="G878" s="6"/>
      <c r="H878" s="3" t="str">
        <f t="shared" si="2"/>
        <v>10</v>
      </c>
      <c r="I878" s="3" t="s">
        <v>2403</v>
      </c>
      <c r="J878" s="3" t="s">
        <v>181</v>
      </c>
      <c r="K878" s="3">
        <v>1.0</v>
      </c>
      <c r="L878" s="3">
        <v>1.0</v>
      </c>
      <c r="M878" s="4" t="s">
        <v>43</v>
      </c>
      <c r="N878" s="3" t="s">
        <v>130</v>
      </c>
      <c r="O878" s="3"/>
      <c r="P878" s="4" t="s">
        <v>1821</v>
      </c>
      <c r="Q878" s="3"/>
      <c r="R878" s="3"/>
      <c r="S878" s="6"/>
      <c r="T878" s="6"/>
      <c r="U878" s="6"/>
    </row>
    <row r="879" ht="15.75" customHeight="1">
      <c r="A879" s="4" t="s">
        <v>2404</v>
      </c>
      <c r="B879" s="4" t="s">
        <v>2405</v>
      </c>
      <c r="C879" s="4" t="s">
        <v>39</v>
      </c>
      <c r="D879" s="8" t="s">
        <v>381</v>
      </c>
      <c r="E879" s="3" t="str">
        <f t="shared" si="1"/>
        <v>不收錄</v>
      </c>
      <c r="F879" s="3" t="s">
        <v>188</v>
      </c>
      <c r="G879" s="6"/>
      <c r="H879" s="3" t="str">
        <f t="shared" si="2"/>
        <v>10</v>
      </c>
      <c r="I879" s="3" t="s">
        <v>2406</v>
      </c>
      <c r="J879" s="3" t="s">
        <v>42</v>
      </c>
      <c r="K879" s="3">
        <v>1.0</v>
      </c>
      <c r="L879" s="3">
        <v>0.0</v>
      </c>
      <c r="M879" s="4" t="s">
        <v>236</v>
      </c>
      <c r="N879" s="3"/>
      <c r="O879" s="3"/>
      <c r="P879" s="4" t="s">
        <v>1821</v>
      </c>
      <c r="Q879" s="3"/>
      <c r="R879" s="3"/>
      <c r="S879" s="6"/>
      <c r="T879" s="6"/>
      <c r="U879" s="6"/>
    </row>
    <row r="880" ht="15.75" customHeight="1">
      <c r="A880" s="4" t="s">
        <v>2407</v>
      </c>
      <c r="B880" s="4" t="s">
        <v>2408</v>
      </c>
      <c r="C880" s="4" t="s">
        <v>39</v>
      </c>
      <c r="D880" s="6"/>
      <c r="E880" s="3" t="str">
        <f t="shared" si="1"/>
        <v>現存</v>
      </c>
      <c r="F880" s="3" t="s">
        <v>2409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2410</v>
      </c>
      <c r="O880" s="3"/>
      <c r="P880" s="4" t="s">
        <v>2117</v>
      </c>
      <c r="Q880" s="3"/>
      <c r="R880" s="3"/>
      <c r="S880" s="6"/>
      <c r="T880" s="6"/>
      <c r="U880" s="8" t="s">
        <v>2411</v>
      </c>
    </row>
    <row r="881" ht="15.75" customHeight="1">
      <c r="A881" s="4" t="s">
        <v>2412</v>
      </c>
      <c r="B881" s="4" t="s">
        <v>559</v>
      </c>
      <c r="C881" s="4" t="s">
        <v>39</v>
      </c>
      <c r="D881" s="6"/>
      <c r="E881" s="3" t="str">
        <f t="shared" si="1"/>
        <v>現存</v>
      </c>
      <c r="F881" s="3" t="s">
        <v>2413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2414</v>
      </c>
      <c r="O881" s="3"/>
      <c r="P881" s="4" t="s">
        <v>2117</v>
      </c>
      <c r="Q881" s="3"/>
      <c r="R881" s="3"/>
      <c r="S881" s="6"/>
      <c r="T881" s="6"/>
      <c r="U881" s="6"/>
    </row>
    <row r="882" ht="15.75" customHeight="1">
      <c r="A882" s="4" t="s">
        <v>2415</v>
      </c>
      <c r="B882" s="4" t="s">
        <v>2416</v>
      </c>
      <c r="C882" s="4" t="s">
        <v>39</v>
      </c>
      <c r="D882" s="6"/>
      <c r="E882" s="3" t="str">
        <f t="shared" si="1"/>
        <v>現存</v>
      </c>
      <c r="F882" s="3" t="s">
        <v>2417</v>
      </c>
      <c r="G882" s="8" t="s">
        <v>2418</v>
      </c>
      <c r="H882" s="3" t="str">
        <f t="shared" si="2"/>
        <v>1,5,7,8,9,10</v>
      </c>
      <c r="I882" s="3" t="s">
        <v>112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130</v>
      </c>
      <c r="O882" s="3"/>
      <c r="P882" s="4" t="s">
        <v>2117</v>
      </c>
      <c r="Q882" s="3"/>
      <c r="R882" s="3"/>
      <c r="S882" s="6"/>
      <c r="T882" s="6"/>
      <c r="U882" s="6"/>
    </row>
    <row r="883" ht="15.75" customHeight="1">
      <c r="A883" s="4" t="s">
        <v>2419</v>
      </c>
      <c r="B883" s="4" t="s">
        <v>2420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117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130</v>
      </c>
      <c r="O883" s="3"/>
      <c r="P883" s="4" t="s">
        <v>2117</v>
      </c>
      <c r="Q883" s="3"/>
      <c r="R883" s="3"/>
      <c r="S883" s="6"/>
      <c r="T883" s="6"/>
      <c r="U883" s="8" t="s">
        <v>2421</v>
      </c>
    </row>
    <row r="884" ht="15.75" customHeight="1">
      <c r="A884" s="4" t="s">
        <v>2422</v>
      </c>
      <c r="B884" s="4" t="s">
        <v>2423</v>
      </c>
      <c r="C884" s="4" t="s">
        <v>39</v>
      </c>
      <c r="D884" s="6"/>
      <c r="E884" s="3" t="str">
        <f t="shared" si="1"/>
        <v>現存</v>
      </c>
      <c r="F884" s="3" t="s">
        <v>2424</v>
      </c>
      <c r="G884" s="6"/>
      <c r="H884" s="3" t="str">
        <f t="shared" si="2"/>
        <v>1,2,3,5,7,12</v>
      </c>
      <c r="I884" s="3" t="s">
        <v>644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156</v>
      </c>
      <c r="O884" s="3"/>
      <c r="P884" s="4" t="s">
        <v>2117</v>
      </c>
      <c r="Q884" s="3"/>
      <c r="R884" s="3"/>
      <c r="S884" s="6"/>
      <c r="T884" s="6"/>
      <c r="U884" s="6"/>
    </row>
    <row r="885" ht="15.75" customHeight="1">
      <c r="A885" s="4" t="s">
        <v>2425</v>
      </c>
      <c r="B885" s="4" t="s">
        <v>2426</v>
      </c>
      <c r="C885" s="4" t="s">
        <v>39</v>
      </c>
      <c r="D885" s="8" t="s">
        <v>381</v>
      </c>
      <c r="E885" s="3" t="str">
        <f t="shared" si="1"/>
        <v>不收錄</v>
      </c>
      <c r="F885" s="3" t="s">
        <v>130</v>
      </c>
      <c r="G885" s="6"/>
      <c r="H885" s="3" t="str">
        <f t="shared" si="2"/>
        <v>1</v>
      </c>
      <c r="I885" s="3" t="s">
        <v>49</v>
      </c>
      <c r="J885" s="3" t="s">
        <v>135</v>
      </c>
      <c r="K885" s="3">
        <v>1.0</v>
      </c>
      <c r="L885" s="3">
        <v>1.0</v>
      </c>
      <c r="M885" s="9" t="s">
        <v>236</v>
      </c>
      <c r="N885" s="3" t="s">
        <v>130</v>
      </c>
      <c r="O885" s="3"/>
      <c r="P885" s="4" t="s">
        <v>2117</v>
      </c>
      <c r="Q885" s="3"/>
      <c r="R885" s="3"/>
      <c r="S885" s="6"/>
      <c r="T885" s="6"/>
      <c r="U885" s="6"/>
    </row>
    <row r="886" ht="15.75" customHeight="1">
      <c r="A886" s="4" t="s">
        <v>2427</v>
      </c>
      <c r="B886" s="4" t="s">
        <v>2428</v>
      </c>
      <c r="C886" s="4" t="s">
        <v>39</v>
      </c>
      <c r="D886" s="6"/>
      <c r="E886" s="3" t="str">
        <f t="shared" si="1"/>
        <v>現存</v>
      </c>
      <c r="F886" s="3" t="s">
        <v>2429</v>
      </c>
      <c r="G886" s="6"/>
      <c r="H886" s="3" t="str">
        <f t="shared" si="2"/>
        <v>1,2,3,4,5</v>
      </c>
      <c r="I886" s="3" t="s">
        <v>160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130</v>
      </c>
      <c r="O886" s="3"/>
      <c r="P886" s="4" t="s">
        <v>2117</v>
      </c>
      <c r="Q886" s="3"/>
      <c r="R886" s="3"/>
      <c r="S886" s="6"/>
      <c r="T886" s="6"/>
      <c r="U886" s="6"/>
    </row>
    <row r="887" ht="15.75" customHeight="1">
      <c r="A887" s="4" t="s">
        <v>2430</v>
      </c>
      <c r="B887" s="4" t="s">
        <v>2431</v>
      </c>
      <c r="C887" s="4" t="s">
        <v>39</v>
      </c>
      <c r="D887" s="6"/>
      <c r="E887" s="3" t="str">
        <f t="shared" si="1"/>
        <v>現存</v>
      </c>
      <c r="F887" s="3" t="s">
        <v>1687</v>
      </c>
      <c r="G887" s="8" t="s">
        <v>2432</v>
      </c>
      <c r="H887" s="3" t="str">
        <f t="shared" si="2"/>
        <v>1,5,6,7,8,9,10</v>
      </c>
      <c r="I887" s="3" t="s">
        <v>149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130</v>
      </c>
      <c r="O887" s="3"/>
      <c r="P887" s="4" t="s">
        <v>2117</v>
      </c>
      <c r="Q887" s="3"/>
      <c r="R887" s="3"/>
      <c r="S887" s="6"/>
      <c r="T887" s="6"/>
      <c r="U887" s="8" t="s">
        <v>2433</v>
      </c>
    </row>
    <row r="888" ht="15.75" customHeight="1">
      <c r="A888" s="4" t="s">
        <v>2434</v>
      </c>
      <c r="B888" s="4" t="s">
        <v>2435</v>
      </c>
      <c r="C888" s="4" t="s">
        <v>39</v>
      </c>
      <c r="D888" s="6"/>
      <c r="E888" s="3" t="str">
        <f t="shared" si="1"/>
        <v>現存</v>
      </c>
      <c r="F888" s="3" t="s">
        <v>130</v>
      </c>
      <c r="G888" s="6"/>
      <c r="H888" s="3" t="str">
        <f t="shared" si="2"/>
        <v>1</v>
      </c>
      <c r="I888" s="3" t="s">
        <v>2436</v>
      </c>
      <c r="J888" s="3" t="s">
        <v>181</v>
      </c>
      <c r="K888" s="3">
        <v>1.0</v>
      </c>
      <c r="L888" s="3">
        <v>1.0</v>
      </c>
      <c r="M888" s="4" t="s">
        <v>43</v>
      </c>
      <c r="N888" s="3" t="s">
        <v>130</v>
      </c>
      <c r="O888" s="3"/>
      <c r="P888" s="4" t="s">
        <v>2117</v>
      </c>
      <c r="Q888" s="3"/>
      <c r="R888" s="3"/>
      <c r="S888" s="6"/>
      <c r="T888" s="6"/>
      <c r="U888" s="6"/>
    </row>
    <row r="889" ht="15.75" customHeight="1">
      <c r="A889" s="4" t="s">
        <v>2437</v>
      </c>
      <c r="B889" s="4" t="s">
        <v>2438</v>
      </c>
      <c r="C889" s="4" t="s">
        <v>39</v>
      </c>
      <c r="D889" s="6"/>
      <c r="E889" s="3" t="str">
        <f t="shared" si="1"/>
        <v>現存</v>
      </c>
      <c r="F889" s="3" t="s">
        <v>903</v>
      </c>
      <c r="G889" s="6"/>
      <c r="H889" s="3" t="str">
        <f t="shared" si="2"/>
        <v>1,3,4,12</v>
      </c>
      <c r="I889" s="3" t="s">
        <v>142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130</v>
      </c>
      <c r="O889" s="3"/>
      <c r="P889" s="4" t="s">
        <v>2117</v>
      </c>
      <c r="Q889" s="3"/>
      <c r="R889" s="3"/>
      <c r="S889" s="6"/>
      <c r="T889" s="6"/>
      <c r="U889" s="8" t="s">
        <v>2439</v>
      </c>
    </row>
    <row r="890" ht="15.75" customHeight="1">
      <c r="A890" s="4" t="s">
        <v>2440</v>
      </c>
      <c r="B890" s="4" t="s">
        <v>2441</v>
      </c>
      <c r="C890" s="4" t="s">
        <v>39</v>
      </c>
      <c r="D890" s="6"/>
      <c r="E890" s="3" t="str">
        <f t="shared" si="1"/>
        <v>現存</v>
      </c>
      <c r="F890" s="3" t="s">
        <v>130</v>
      </c>
      <c r="G890" s="6"/>
      <c r="H890" s="3" t="str">
        <f t="shared" si="2"/>
        <v>1</v>
      </c>
      <c r="I890" s="3" t="s">
        <v>2442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130</v>
      </c>
      <c r="O890" s="3"/>
      <c r="P890" s="4" t="s">
        <v>2117</v>
      </c>
      <c r="Q890" s="3"/>
      <c r="R890" s="3"/>
      <c r="S890" s="6"/>
      <c r="T890" s="6"/>
      <c r="U890" s="6"/>
    </row>
    <row r="891" ht="15.75" customHeight="1">
      <c r="A891" s="4" t="s">
        <v>2443</v>
      </c>
      <c r="B891" s="4" t="s">
        <v>2444</v>
      </c>
      <c r="C891" s="4" t="s">
        <v>39</v>
      </c>
      <c r="D891" s="6"/>
      <c r="E891" s="3" t="str">
        <f t="shared" si="1"/>
        <v>現存</v>
      </c>
      <c r="F891" s="3" t="s">
        <v>2445</v>
      </c>
      <c r="G891" s="8" t="s">
        <v>2446</v>
      </c>
      <c r="H891" s="3" t="str">
        <f t="shared" si="2"/>
        <v>1,6,7,8,9,10,11,12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130</v>
      </c>
      <c r="O891" s="3"/>
      <c r="P891" s="4" t="s">
        <v>2117</v>
      </c>
      <c r="Q891" s="3"/>
      <c r="R891" s="3"/>
      <c r="S891" s="6"/>
      <c r="T891" s="6"/>
      <c r="U891" s="6"/>
    </row>
    <row r="892" ht="15.75" customHeight="1">
      <c r="A892" s="4" t="s">
        <v>2447</v>
      </c>
      <c r="B892" s="4" t="s">
        <v>2448</v>
      </c>
      <c r="C892" s="4" t="s">
        <v>39</v>
      </c>
      <c r="D892" s="6"/>
      <c r="E892" s="3" t="str">
        <f t="shared" si="1"/>
        <v>現存</v>
      </c>
      <c r="F892" s="3" t="s">
        <v>2449</v>
      </c>
      <c r="G892" s="6"/>
      <c r="H892" s="3" t="str">
        <f t="shared" si="2"/>
        <v>1,10,12</v>
      </c>
      <c r="I892" s="3" t="s">
        <v>530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130</v>
      </c>
      <c r="O892" s="9" t="s">
        <v>1558</v>
      </c>
      <c r="P892" s="4" t="s">
        <v>2117</v>
      </c>
      <c r="Q892" s="3"/>
      <c r="R892" s="3"/>
      <c r="S892" s="6"/>
      <c r="T892" s="6"/>
      <c r="U892" s="8" t="s">
        <v>2450</v>
      </c>
    </row>
    <row r="893" ht="15.75" customHeight="1">
      <c r="A893" s="4" t="s">
        <v>2451</v>
      </c>
      <c r="B893" s="4" t="s">
        <v>2452</v>
      </c>
      <c r="C893" s="4" t="s">
        <v>39</v>
      </c>
      <c r="D893" s="6"/>
      <c r="E893" s="3" t="str">
        <f t="shared" si="1"/>
        <v>現存</v>
      </c>
      <c r="F893" s="3" t="s">
        <v>2453</v>
      </c>
      <c r="G893" s="6"/>
      <c r="H893" s="3" t="str">
        <f t="shared" si="2"/>
        <v>1,10,11</v>
      </c>
      <c r="I893" s="3" t="s">
        <v>530</v>
      </c>
      <c r="J893" s="3" t="s">
        <v>125</v>
      </c>
      <c r="K893" s="3">
        <v>3.0</v>
      </c>
      <c r="L893" s="3">
        <v>1.0</v>
      </c>
      <c r="M893" s="4" t="s">
        <v>43</v>
      </c>
      <c r="N893" s="3" t="s">
        <v>130</v>
      </c>
      <c r="O893" s="3"/>
      <c r="P893" s="4" t="s">
        <v>2117</v>
      </c>
      <c r="Q893" s="3"/>
      <c r="R893" s="3"/>
      <c r="S893" s="6"/>
      <c r="T893" s="6"/>
      <c r="U893" s="6"/>
    </row>
    <row r="894" ht="15.75" customHeight="1">
      <c r="A894" s="4" t="s">
        <v>2454</v>
      </c>
      <c r="B894" s="4" t="s">
        <v>2455</v>
      </c>
      <c r="C894" s="4" t="s">
        <v>170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2456</v>
      </c>
      <c r="J894" s="3" t="s">
        <v>181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2117</v>
      </c>
      <c r="Q894" s="3"/>
      <c r="R894" s="3"/>
      <c r="S894" s="6"/>
      <c r="T894" s="6"/>
      <c r="U894" s="6"/>
    </row>
    <row r="895" ht="15.75" customHeight="1">
      <c r="A895" s="4" t="s">
        <v>2457</v>
      </c>
      <c r="B895" s="4" t="s">
        <v>2458</v>
      </c>
      <c r="C895" s="4" t="s">
        <v>39</v>
      </c>
      <c r="D895" s="6"/>
      <c r="E895" s="3" t="str">
        <f t="shared" si="1"/>
        <v>現存</v>
      </c>
      <c r="F895" s="3" t="s">
        <v>2459</v>
      </c>
      <c r="G895" s="8" t="s">
        <v>2460</v>
      </c>
      <c r="H895" s="3" t="str">
        <f t="shared" si="2"/>
        <v>2,7,8,9,10</v>
      </c>
      <c r="I895" s="3" t="s">
        <v>386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130</v>
      </c>
      <c r="O895" s="3"/>
      <c r="P895" s="4" t="s">
        <v>2117</v>
      </c>
      <c r="Q895" s="3"/>
      <c r="R895" s="3"/>
      <c r="S895" s="6"/>
      <c r="T895" s="6"/>
      <c r="U895" s="6"/>
    </row>
    <row r="896" ht="15.75" customHeight="1">
      <c r="A896" s="4" t="s">
        <v>2461</v>
      </c>
      <c r="B896" s="4" t="s">
        <v>2462</v>
      </c>
      <c r="C896" s="4" t="s">
        <v>39</v>
      </c>
      <c r="D896" s="6"/>
      <c r="E896" s="3" t="str">
        <f t="shared" si="1"/>
        <v>現存</v>
      </c>
      <c r="F896" s="3" t="s">
        <v>2463</v>
      </c>
      <c r="G896" s="6"/>
      <c r="H896" s="3" t="str">
        <f t="shared" si="2"/>
        <v>2,3,5,11</v>
      </c>
      <c r="I896" s="3" t="s">
        <v>145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130</v>
      </c>
      <c r="O896" s="3"/>
      <c r="P896" s="4" t="s">
        <v>2117</v>
      </c>
      <c r="Q896" s="3"/>
      <c r="R896" s="3"/>
      <c r="S896" s="6"/>
      <c r="T896" s="6"/>
      <c r="U896" s="6"/>
    </row>
    <row r="897" ht="15.75" customHeight="1">
      <c r="A897" s="4" t="s">
        <v>2464</v>
      </c>
      <c r="B897" s="4" t="s">
        <v>2465</v>
      </c>
      <c r="C897" s="4" t="s">
        <v>39</v>
      </c>
      <c r="D897" s="6"/>
      <c r="E897" s="3" t="str">
        <f t="shared" si="1"/>
        <v>現存</v>
      </c>
      <c r="F897" s="3" t="s">
        <v>2466</v>
      </c>
      <c r="G897" s="6"/>
      <c r="H897" s="3" t="str">
        <f t="shared" si="2"/>
        <v>2,3,4,5,6,12</v>
      </c>
      <c r="I897" s="3" t="s">
        <v>117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130</v>
      </c>
      <c r="O897" s="3"/>
      <c r="P897" s="4" t="s">
        <v>2117</v>
      </c>
      <c r="Q897" s="3"/>
      <c r="R897" s="3"/>
      <c r="S897" s="6"/>
      <c r="T897" s="6"/>
      <c r="U897" s="6"/>
    </row>
    <row r="898" ht="15.75" customHeight="1">
      <c r="A898" s="4" t="s">
        <v>2467</v>
      </c>
      <c r="B898" s="4" t="s">
        <v>2468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212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130</v>
      </c>
      <c r="O898" s="3"/>
      <c r="P898" s="4" t="s">
        <v>2117</v>
      </c>
      <c r="Q898" s="3"/>
      <c r="R898" s="3"/>
      <c r="S898" s="6"/>
      <c r="T898" s="6"/>
      <c r="U898" s="6"/>
    </row>
    <row r="899" ht="15.75" customHeight="1">
      <c r="A899" s="4" t="s">
        <v>2469</v>
      </c>
      <c r="B899" s="4" t="s">
        <v>2470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130</v>
      </c>
      <c r="O899" s="3"/>
      <c r="P899" s="4" t="s">
        <v>2117</v>
      </c>
      <c r="Q899" s="3"/>
      <c r="R899" s="3"/>
      <c r="S899" s="6"/>
      <c r="T899" s="6"/>
      <c r="U899" s="6"/>
    </row>
    <row r="900" ht="15.75" customHeight="1">
      <c r="A900" s="4" t="s">
        <v>2471</v>
      </c>
      <c r="B900" s="4" t="s">
        <v>2472</v>
      </c>
      <c r="C900" s="4" t="s">
        <v>39</v>
      </c>
      <c r="D900" s="6"/>
      <c r="E900" s="3" t="str">
        <f t="shared" si="1"/>
        <v>現存</v>
      </c>
      <c r="F900" s="3" t="s">
        <v>2473</v>
      </c>
      <c r="G900" s="6"/>
      <c r="H900" s="3" t="str">
        <f t="shared" si="2"/>
        <v>2,4</v>
      </c>
      <c r="I900" s="3" t="s">
        <v>83</v>
      </c>
      <c r="J900" s="3" t="s">
        <v>125</v>
      </c>
      <c r="K900" s="3">
        <v>3.0</v>
      </c>
      <c r="L900" s="3">
        <v>1.0</v>
      </c>
      <c r="M900" s="4" t="s">
        <v>43</v>
      </c>
      <c r="N900" s="3" t="s">
        <v>130</v>
      </c>
      <c r="O900" s="3"/>
      <c r="P900" s="4" t="s">
        <v>2117</v>
      </c>
      <c r="Q900" s="3"/>
      <c r="R900" s="3"/>
      <c r="S900" s="6"/>
      <c r="T900" s="6"/>
      <c r="U900" s="6"/>
    </row>
    <row r="901" ht="15.75" customHeight="1">
      <c r="A901" s="4" t="s">
        <v>2474</v>
      </c>
      <c r="B901" s="4" t="s">
        <v>2475</v>
      </c>
      <c r="C901" s="4" t="s">
        <v>39</v>
      </c>
      <c r="D901" s="6"/>
      <c r="E901" s="3" t="str">
        <f t="shared" si="1"/>
        <v>現存</v>
      </c>
      <c r="F901" s="3" t="s">
        <v>218</v>
      </c>
      <c r="G901" s="6"/>
      <c r="H901" s="3" t="str">
        <f t="shared" si="2"/>
        <v>2,3</v>
      </c>
      <c r="I901" s="3" t="s">
        <v>117</v>
      </c>
      <c r="J901" s="3" t="s">
        <v>125</v>
      </c>
      <c r="K901" s="3">
        <v>2.0</v>
      </c>
      <c r="L901" s="3">
        <v>1.0</v>
      </c>
      <c r="M901" s="4" t="s">
        <v>43</v>
      </c>
      <c r="N901" s="3" t="s">
        <v>130</v>
      </c>
      <c r="O901" s="3"/>
      <c r="P901" s="4" t="s">
        <v>2117</v>
      </c>
      <c r="Q901" s="3"/>
      <c r="R901" s="3"/>
      <c r="S901" s="6"/>
      <c r="T901" s="6"/>
      <c r="U901" s="6"/>
    </row>
    <row r="902" ht="15.75" customHeight="1">
      <c r="A902" s="4" t="s">
        <v>2476</v>
      </c>
      <c r="B902" s="4" t="s">
        <v>2477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212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130</v>
      </c>
      <c r="O902" s="3"/>
      <c r="P902" s="4" t="s">
        <v>2117</v>
      </c>
      <c r="Q902" s="3"/>
      <c r="R902" s="3"/>
      <c r="S902" s="6"/>
      <c r="T902" s="6"/>
      <c r="U902" s="6"/>
    </row>
    <row r="903" ht="15.75" customHeight="1">
      <c r="A903" s="4" t="s">
        <v>2478</v>
      </c>
      <c r="B903" s="4" t="s">
        <v>2479</v>
      </c>
      <c r="C903" s="4" t="s">
        <v>39</v>
      </c>
      <c r="D903" s="6"/>
      <c r="E903" s="3" t="str">
        <f t="shared" si="1"/>
        <v>現存</v>
      </c>
      <c r="F903" s="3" t="s">
        <v>2480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130</v>
      </c>
      <c r="O903" s="3"/>
      <c r="P903" s="4" t="s">
        <v>2117</v>
      </c>
      <c r="Q903" s="3"/>
      <c r="R903" s="3"/>
      <c r="S903" s="6"/>
      <c r="T903" s="6"/>
      <c r="U903" s="8" t="s">
        <v>2481</v>
      </c>
    </row>
    <row r="904" ht="15.75" customHeight="1">
      <c r="A904" s="4" t="s">
        <v>2482</v>
      </c>
      <c r="B904" s="4" t="s">
        <v>2483</v>
      </c>
      <c r="C904" s="4" t="s">
        <v>39</v>
      </c>
      <c r="D904" s="6"/>
      <c r="E904" s="3" t="str">
        <f t="shared" si="1"/>
        <v>現存</v>
      </c>
      <c r="F904" s="3" t="s">
        <v>266</v>
      </c>
      <c r="G904" s="6"/>
      <c r="H904" s="3" t="str">
        <f t="shared" si="2"/>
        <v>3,10,11,12</v>
      </c>
      <c r="I904" s="3" t="s">
        <v>117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130</v>
      </c>
      <c r="O904" s="3"/>
      <c r="P904" s="4" t="s">
        <v>2117</v>
      </c>
      <c r="Q904" s="3"/>
      <c r="R904" s="3"/>
      <c r="S904" s="6"/>
      <c r="T904" s="6"/>
      <c r="U904" s="6"/>
    </row>
    <row r="905" ht="15.75" customHeight="1">
      <c r="A905" s="4" t="s">
        <v>2484</v>
      </c>
      <c r="B905" s="4" t="s">
        <v>2485</v>
      </c>
      <c r="C905" s="4" t="s">
        <v>39</v>
      </c>
      <c r="D905" s="6"/>
      <c r="E905" s="3" t="str">
        <f t="shared" si="1"/>
        <v>現存</v>
      </c>
      <c r="F905" s="3" t="s">
        <v>116</v>
      </c>
      <c r="G905" s="6"/>
      <c r="H905" s="3" t="str">
        <f t="shared" si="2"/>
        <v>3,4</v>
      </c>
      <c r="I905" s="3" t="s">
        <v>709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130</v>
      </c>
      <c r="O905" s="3"/>
      <c r="P905" s="4" t="s">
        <v>2117</v>
      </c>
      <c r="Q905" s="3"/>
      <c r="R905" s="3"/>
      <c r="S905" s="6"/>
      <c r="T905" s="6"/>
      <c r="U905" s="8" t="s">
        <v>2486</v>
      </c>
    </row>
    <row r="906" ht="15.75" customHeight="1">
      <c r="A906" s="4" t="s">
        <v>2487</v>
      </c>
      <c r="B906" s="4" t="s">
        <v>1363</v>
      </c>
      <c r="C906" s="4" t="s">
        <v>170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382</v>
      </c>
      <c r="J906" s="3" t="s">
        <v>181</v>
      </c>
      <c r="K906" s="3">
        <v>1.0</v>
      </c>
      <c r="L906" s="3">
        <v>0.0</v>
      </c>
      <c r="M906" s="4" t="s">
        <v>236</v>
      </c>
      <c r="N906" s="3"/>
      <c r="O906" s="3"/>
      <c r="P906" s="4" t="s">
        <v>2117</v>
      </c>
      <c r="Q906" s="3"/>
      <c r="R906" s="3"/>
      <c r="S906" s="6"/>
      <c r="T906" s="6"/>
      <c r="U906" s="6"/>
    </row>
    <row r="907" ht="15.75" customHeight="1">
      <c r="A907" s="4" t="s">
        <v>2488</v>
      </c>
      <c r="B907" s="4" t="s">
        <v>2489</v>
      </c>
      <c r="C907" s="4" t="s">
        <v>39</v>
      </c>
      <c r="D907" s="6"/>
      <c r="E907" s="3" t="str">
        <f t="shared" si="1"/>
        <v>現存</v>
      </c>
      <c r="F907" s="3" t="s">
        <v>2490</v>
      </c>
      <c r="G907" s="6"/>
      <c r="H907" s="3" t="str">
        <f t="shared" si="2"/>
        <v>3,5,8</v>
      </c>
      <c r="I907" s="3" t="s">
        <v>319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130</v>
      </c>
      <c r="O907" s="3"/>
      <c r="P907" s="4" t="s">
        <v>2117</v>
      </c>
      <c r="Q907" s="3"/>
      <c r="R907" s="3"/>
      <c r="S907" s="6"/>
      <c r="T907" s="6"/>
      <c r="U907" s="6"/>
    </row>
    <row r="908" ht="15.75" customHeight="1">
      <c r="A908" s="4" t="s">
        <v>2491</v>
      </c>
      <c r="B908" s="4" t="s">
        <v>2492</v>
      </c>
      <c r="C908" s="4" t="s">
        <v>39</v>
      </c>
      <c r="D908" s="6"/>
      <c r="E908" s="3" t="str">
        <f t="shared" si="1"/>
        <v>現存</v>
      </c>
      <c r="F908" s="3" t="s">
        <v>116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2493</v>
      </c>
      <c r="O908" s="3"/>
      <c r="P908" s="4" t="s">
        <v>2117</v>
      </c>
      <c r="Q908" s="3"/>
      <c r="R908" s="3"/>
      <c r="S908" s="6"/>
      <c r="T908" s="6"/>
      <c r="U908" s="6"/>
    </row>
    <row r="909" ht="15.75" customHeight="1">
      <c r="A909" s="4" t="s">
        <v>2494</v>
      </c>
      <c r="B909" s="4" t="s">
        <v>2495</v>
      </c>
      <c r="C909" s="4" t="s">
        <v>170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2496</v>
      </c>
      <c r="J909" s="3" t="s">
        <v>181</v>
      </c>
      <c r="K909" s="3">
        <v>1.0</v>
      </c>
      <c r="L909" s="3">
        <v>0.0</v>
      </c>
      <c r="M909" s="4" t="s">
        <v>236</v>
      </c>
      <c r="N909" s="3"/>
      <c r="O909" s="3"/>
      <c r="P909" s="4" t="s">
        <v>2117</v>
      </c>
      <c r="Q909" s="3"/>
      <c r="R909" s="3"/>
      <c r="S909" s="6"/>
      <c r="T909" s="6"/>
      <c r="U909" s="6"/>
    </row>
    <row r="910" ht="15.75" customHeight="1">
      <c r="A910" s="4" t="s">
        <v>2497</v>
      </c>
      <c r="B910" s="4" t="s">
        <v>2498</v>
      </c>
      <c r="C910" s="4" t="s">
        <v>39</v>
      </c>
      <c r="D910" s="6"/>
      <c r="E910" s="3" t="str">
        <f t="shared" si="1"/>
        <v>現存</v>
      </c>
      <c r="F910" s="3" t="s">
        <v>2499</v>
      </c>
      <c r="G910" s="6"/>
      <c r="H910" s="3" t="str">
        <f t="shared" si="2"/>
        <v>3,4,5,6,7,8,9,10,12</v>
      </c>
      <c r="I910" s="3" t="s">
        <v>857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130</v>
      </c>
      <c r="O910" s="3"/>
      <c r="P910" s="4" t="s">
        <v>2117</v>
      </c>
      <c r="Q910" s="3"/>
      <c r="R910" s="3"/>
      <c r="S910" s="6"/>
      <c r="T910" s="6"/>
      <c r="U910" s="6"/>
    </row>
    <row r="911" ht="15.75" customHeight="1">
      <c r="A911" s="4" t="s">
        <v>2500</v>
      </c>
      <c r="B911" s="4" t="s">
        <v>2501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547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130</v>
      </c>
      <c r="O911" s="3"/>
      <c r="P911" s="4" t="s">
        <v>2117</v>
      </c>
      <c r="Q911" s="3"/>
      <c r="R911" s="3"/>
      <c r="S911" s="6"/>
      <c r="T911" s="6"/>
      <c r="U911" s="6"/>
    </row>
    <row r="912" ht="15.75" customHeight="1">
      <c r="A912" s="4" t="s">
        <v>2502</v>
      </c>
      <c r="B912" s="4" t="s">
        <v>2503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709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130</v>
      </c>
      <c r="O912" s="3"/>
      <c r="P912" s="4" t="s">
        <v>2117</v>
      </c>
      <c r="Q912" s="3"/>
      <c r="R912" s="3"/>
      <c r="S912" s="6"/>
      <c r="T912" s="6"/>
      <c r="U912" s="8" t="s">
        <v>2504</v>
      </c>
    </row>
    <row r="913" ht="15.75" customHeight="1">
      <c r="A913" s="4" t="s">
        <v>2505</v>
      </c>
      <c r="B913" s="4" t="s">
        <v>2506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117</v>
      </c>
      <c r="J913" s="3" t="s">
        <v>135</v>
      </c>
      <c r="K913" s="3">
        <v>1.0</v>
      </c>
      <c r="L913" s="3">
        <v>1.0</v>
      </c>
      <c r="M913" s="4" t="s">
        <v>43</v>
      </c>
      <c r="N913" s="3" t="s">
        <v>130</v>
      </c>
      <c r="O913" s="3"/>
      <c r="P913" s="4" t="s">
        <v>2117</v>
      </c>
      <c r="Q913" s="3"/>
      <c r="R913" s="3"/>
      <c r="S913" s="6"/>
      <c r="T913" s="6"/>
      <c r="U913" s="6"/>
    </row>
    <row r="914" ht="15.75" customHeight="1">
      <c r="A914" s="4" t="s">
        <v>2507</v>
      </c>
      <c r="B914" s="4" t="s">
        <v>2508</v>
      </c>
      <c r="C914" s="4" t="s">
        <v>39</v>
      </c>
      <c r="D914" s="6"/>
      <c r="E914" s="3" t="str">
        <f t="shared" si="1"/>
        <v>現存</v>
      </c>
      <c r="F914" s="3" t="s">
        <v>1146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130</v>
      </c>
      <c r="O914" s="3"/>
      <c r="P914" s="4" t="s">
        <v>2117</v>
      </c>
      <c r="Q914" s="3"/>
      <c r="R914" s="3"/>
      <c r="S914" s="6"/>
      <c r="T914" s="6"/>
      <c r="U914" s="6"/>
    </row>
    <row r="915" ht="15.75" customHeight="1">
      <c r="A915" s="4" t="s">
        <v>2509</v>
      </c>
      <c r="B915" s="4" t="s">
        <v>2510</v>
      </c>
      <c r="C915" s="4" t="s">
        <v>39</v>
      </c>
      <c r="D915" s="6"/>
      <c r="E915" s="3" t="str">
        <f t="shared" si="1"/>
        <v>現存</v>
      </c>
      <c r="F915" s="3" t="s">
        <v>2511</v>
      </c>
      <c r="G915" s="6"/>
      <c r="H915" s="3" t="str">
        <f t="shared" si="2"/>
        <v>3,6,10,11,12</v>
      </c>
      <c r="I915" s="3" t="s">
        <v>252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130</v>
      </c>
      <c r="O915" s="3"/>
      <c r="P915" s="4" t="s">
        <v>2117</v>
      </c>
      <c r="Q915" s="3"/>
      <c r="R915" s="3"/>
      <c r="S915" s="6"/>
      <c r="T915" s="6"/>
      <c r="U915" s="6"/>
    </row>
    <row r="916" ht="15.75" customHeight="1">
      <c r="A916" s="4" t="s">
        <v>2512</v>
      </c>
      <c r="B916" s="9" t="s">
        <v>2115</v>
      </c>
      <c r="C916" s="4" t="s">
        <v>39</v>
      </c>
      <c r="D916" s="6"/>
      <c r="E916" s="3" t="str">
        <f t="shared" si="1"/>
        <v>現存</v>
      </c>
      <c r="F916" s="3" t="s">
        <v>116</v>
      </c>
      <c r="G916" s="6"/>
      <c r="H916" s="3" t="str">
        <f t="shared" si="2"/>
        <v>3,4</v>
      </c>
      <c r="I916" s="3" t="s">
        <v>378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130</v>
      </c>
      <c r="O916" s="3"/>
      <c r="P916" s="4" t="s">
        <v>2117</v>
      </c>
      <c r="Q916" s="3"/>
      <c r="R916" s="3"/>
      <c r="S916" s="6"/>
      <c r="T916" s="6"/>
      <c r="U916" s="6"/>
    </row>
    <row r="917" ht="15.75" customHeight="1">
      <c r="A917" s="4" t="s">
        <v>2513</v>
      </c>
      <c r="B917" s="4" t="s">
        <v>2514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709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2117</v>
      </c>
      <c r="Q917" s="3"/>
      <c r="R917" s="3"/>
      <c r="S917" s="6"/>
      <c r="T917" s="6"/>
      <c r="U917" s="6"/>
    </row>
    <row r="918" ht="15.75" customHeight="1">
      <c r="A918" s="4" t="s">
        <v>2515</v>
      </c>
      <c r="B918" s="4" t="s">
        <v>2516</v>
      </c>
      <c r="C918" s="4" t="s">
        <v>39</v>
      </c>
      <c r="D918" s="6"/>
      <c r="E918" s="3" t="str">
        <f t="shared" si="1"/>
        <v>現存</v>
      </c>
      <c r="F918" s="3" t="s">
        <v>2517</v>
      </c>
      <c r="G918" s="6"/>
      <c r="H918" s="3" t="str">
        <f t="shared" si="2"/>
        <v>3,5,8,10,11</v>
      </c>
      <c r="I918" s="3" t="s">
        <v>271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130</v>
      </c>
      <c r="O918" s="3"/>
      <c r="P918" s="4" t="s">
        <v>2117</v>
      </c>
      <c r="Q918" s="3"/>
      <c r="R918" s="3"/>
      <c r="S918" s="6"/>
      <c r="T918" s="6"/>
      <c r="U918" s="6"/>
    </row>
    <row r="919" ht="15.75" customHeight="1">
      <c r="A919" s="4" t="s">
        <v>2518</v>
      </c>
      <c r="B919" s="4" t="s">
        <v>2519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779</v>
      </c>
      <c r="J919" s="3" t="s">
        <v>181</v>
      </c>
      <c r="K919" s="3">
        <v>1.0</v>
      </c>
      <c r="L919" s="3">
        <v>1.0</v>
      </c>
      <c r="M919" s="4" t="s">
        <v>43</v>
      </c>
      <c r="N919" s="3" t="s">
        <v>130</v>
      </c>
      <c r="O919" s="3"/>
      <c r="P919" s="4" t="s">
        <v>2117</v>
      </c>
      <c r="Q919" s="3"/>
      <c r="R919" s="3"/>
      <c r="S919" s="6"/>
      <c r="T919" s="6"/>
      <c r="U919" s="6"/>
    </row>
    <row r="920" ht="15.75" customHeight="1">
      <c r="A920" s="4" t="s">
        <v>2520</v>
      </c>
      <c r="B920" s="4" t="s">
        <v>2521</v>
      </c>
      <c r="C920" s="4" t="s">
        <v>170</v>
      </c>
      <c r="D920" s="6"/>
      <c r="E920" s="3" t="str">
        <f t="shared" si="1"/>
        <v>近年未見</v>
      </c>
      <c r="F920" s="3" t="s">
        <v>156</v>
      </c>
      <c r="G920" s="6"/>
      <c r="H920" s="3" t="str">
        <f t="shared" si="2"/>
        <v>4</v>
      </c>
      <c r="I920" s="3" t="s">
        <v>2348</v>
      </c>
      <c r="J920" s="3" t="s">
        <v>181</v>
      </c>
      <c r="K920" s="3">
        <v>1.0</v>
      </c>
      <c r="L920" s="3">
        <v>0.0</v>
      </c>
      <c r="M920" s="4" t="s">
        <v>236</v>
      </c>
      <c r="N920" s="3"/>
      <c r="O920" s="3"/>
      <c r="P920" s="4" t="s">
        <v>2117</v>
      </c>
      <c r="Q920" s="3"/>
      <c r="R920" s="3"/>
      <c r="S920" s="6"/>
      <c r="T920" s="6"/>
      <c r="U920" s="6"/>
    </row>
    <row r="921" ht="15.75" customHeight="1">
      <c r="A921" s="4" t="s">
        <v>2522</v>
      </c>
      <c r="B921" s="4" t="s">
        <v>2523</v>
      </c>
      <c r="C921" s="4" t="s">
        <v>39</v>
      </c>
      <c r="D921" s="8" t="s">
        <v>381</v>
      </c>
      <c r="E921" s="3" t="str">
        <f t="shared" si="1"/>
        <v>不收錄</v>
      </c>
      <c r="F921" s="3" t="s">
        <v>156</v>
      </c>
      <c r="G921" s="6"/>
      <c r="H921" s="3" t="str">
        <f t="shared" si="2"/>
        <v>4</v>
      </c>
      <c r="I921" s="3" t="s">
        <v>139</v>
      </c>
      <c r="J921" s="3" t="s">
        <v>135</v>
      </c>
      <c r="K921" s="3">
        <v>1.0</v>
      </c>
      <c r="L921" s="3">
        <v>1.0</v>
      </c>
      <c r="M921" s="9" t="s">
        <v>236</v>
      </c>
      <c r="N921" s="3" t="s">
        <v>130</v>
      </c>
      <c r="O921" s="9" t="s">
        <v>1558</v>
      </c>
      <c r="P921" s="9" t="s">
        <v>1558</v>
      </c>
      <c r="Q921" s="3"/>
      <c r="R921" s="3"/>
      <c r="S921" s="6"/>
      <c r="T921" s="6"/>
      <c r="U921" s="6"/>
    </row>
    <row r="922" ht="15.75" customHeight="1">
      <c r="A922" s="4" t="s">
        <v>2524</v>
      </c>
      <c r="B922" s="4" t="s">
        <v>2525</v>
      </c>
      <c r="C922" s="4" t="s">
        <v>39</v>
      </c>
      <c r="D922" s="6"/>
      <c r="E922" s="3" t="str">
        <f t="shared" si="1"/>
        <v>現存</v>
      </c>
      <c r="F922" s="3" t="s">
        <v>156</v>
      </c>
      <c r="G922" s="6"/>
      <c r="H922" s="3" t="str">
        <f t="shared" si="2"/>
        <v>4</v>
      </c>
      <c r="I922" s="3" t="s">
        <v>426</v>
      </c>
      <c r="J922" s="3" t="s">
        <v>135</v>
      </c>
      <c r="K922" s="3">
        <v>1.0</v>
      </c>
      <c r="L922" s="3">
        <v>1.0</v>
      </c>
      <c r="M922" s="4" t="s">
        <v>43</v>
      </c>
      <c r="N922" s="3" t="s">
        <v>130</v>
      </c>
      <c r="O922" s="4" t="s">
        <v>1832</v>
      </c>
      <c r="P922" s="4" t="s">
        <v>1824</v>
      </c>
      <c r="Q922" s="3"/>
      <c r="R922" s="3"/>
      <c r="S922" s="6"/>
      <c r="T922" s="6"/>
      <c r="U922" s="6"/>
    </row>
    <row r="923" ht="15.75" customHeight="1">
      <c r="A923" s="4" t="s">
        <v>2526</v>
      </c>
      <c r="B923" s="4" t="s">
        <v>2527</v>
      </c>
      <c r="C923" s="4" t="s">
        <v>39</v>
      </c>
      <c r="D923" s="6"/>
      <c r="E923" s="3" t="str">
        <f t="shared" si="1"/>
        <v>現存</v>
      </c>
      <c r="F923" s="3" t="s">
        <v>152</v>
      </c>
      <c r="G923" s="6"/>
      <c r="H923" s="3" t="str">
        <f t="shared" si="2"/>
        <v>4,11</v>
      </c>
      <c r="I923" s="3" t="s">
        <v>726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130</v>
      </c>
      <c r="O923" s="3"/>
      <c r="P923" s="4" t="s">
        <v>2117</v>
      </c>
      <c r="Q923" s="3"/>
      <c r="R923" s="3"/>
      <c r="S923" s="6"/>
      <c r="T923" s="6"/>
      <c r="U923" s="6"/>
    </row>
    <row r="924" ht="15.75" customHeight="1">
      <c r="A924" s="4" t="s">
        <v>2528</v>
      </c>
      <c r="B924" s="4" t="s">
        <v>2529</v>
      </c>
      <c r="C924" s="4" t="s">
        <v>39</v>
      </c>
      <c r="D924" s="6"/>
      <c r="E924" s="3" t="str">
        <f t="shared" si="1"/>
        <v>現存</v>
      </c>
      <c r="F924" s="3" t="s">
        <v>418</v>
      </c>
      <c r="G924" s="6"/>
      <c r="H924" s="3" t="str">
        <f t="shared" si="2"/>
        <v>4,6</v>
      </c>
      <c r="I924" s="3" t="s">
        <v>426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130</v>
      </c>
      <c r="O924" s="3"/>
      <c r="P924" s="4" t="s">
        <v>2117</v>
      </c>
      <c r="Q924" s="3"/>
      <c r="R924" s="3"/>
      <c r="S924" s="6"/>
      <c r="T924" s="6"/>
      <c r="U924" s="6"/>
    </row>
    <row r="925" ht="15.75" customHeight="1">
      <c r="A925" s="4" t="s">
        <v>2530</v>
      </c>
      <c r="B925" s="4" t="s">
        <v>2531</v>
      </c>
      <c r="C925" s="4" t="s">
        <v>39</v>
      </c>
      <c r="D925" s="6"/>
      <c r="E925" s="3" t="str">
        <f t="shared" si="1"/>
        <v>現存</v>
      </c>
      <c r="F925" s="3" t="s">
        <v>2343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130</v>
      </c>
      <c r="O925" s="3"/>
      <c r="P925" s="4" t="s">
        <v>2117</v>
      </c>
      <c r="Q925" s="3"/>
      <c r="R925" s="3"/>
      <c r="S925" s="6"/>
      <c r="T925" s="6"/>
      <c r="U925" s="6"/>
    </row>
    <row r="926" ht="15.75" customHeight="1">
      <c r="A926" s="4" t="s">
        <v>2532</v>
      </c>
      <c r="B926" s="4" t="s">
        <v>2533</v>
      </c>
      <c r="C926" s="4" t="s">
        <v>39</v>
      </c>
      <c r="D926" s="6"/>
      <c r="E926" s="3" t="str">
        <f t="shared" si="1"/>
        <v>現存</v>
      </c>
      <c r="F926" s="3" t="s">
        <v>156</v>
      </c>
      <c r="G926" s="6"/>
      <c r="H926" s="3" t="str">
        <f t="shared" si="2"/>
        <v>4</v>
      </c>
      <c r="I926" s="3" t="s">
        <v>426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130</v>
      </c>
      <c r="O926" s="3"/>
      <c r="P926" s="4" t="s">
        <v>2117</v>
      </c>
      <c r="Q926" s="3"/>
      <c r="R926" s="3"/>
      <c r="S926" s="6"/>
      <c r="T926" s="6"/>
      <c r="U926" s="6"/>
    </row>
    <row r="927" ht="15.75" customHeight="1">
      <c r="A927" s="4" t="s">
        <v>2534</v>
      </c>
      <c r="B927" s="4" t="s">
        <v>2535</v>
      </c>
      <c r="C927" s="4" t="s">
        <v>39</v>
      </c>
      <c r="D927" s="6"/>
      <c r="E927" s="3" t="str">
        <f t="shared" si="1"/>
        <v>現存</v>
      </c>
      <c r="F927" s="3" t="s">
        <v>1163</v>
      </c>
      <c r="G927" s="6"/>
      <c r="H927" s="3" t="str">
        <f t="shared" si="2"/>
        <v>4,5,11</v>
      </c>
      <c r="I927" s="3" t="s">
        <v>145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130</v>
      </c>
      <c r="O927" s="3"/>
      <c r="P927" s="4" t="s">
        <v>2117</v>
      </c>
      <c r="Q927" s="3"/>
      <c r="R927" s="3"/>
      <c r="S927" s="6"/>
      <c r="T927" s="6"/>
      <c r="U927" s="6"/>
    </row>
    <row r="928" ht="15.75" customHeight="1">
      <c r="A928" s="4" t="s">
        <v>2536</v>
      </c>
      <c r="B928" s="4" t="s">
        <v>2537</v>
      </c>
      <c r="C928" s="4" t="s">
        <v>170</v>
      </c>
      <c r="D928" s="6"/>
      <c r="E928" s="3" t="str">
        <f t="shared" si="1"/>
        <v>近年未見</v>
      </c>
      <c r="F928" s="3" t="s">
        <v>156</v>
      </c>
      <c r="G928" s="6"/>
      <c r="H928" s="3" t="str">
        <f t="shared" si="2"/>
        <v>4</v>
      </c>
      <c r="I928" s="3" t="s">
        <v>726</v>
      </c>
      <c r="J928" s="3" t="s">
        <v>42</v>
      </c>
      <c r="K928" s="3">
        <v>1.0</v>
      </c>
      <c r="L928" s="3">
        <v>0.0</v>
      </c>
      <c r="M928" s="4" t="s">
        <v>236</v>
      </c>
      <c r="N928" s="3"/>
      <c r="O928" s="3"/>
      <c r="P928" s="4" t="s">
        <v>2117</v>
      </c>
      <c r="Q928" s="3"/>
      <c r="R928" s="3"/>
      <c r="S928" s="6"/>
      <c r="T928" s="6"/>
      <c r="U928" s="6"/>
    </row>
    <row r="929" ht="15.75" customHeight="1">
      <c r="A929" s="4" t="s">
        <v>2538</v>
      </c>
      <c r="B929" s="4" t="s">
        <v>2539</v>
      </c>
      <c r="C929" s="4" t="s">
        <v>39</v>
      </c>
      <c r="D929" s="6"/>
      <c r="E929" s="3" t="str">
        <f t="shared" si="1"/>
        <v>現存</v>
      </c>
      <c r="F929" s="3" t="s">
        <v>148</v>
      </c>
      <c r="G929" s="6"/>
      <c r="H929" s="3" t="str">
        <f t="shared" si="2"/>
        <v>4,5</v>
      </c>
      <c r="I929" s="3" t="s">
        <v>426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130</v>
      </c>
      <c r="O929" s="3"/>
      <c r="P929" s="4" t="s">
        <v>2117</v>
      </c>
      <c r="Q929" s="3"/>
      <c r="R929" s="3"/>
      <c r="S929" s="6"/>
      <c r="T929" s="6"/>
      <c r="U929" s="6"/>
    </row>
    <row r="930" ht="15.75" customHeight="1">
      <c r="A930" s="4" t="s">
        <v>2540</v>
      </c>
      <c r="B930" s="4" t="s">
        <v>2541</v>
      </c>
      <c r="C930" s="4" t="s">
        <v>39</v>
      </c>
      <c r="D930" s="6"/>
      <c r="E930" s="3" t="str">
        <f t="shared" si="1"/>
        <v>現存</v>
      </c>
      <c r="F930" s="3" t="s">
        <v>459</v>
      </c>
      <c r="G930" s="6"/>
      <c r="H930" s="3" t="str">
        <f t="shared" si="2"/>
        <v>5,10</v>
      </c>
      <c r="I930" s="3" t="s">
        <v>149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130</v>
      </c>
      <c r="O930" s="3"/>
      <c r="P930" s="4" t="s">
        <v>2117</v>
      </c>
      <c r="Q930" s="3"/>
      <c r="R930" s="3"/>
      <c r="S930" s="6"/>
      <c r="T930" s="6"/>
      <c r="U930" s="6"/>
    </row>
    <row r="931" ht="15.75" customHeight="1">
      <c r="A931" s="4" t="s">
        <v>2542</v>
      </c>
      <c r="B931" s="9" t="s">
        <v>2543</v>
      </c>
      <c r="C931" s="4" t="s">
        <v>39</v>
      </c>
      <c r="D931" s="8" t="s">
        <v>381</v>
      </c>
      <c r="E931" s="3" t="str">
        <f t="shared" si="1"/>
        <v>不收錄</v>
      </c>
      <c r="F931" s="3" t="s">
        <v>450</v>
      </c>
      <c r="G931" s="6"/>
      <c r="H931" s="3" t="str">
        <f t="shared" si="2"/>
        <v>5</v>
      </c>
      <c r="I931" s="3" t="s">
        <v>451</v>
      </c>
      <c r="J931" s="3" t="s">
        <v>181</v>
      </c>
      <c r="K931" s="3">
        <v>1.0</v>
      </c>
      <c r="L931" s="3">
        <v>1.0</v>
      </c>
      <c r="M931" s="9" t="s">
        <v>236</v>
      </c>
      <c r="N931" s="3" t="s">
        <v>130</v>
      </c>
      <c r="O931" s="3"/>
      <c r="P931" s="4" t="s">
        <v>2117</v>
      </c>
      <c r="Q931" s="3"/>
      <c r="R931" s="3"/>
      <c r="S931" s="6"/>
      <c r="T931" s="6"/>
      <c r="U931" s="6"/>
    </row>
    <row r="932" ht="15.75" customHeight="1">
      <c r="A932" s="4" t="s">
        <v>2544</v>
      </c>
      <c r="B932" s="4" t="s">
        <v>2543</v>
      </c>
      <c r="C932" s="4" t="s">
        <v>39</v>
      </c>
      <c r="D932" s="6"/>
      <c r="E932" s="3" t="str">
        <f t="shared" si="1"/>
        <v>現存</v>
      </c>
      <c r="F932" s="3" t="s">
        <v>2545</v>
      </c>
      <c r="G932" s="6"/>
      <c r="H932" s="3" t="str">
        <f t="shared" si="2"/>
        <v>5,6,10,11,12</v>
      </c>
      <c r="I932" s="3" t="s">
        <v>447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130</v>
      </c>
      <c r="O932" s="3"/>
      <c r="P932" s="4" t="s">
        <v>2117</v>
      </c>
      <c r="Q932" s="3"/>
      <c r="R932" s="3"/>
      <c r="S932" s="6"/>
      <c r="T932" s="6"/>
      <c r="U932" s="6"/>
    </row>
    <row r="933" ht="15.75" customHeight="1">
      <c r="A933" s="4" t="s">
        <v>2546</v>
      </c>
      <c r="B933" s="4" t="s">
        <v>2547</v>
      </c>
      <c r="C933" s="4" t="s">
        <v>39</v>
      </c>
      <c r="D933" s="6"/>
      <c r="E933" s="3" t="str">
        <f t="shared" si="1"/>
        <v>現存</v>
      </c>
      <c r="F933" s="3" t="s">
        <v>450</v>
      </c>
      <c r="G933" s="6"/>
      <c r="H933" s="3" t="str">
        <f t="shared" si="2"/>
        <v>5</v>
      </c>
      <c r="I933" s="3" t="s">
        <v>2548</v>
      </c>
      <c r="J933" s="3" t="s">
        <v>181</v>
      </c>
      <c r="K933" s="3">
        <v>1.0</v>
      </c>
      <c r="L933" s="3">
        <v>1.0</v>
      </c>
      <c r="M933" s="4" t="s">
        <v>43</v>
      </c>
      <c r="N933" s="3" t="s">
        <v>130</v>
      </c>
      <c r="O933" s="3"/>
      <c r="P933" s="4" t="s">
        <v>2117</v>
      </c>
      <c r="Q933" s="3"/>
      <c r="R933" s="3"/>
      <c r="S933" s="6"/>
      <c r="T933" s="6"/>
      <c r="U933" s="6"/>
    </row>
    <row r="934" ht="15.75" customHeight="1">
      <c r="A934" s="4" t="s">
        <v>2549</v>
      </c>
      <c r="B934" s="4" t="s">
        <v>2550</v>
      </c>
      <c r="C934" s="4" t="s">
        <v>39</v>
      </c>
      <c r="D934" s="6"/>
      <c r="E934" s="3" t="str">
        <f t="shared" si="1"/>
        <v>現存</v>
      </c>
      <c r="F934" s="3" t="s">
        <v>450</v>
      </c>
      <c r="G934" s="6"/>
      <c r="H934" s="3" t="str">
        <f t="shared" si="2"/>
        <v>5</v>
      </c>
      <c r="I934" s="3" t="s">
        <v>410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130</v>
      </c>
      <c r="O934" s="3"/>
      <c r="P934" s="4" t="s">
        <v>2117</v>
      </c>
      <c r="Q934" s="3"/>
      <c r="R934" s="3"/>
      <c r="S934" s="6"/>
      <c r="T934" s="6"/>
      <c r="U934" s="6"/>
    </row>
    <row r="935" ht="15.75" customHeight="1">
      <c r="A935" s="4" t="s">
        <v>2551</v>
      </c>
      <c r="B935" s="4" t="s">
        <v>2552</v>
      </c>
      <c r="C935" s="4" t="s">
        <v>39</v>
      </c>
      <c r="D935" s="6"/>
      <c r="E935" s="3" t="str">
        <f t="shared" si="1"/>
        <v>現存</v>
      </c>
      <c r="F935" s="3" t="s">
        <v>450</v>
      </c>
      <c r="G935" s="6"/>
      <c r="H935" s="3" t="str">
        <f t="shared" si="2"/>
        <v>5</v>
      </c>
      <c r="I935" s="3" t="s">
        <v>2553</v>
      </c>
      <c r="J935" s="3" t="s">
        <v>181</v>
      </c>
      <c r="K935" s="3">
        <v>1.0</v>
      </c>
      <c r="L935" s="3">
        <v>1.0</v>
      </c>
      <c r="M935" s="4" t="s">
        <v>43</v>
      </c>
      <c r="N935" s="3" t="s">
        <v>130</v>
      </c>
      <c r="O935" s="9" t="s">
        <v>1558</v>
      </c>
      <c r="P935" s="4" t="s">
        <v>2117</v>
      </c>
      <c r="Q935" s="3"/>
      <c r="R935" s="3"/>
      <c r="S935" s="6"/>
      <c r="T935" s="6"/>
      <c r="U935" s="6"/>
    </row>
    <row r="936" ht="15.75" customHeight="1">
      <c r="A936" s="4" t="s">
        <v>2554</v>
      </c>
      <c r="B936" s="4" t="s">
        <v>2555</v>
      </c>
      <c r="C936" s="4" t="s">
        <v>39</v>
      </c>
      <c r="D936" s="6"/>
      <c r="E936" s="3" t="str">
        <f t="shared" si="1"/>
        <v>現存</v>
      </c>
      <c r="F936" s="3" t="s">
        <v>2211</v>
      </c>
      <c r="G936" s="6"/>
      <c r="H936" s="3" t="str">
        <f t="shared" si="2"/>
        <v>5,7</v>
      </c>
      <c r="I936" s="3" t="s">
        <v>145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130</v>
      </c>
      <c r="O936" s="3"/>
      <c r="P936" s="4" t="s">
        <v>2117</v>
      </c>
      <c r="Q936" s="3"/>
      <c r="R936" s="3"/>
      <c r="S936" s="6"/>
      <c r="T936" s="6"/>
      <c r="U936" s="6"/>
    </row>
    <row r="937" ht="15.75" customHeight="1">
      <c r="A937" s="4" t="s">
        <v>2556</v>
      </c>
      <c r="B937" s="4" t="s">
        <v>2557</v>
      </c>
      <c r="C937" s="4" t="s">
        <v>39</v>
      </c>
      <c r="D937" s="6"/>
      <c r="E937" s="3" t="str">
        <f t="shared" si="1"/>
        <v>現存</v>
      </c>
      <c r="F937" s="3" t="s">
        <v>2558</v>
      </c>
      <c r="G937" s="6"/>
      <c r="H937" s="3" t="str">
        <f t="shared" si="2"/>
        <v>5,8,10,11</v>
      </c>
      <c r="I937" s="3" t="s">
        <v>149</v>
      </c>
      <c r="J937" s="3" t="s">
        <v>912</v>
      </c>
      <c r="K937" s="3">
        <v>4.0</v>
      </c>
      <c r="L937" s="3">
        <v>1.0</v>
      </c>
      <c r="M937" s="4" t="s">
        <v>43</v>
      </c>
      <c r="N937" s="3" t="s">
        <v>130</v>
      </c>
      <c r="O937" s="3"/>
      <c r="P937" s="4" t="s">
        <v>2117</v>
      </c>
      <c r="Q937" s="3"/>
      <c r="R937" s="3"/>
      <c r="S937" s="6"/>
      <c r="T937" s="6"/>
      <c r="U937" s="6"/>
    </row>
    <row r="938" ht="15.75" customHeight="1">
      <c r="A938" s="4" t="s">
        <v>2559</v>
      </c>
      <c r="B938" s="4" t="s">
        <v>2560</v>
      </c>
      <c r="C938" s="4" t="s">
        <v>39</v>
      </c>
      <c r="D938" s="6"/>
      <c r="E938" s="3" t="str">
        <f t="shared" si="1"/>
        <v>現存</v>
      </c>
      <c r="F938" s="3" t="s">
        <v>450</v>
      </c>
      <c r="G938" s="6"/>
      <c r="H938" s="3" t="str">
        <f t="shared" si="2"/>
        <v>5</v>
      </c>
      <c r="I938" s="3" t="s">
        <v>853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130</v>
      </c>
      <c r="O938" s="3"/>
      <c r="P938" s="4" t="s">
        <v>2117</v>
      </c>
      <c r="Q938" s="3"/>
      <c r="R938" s="3"/>
      <c r="S938" s="6"/>
      <c r="T938" s="6"/>
      <c r="U938" s="6"/>
    </row>
    <row r="939" ht="15.75" customHeight="1">
      <c r="A939" s="4" t="s">
        <v>2561</v>
      </c>
      <c r="B939" s="4" t="s">
        <v>2562</v>
      </c>
      <c r="C939" s="4" t="s">
        <v>39</v>
      </c>
      <c r="D939" s="6"/>
      <c r="E939" s="3" t="str">
        <f t="shared" si="1"/>
        <v>現存</v>
      </c>
      <c r="F939" s="3" t="s">
        <v>1348</v>
      </c>
      <c r="G939" s="6"/>
      <c r="H939" s="3" t="str">
        <f t="shared" si="2"/>
        <v>5,8,9</v>
      </c>
      <c r="I939" s="3" t="s">
        <v>985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130</v>
      </c>
      <c r="O939" s="9" t="s">
        <v>1558</v>
      </c>
      <c r="P939" s="4" t="s">
        <v>2117</v>
      </c>
      <c r="Q939" s="3"/>
      <c r="R939" s="3"/>
      <c r="S939" s="6"/>
      <c r="T939" s="6"/>
      <c r="U939" s="6"/>
    </row>
    <row r="940" ht="15.75" customHeight="1">
      <c r="A940" s="4" t="s">
        <v>2563</v>
      </c>
      <c r="B940" s="4" t="s">
        <v>2564</v>
      </c>
      <c r="C940" s="4" t="s">
        <v>39</v>
      </c>
      <c r="D940" s="6"/>
      <c r="E940" s="3" t="str">
        <f t="shared" si="1"/>
        <v>現存</v>
      </c>
      <c r="F940" s="3" t="s">
        <v>450</v>
      </c>
      <c r="G940" s="6"/>
      <c r="H940" s="3" t="str">
        <f t="shared" si="2"/>
        <v>5</v>
      </c>
      <c r="I940" s="3" t="s">
        <v>145</v>
      </c>
      <c r="J940" s="3" t="s">
        <v>135</v>
      </c>
      <c r="K940" s="3">
        <v>1.0</v>
      </c>
      <c r="L940" s="3">
        <v>1.0</v>
      </c>
      <c r="M940" s="4" t="s">
        <v>43</v>
      </c>
      <c r="N940" s="3" t="s">
        <v>130</v>
      </c>
      <c r="O940" s="4" t="s">
        <v>1832</v>
      </c>
      <c r="P940" s="4" t="s">
        <v>1824</v>
      </c>
      <c r="Q940" s="3"/>
      <c r="R940" s="3"/>
      <c r="S940" s="6"/>
      <c r="T940" s="6"/>
      <c r="U940" s="6"/>
    </row>
    <row r="941" ht="15.75" customHeight="1">
      <c r="A941" s="4" t="s">
        <v>2565</v>
      </c>
      <c r="B941" s="4" t="s">
        <v>2566</v>
      </c>
      <c r="C941" s="4" t="s">
        <v>39</v>
      </c>
      <c r="D941" s="6"/>
      <c r="E941" s="3" t="str">
        <f t="shared" si="1"/>
        <v>現存</v>
      </c>
      <c r="F941" s="3" t="s">
        <v>171</v>
      </c>
      <c r="G941" s="6"/>
      <c r="H941" s="3" t="str">
        <f t="shared" si="2"/>
        <v>5,6</v>
      </c>
      <c r="I941" s="3" t="s">
        <v>447</v>
      </c>
      <c r="J941" s="3" t="s">
        <v>65</v>
      </c>
      <c r="K941" s="3">
        <v>3.0</v>
      </c>
      <c r="L941" s="3">
        <v>0.0</v>
      </c>
      <c r="M941" s="4" t="s">
        <v>236</v>
      </c>
      <c r="N941" s="3"/>
      <c r="O941" s="3"/>
      <c r="P941" s="4" t="s">
        <v>2117</v>
      </c>
      <c r="Q941" s="3"/>
      <c r="R941" s="3"/>
      <c r="S941" s="6"/>
      <c r="T941" s="6"/>
      <c r="U941" s="6"/>
    </row>
    <row r="942" ht="15.75" customHeight="1">
      <c r="A942" s="4" t="s">
        <v>2567</v>
      </c>
      <c r="B942" s="4" t="s">
        <v>2568</v>
      </c>
      <c r="C942" s="4" t="s">
        <v>39</v>
      </c>
      <c r="D942" s="6"/>
      <c r="E942" s="3" t="str">
        <f t="shared" si="1"/>
        <v>現存</v>
      </c>
      <c r="F942" s="3" t="s">
        <v>287</v>
      </c>
      <c r="G942" s="6"/>
      <c r="H942" s="3" t="str">
        <f t="shared" si="2"/>
        <v>5,6,7,8,9</v>
      </c>
      <c r="I942" s="3" t="s">
        <v>447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130</v>
      </c>
      <c r="O942" s="9" t="s">
        <v>1558</v>
      </c>
      <c r="P942" s="4" t="s">
        <v>2117</v>
      </c>
      <c r="Q942" s="3"/>
      <c r="R942" s="3"/>
      <c r="S942" s="6"/>
      <c r="T942" s="6"/>
      <c r="U942" s="6"/>
    </row>
    <row r="943" ht="15.75" customHeight="1">
      <c r="A943" s="4" t="s">
        <v>2569</v>
      </c>
      <c r="B943" s="4" t="s">
        <v>2570</v>
      </c>
      <c r="C943" s="4" t="s">
        <v>39</v>
      </c>
      <c r="D943" s="6"/>
      <c r="E943" s="3" t="str">
        <f t="shared" si="1"/>
        <v>現存</v>
      </c>
      <c r="F943" s="3" t="s">
        <v>1183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130</v>
      </c>
      <c r="O943" s="3"/>
      <c r="P943" s="4" t="s">
        <v>2117</v>
      </c>
      <c r="Q943" s="3"/>
      <c r="R943" s="3"/>
      <c r="S943" s="6"/>
      <c r="T943" s="6"/>
      <c r="U943" s="6"/>
    </row>
    <row r="944" ht="15.75" customHeight="1">
      <c r="A944" s="4" t="s">
        <v>2571</v>
      </c>
      <c r="B944" s="4" t="s">
        <v>2572</v>
      </c>
      <c r="C944" s="4" t="s">
        <v>39</v>
      </c>
      <c r="D944" s="8" t="s">
        <v>170</v>
      </c>
      <c r="E944" s="3" t="str">
        <f t="shared" si="1"/>
        <v>近年未見</v>
      </c>
      <c r="F944" s="3" t="s">
        <v>450</v>
      </c>
      <c r="G944" s="6"/>
      <c r="H944" s="3" t="str">
        <f t="shared" si="2"/>
        <v>5</v>
      </c>
      <c r="I944" s="3" t="s">
        <v>276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130</v>
      </c>
      <c r="O944" s="3"/>
      <c r="P944" s="4" t="s">
        <v>2117</v>
      </c>
      <c r="Q944" s="3"/>
      <c r="R944" s="3"/>
      <c r="S944" s="6"/>
      <c r="T944" s="6"/>
      <c r="U944" s="6"/>
    </row>
    <row r="945" ht="15.75" customHeight="1">
      <c r="A945" s="4" t="s">
        <v>2573</v>
      </c>
      <c r="B945" s="4" t="s">
        <v>2574</v>
      </c>
      <c r="C945" s="4" t="s">
        <v>39</v>
      </c>
      <c r="D945" s="6"/>
      <c r="E945" s="3" t="str">
        <f t="shared" si="1"/>
        <v>現存</v>
      </c>
      <c r="F945" s="3" t="s">
        <v>795</v>
      </c>
      <c r="G945" s="6"/>
      <c r="H945" s="3" t="str">
        <f t="shared" si="2"/>
        <v>6,7,8</v>
      </c>
      <c r="I945" s="3" t="s">
        <v>2575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130</v>
      </c>
      <c r="O945" s="3"/>
      <c r="P945" s="4" t="s">
        <v>2117</v>
      </c>
      <c r="Q945" s="3"/>
      <c r="R945" s="3"/>
      <c r="S945" s="6"/>
      <c r="T945" s="6"/>
      <c r="U945" s="6"/>
    </row>
    <row r="946" ht="15.75" customHeight="1">
      <c r="A946" s="4" t="s">
        <v>2576</v>
      </c>
      <c r="B946" s="4" t="s">
        <v>2577</v>
      </c>
      <c r="C946" s="4" t="s">
        <v>39</v>
      </c>
      <c r="D946" s="6"/>
      <c r="E946" s="3" t="str">
        <f t="shared" si="1"/>
        <v>現存</v>
      </c>
      <c r="F946" s="3" t="s">
        <v>310</v>
      </c>
      <c r="G946" s="6"/>
      <c r="H946" s="3" t="str">
        <f t="shared" si="2"/>
        <v>6</v>
      </c>
      <c r="I946" s="3" t="s">
        <v>364</v>
      </c>
      <c r="J946" s="3" t="s">
        <v>135</v>
      </c>
      <c r="K946" s="3">
        <v>1.0</v>
      </c>
      <c r="L946" s="3">
        <v>1.0</v>
      </c>
      <c r="M946" s="4" t="s">
        <v>43</v>
      </c>
      <c r="N946" s="3" t="s">
        <v>130</v>
      </c>
      <c r="O946" s="4" t="s">
        <v>1832</v>
      </c>
      <c r="P946" s="4" t="s">
        <v>1824</v>
      </c>
      <c r="Q946" s="3"/>
      <c r="R946" s="3"/>
      <c r="S946" s="6"/>
      <c r="T946" s="6"/>
      <c r="U946" s="6"/>
    </row>
    <row r="947" ht="15.75" customHeight="1">
      <c r="A947" s="4" t="s">
        <v>2578</v>
      </c>
      <c r="B947" s="4" t="s">
        <v>2579</v>
      </c>
      <c r="C947" s="4" t="s">
        <v>39</v>
      </c>
      <c r="D947" s="8" t="s">
        <v>170</v>
      </c>
      <c r="E947" s="3" t="str">
        <f t="shared" si="1"/>
        <v>近年未見</v>
      </c>
      <c r="F947" s="3" t="s">
        <v>588</v>
      </c>
      <c r="G947" s="6"/>
      <c r="H947" s="3" t="str">
        <f t="shared" si="2"/>
        <v>6,7</v>
      </c>
      <c r="I947" s="3" t="s">
        <v>850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130</v>
      </c>
      <c r="O947" s="3"/>
      <c r="P947" s="4" t="s">
        <v>2117</v>
      </c>
      <c r="Q947" s="3"/>
      <c r="R947" s="3"/>
      <c r="S947" s="6"/>
      <c r="T947" s="6"/>
      <c r="U947" s="6"/>
    </row>
    <row r="948" ht="15.75" customHeight="1">
      <c r="A948" s="4" t="s">
        <v>2580</v>
      </c>
      <c r="B948" s="4" t="s">
        <v>2581</v>
      </c>
      <c r="C948" s="4" t="s">
        <v>39</v>
      </c>
      <c r="D948" s="6"/>
      <c r="E948" s="3" t="str">
        <f t="shared" si="1"/>
        <v>現存</v>
      </c>
      <c r="F948" s="3" t="s">
        <v>595</v>
      </c>
      <c r="G948" s="6"/>
      <c r="H948" s="3" t="str">
        <f t="shared" si="2"/>
        <v>7,8,9,10</v>
      </c>
      <c r="I948" s="3" t="s">
        <v>303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130</v>
      </c>
      <c r="O948" s="3"/>
      <c r="P948" s="4" t="s">
        <v>2117</v>
      </c>
      <c r="Q948" s="3"/>
      <c r="R948" s="3"/>
      <c r="S948" s="6"/>
      <c r="T948" s="6"/>
      <c r="U948" s="6"/>
    </row>
    <row r="949" ht="15.75" customHeight="1">
      <c r="A949" s="4" t="s">
        <v>2582</v>
      </c>
      <c r="B949" s="4" t="s">
        <v>2583</v>
      </c>
      <c r="C949" s="4" t="s">
        <v>39</v>
      </c>
      <c r="D949" s="6"/>
      <c r="E949" s="3" t="str">
        <f t="shared" si="1"/>
        <v>現存</v>
      </c>
      <c r="F949" s="3" t="s">
        <v>2397</v>
      </c>
      <c r="G949" s="6"/>
      <c r="H949" s="3" t="str">
        <f t="shared" si="2"/>
        <v>7,8,9,11</v>
      </c>
      <c r="I949" s="3" t="s">
        <v>516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130</v>
      </c>
      <c r="O949" s="3"/>
      <c r="P949" s="4" t="s">
        <v>2117</v>
      </c>
      <c r="Q949" s="3"/>
      <c r="R949" s="3"/>
      <c r="S949" s="6"/>
      <c r="T949" s="6"/>
      <c r="U949" s="8" t="s">
        <v>2584</v>
      </c>
    </row>
    <row r="950" ht="15.75" customHeight="1">
      <c r="A950" s="4" t="s">
        <v>2585</v>
      </c>
      <c r="B950" s="4" t="s">
        <v>2586</v>
      </c>
      <c r="C950" s="4" t="s">
        <v>39</v>
      </c>
      <c r="D950" s="6"/>
      <c r="E950" s="3" t="str">
        <f t="shared" si="1"/>
        <v>現存</v>
      </c>
      <c r="F950" s="3" t="s">
        <v>179</v>
      </c>
      <c r="G950" s="6"/>
      <c r="H950" s="3" t="str">
        <f t="shared" si="2"/>
        <v>8</v>
      </c>
      <c r="I950" s="3" t="s">
        <v>271</v>
      </c>
      <c r="J950" s="3" t="s">
        <v>125</v>
      </c>
      <c r="K950" s="3">
        <v>2.0</v>
      </c>
      <c r="L950" s="3">
        <v>0.0</v>
      </c>
      <c r="M950" s="4" t="s">
        <v>236</v>
      </c>
      <c r="N950" s="3"/>
      <c r="O950" s="3"/>
      <c r="P950" s="4" t="s">
        <v>2117</v>
      </c>
      <c r="Q950" s="3"/>
      <c r="R950" s="3"/>
      <c r="S950" s="6"/>
      <c r="T950" s="6"/>
      <c r="U950" s="6"/>
    </row>
    <row r="951" ht="15.75" customHeight="1">
      <c r="A951" s="4" t="s">
        <v>2587</v>
      </c>
      <c r="B951" s="4" t="s">
        <v>2588</v>
      </c>
      <c r="C951" s="4" t="s">
        <v>39</v>
      </c>
      <c r="D951" s="6"/>
      <c r="E951" s="3" t="str">
        <f t="shared" si="1"/>
        <v>現存</v>
      </c>
      <c r="F951" s="3" t="s">
        <v>179</v>
      </c>
      <c r="G951" s="6"/>
      <c r="H951" s="3" t="str">
        <f t="shared" si="2"/>
        <v>8</v>
      </c>
      <c r="I951" s="3" t="s">
        <v>660</v>
      </c>
      <c r="J951" s="3" t="s">
        <v>135</v>
      </c>
      <c r="K951" s="3">
        <v>1.0</v>
      </c>
      <c r="L951" s="3">
        <v>1.0</v>
      </c>
      <c r="M951" s="4" t="s">
        <v>43</v>
      </c>
      <c r="N951" s="3" t="s">
        <v>130</v>
      </c>
      <c r="O951" s="3"/>
      <c r="P951" s="4" t="s">
        <v>2117</v>
      </c>
      <c r="Q951" s="3"/>
      <c r="R951" s="3"/>
      <c r="S951" s="6"/>
      <c r="T951" s="6"/>
      <c r="U951" s="6"/>
    </row>
    <row r="952" ht="15.75" customHeight="1">
      <c r="A952" s="4" t="s">
        <v>2589</v>
      </c>
      <c r="B952" s="4" t="s">
        <v>2590</v>
      </c>
      <c r="C952" s="4" t="s">
        <v>39</v>
      </c>
      <c r="D952" s="6"/>
      <c r="E952" s="3" t="str">
        <f t="shared" si="1"/>
        <v>現存</v>
      </c>
      <c r="F952" s="3" t="s">
        <v>813</v>
      </c>
      <c r="G952" s="6"/>
      <c r="H952" s="3" t="str">
        <f t="shared" si="2"/>
        <v>8,10</v>
      </c>
      <c r="I952" s="3" t="s">
        <v>990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130</v>
      </c>
      <c r="O952" s="3"/>
      <c r="P952" s="4" t="s">
        <v>2117</v>
      </c>
      <c r="Q952" s="3"/>
      <c r="R952" s="3"/>
      <c r="S952" s="6"/>
      <c r="T952" s="6"/>
      <c r="U952" s="6"/>
    </row>
    <row r="953" ht="15.75" customHeight="1">
      <c r="A953" s="4" t="s">
        <v>2591</v>
      </c>
      <c r="B953" s="4" t="s">
        <v>2592</v>
      </c>
      <c r="C953" s="4" t="s">
        <v>39</v>
      </c>
      <c r="D953" s="6"/>
      <c r="E953" s="3" t="str">
        <f t="shared" si="1"/>
        <v>現存</v>
      </c>
      <c r="F953" s="3" t="s">
        <v>175</v>
      </c>
      <c r="G953" s="6"/>
      <c r="H953" s="3" t="str">
        <f t="shared" si="2"/>
        <v>8,9</v>
      </c>
      <c r="I953" s="3" t="s">
        <v>567</v>
      </c>
      <c r="J953" s="3" t="s">
        <v>253</v>
      </c>
      <c r="K953" s="3">
        <v>3.0</v>
      </c>
      <c r="L953" s="3">
        <v>1.0</v>
      </c>
      <c r="M953" s="4" t="s">
        <v>43</v>
      </c>
      <c r="N953" s="3" t="s">
        <v>130</v>
      </c>
      <c r="O953" s="3"/>
      <c r="P953" s="4" t="s">
        <v>2117</v>
      </c>
      <c r="Q953" s="3"/>
      <c r="R953" s="3"/>
      <c r="S953" s="6"/>
      <c r="T953" s="6"/>
      <c r="U953" s="6"/>
    </row>
    <row r="954" ht="15.75" customHeight="1">
      <c r="A954" s="4" t="s">
        <v>2593</v>
      </c>
      <c r="B954" s="4" t="s">
        <v>2594</v>
      </c>
      <c r="C954" s="4" t="s">
        <v>170</v>
      </c>
      <c r="D954" s="8" t="s">
        <v>39</v>
      </c>
      <c r="E954" s="3" t="str">
        <f t="shared" si="1"/>
        <v>現存</v>
      </c>
      <c r="F954" s="3" t="s">
        <v>326</v>
      </c>
      <c r="G954" s="6"/>
      <c r="H954" s="3" t="str">
        <f t="shared" si="2"/>
        <v>9</v>
      </c>
      <c r="I954" s="3" t="s">
        <v>2595</v>
      </c>
      <c r="J954" s="3" t="s">
        <v>893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2117</v>
      </c>
      <c r="Q954" s="3"/>
      <c r="R954" s="3"/>
      <c r="S954" s="6"/>
      <c r="T954" s="6"/>
      <c r="U954" s="6"/>
    </row>
    <row r="955" ht="15.75" customHeight="1">
      <c r="A955" s="4" t="s">
        <v>2596</v>
      </c>
      <c r="B955" s="4" t="s">
        <v>2597</v>
      </c>
      <c r="C955" s="4" t="s">
        <v>39</v>
      </c>
      <c r="D955" s="6"/>
      <c r="E955" s="3" t="str">
        <f t="shared" si="1"/>
        <v>現存</v>
      </c>
      <c r="F955" s="3" t="s">
        <v>188</v>
      </c>
      <c r="G955" s="6"/>
      <c r="H955" s="3" t="str">
        <f t="shared" si="2"/>
        <v>10</v>
      </c>
      <c r="I955" s="3" t="s">
        <v>577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130</v>
      </c>
      <c r="O955" s="3"/>
      <c r="P955" s="4" t="s">
        <v>2117</v>
      </c>
      <c r="Q955" s="3"/>
      <c r="R955" s="3"/>
      <c r="S955" s="6"/>
      <c r="T955" s="6"/>
      <c r="U955" s="6"/>
    </row>
    <row r="956" ht="15.75" customHeight="1">
      <c r="A956" s="4" t="s">
        <v>2598</v>
      </c>
      <c r="B956" s="4" t="s">
        <v>2599</v>
      </c>
      <c r="C956" s="4" t="s">
        <v>39</v>
      </c>
      <c r="D956" s="6"/>
      <c r="E956" s="3" t="str">
        <f t="shared" si="1"/>
        <v>現存</v>
      </c>
      <c r="F956" s="3" t="s">
        <v>188</v>
      </c>
      <c r="G956" s="6"/>
      <c r="H956" s="3" t="str">
        <f t="shared" si="2"/>
        <v>10</v>
      </c>
      <c r="I956" s="3" t="s">
        <v>2600</v>
      </c>
      <c r="J956" s="3" t="s">
        <v>893</v>
      </c>
      <c r="K956" s="3">
        <v>1.0</v>
      </c>
      <c r="L956" s="3">
        <v>1.0</v>
      </c>
      <c r="M956" s="4" t="s">
        <v>43</v>
      </c>
      <c r="N956" s="3" t="s">
        <v>130</v>
      </c>
      <c r="O956" s="3"/>
      <c r="P956" s="4" t="s">
        <v>2117</v>
      </c>
      <c r="Q956" s="3"/>
      <c r="R956" s="3"/>
      <c r="S956" s="6"/>
      <c r="T956" s="6"/>
      <c r="U956" s="6"/>
    </row>
    <row r="957" ht="15.75" customHeight="1">
      <c r="A957" s="4" t="s">
        <v>2601</v>
      </c>
      <c r="B957" s="4" t="s">
        <v>2602</v>
      </c>
      <c r="C957" s="4" t="s">
        <v>39</v>
      </c>
      <c r="D957" s="6"/>
      <c r="E957" s="3" t="str">
        <f t="shared" si="1"/>
        <v>現存</v>
      </c>
      <c r="F957" s="3" t="s">
        <v>616</v>
      </c>
      <c r="G957" s="6"/>
      <c r="H957" s="3" t="str">
        <f t="shared" si="2"/>
        <v>10,11</v>
      </c>
      <c r="I957" s="3" t="s">
        <v>516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130</v>
      </c>
      <c r="O957" s="3"/>
      <c r="P957" s="4" t="s">
        <v>2117</v>
      </c>
      <c r="Q957" s="3"/>
      <c r="R957" s="3"/>
      <c r="S957" s="6"/>
      <c r="T957" s="6"/>
      <c r="U957" s="8" t="s">
        <v>2603</v>
      </c>
    </row>
    <row r="958" ht="15.75" customHeight="1">
      <c r="A958" s="4" t="s">
        <v>2604</v>
      </c>
      <c r="B958" s="4" t="s">
        <v>2605</v>
      </c>
      <c r="C958" s="4" t="s">
        <v>39</v>
      </c>
      <c r="D958" s="6"/>
      <c r="E958" s="3" t="str">
        <f t="shared" si="1"/>
        <v>現存</v>
      </c>
      <c r="F958" s="3" t="s">
        <v>515</v>
      </c>
      <c r="G958" s="6"/>
      <c r="H958" s="3" t="str">
        <f t="shared" si="2"/>
        <v>11</v>
      </c>
      <c r="I958" s="3" t="s">
        <v>1459</v>
      </c>
      <c r="J958" s="3" t="s">
        <v>181</v>
      </c>
      <c r="K958" s="3">
        <v>1.0</v>
      </c>
      <c r="L958" s="3">
        <v>1.0</v>
      </c>
      <c r="M958" s="4" t="s">
        <v>43</v>
      </c>
      <c r="N958" s="3" t="s">
        <v>130</v>
      </c>
      <c r="O958" s="3"/>
      <c r="P958" s="4" t="s">
        <v>2117</v>
      </c>
      <c r="Q958" s="3"/>
      <c r="R958" s="3"/>
      <c r="S958" s="6"/>
      <c r="T958" s="6"/>
      <c r="U958" s="6"/>
    </row>
    <row r="959" ht="15.75" customHeight="1">
      <c r="A959" s="4" t="s">
        <v>2606</v>
      </c>
      <c r="B959" s="4" t="s">
        <v>2607</v>
      </c>
      <c r="C959" s="4" t="s">
        <v>39</v>
      </c>
      <c r="D959" s="6"/>
      <c r="E959" s="3" t="str">
        <f t="shared" si="1"/>
        <v>現存</v>
      </c>
      <c r="F959" s="3" t="s">
        <v>515</v>
      </c>
      <c r="G959" s="6"/>
      <c r="H959" s="3" t="str">
        <f t="shared" si="2"/>
        <v>11</v>
      </c>
      <c r="I959" s="3" t="s">
        <v>1998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130</v>
      </c>
      <c r="O959" s="3"/>
      <c r="P959" s="4" t="s">
        <v>2117</v>
      </c>
      <c r="Q959" s="3"/>
      <c r="R959" s="3"/>
      <c r="S959" s="6"/>
      <c r="T959" s="6"/>
      <c r="U959" s="6"/>
    </row>
    <row r="960" ht="15.75" customHeight="1">
      <c r="A960" s="4" t="s">
        <v>2608</v>
      </c>
      <c r="B960" s="4" t="s">
        <v>2609</v>
      </c>
      <c r="C960" s="4" t="s">
        <v>39</v>
      </c>
      <c r="D960" s="6"/>
      <c r="E960" s="3" t="str">
        <f t="shared" si="1"/>
        <v>現存</v>
      </c>
      <c r="F960" s="3" t="s">
        <v>515</v>
      </c>
      <c r="G960" s="6"/>
      <c r="H960" s="3" t="str">
        <f t="shared" si="2"/>
        <v>11</v>
      </c>
      <c r="I960" s="3" t="s">
        <v>623</v>
      </c>
      <c r="J960" s="3" t="s">
        <v>181</v>
      </c>
      <c r="K960" s="3">
        <v>2.0</v>
      </c>
      <c r="L960" s="3">
        <v>1.0</v>
      </c>
      <c r="M960" s="4" t="s">
        <v>43</v>
      </c>
      <c r="N960" s="3" t="s">
        <v>130</v>
      </c>
      <c r="O960" s="3"/>
      <c r="P960" s="4" t="s">
        <v>2117</v>
      </c>
      <c r="Q960" s="3"/>
      <c r="R960" s="3"/>
      <c r="S960" s="6"/>
      <c r="T960" s="6"/>
      <c r="U960" s="6"/>
    </row>
    <row r="961" ht="15.75" customHeight="1">
      <c r="A961" s="4" t="s">
        <v>2610</v>
      </c>
      <c r="B961" s="4" t="s">
        <v>2611</v>
      </c>
      <c r="C961" s="4" t="s">
        <v>39</v>
      </c>
      <c r="D961" s="6"/>
      <c r="E961" s="3" t="str">
        <f t="shared" si="1"/>
        <v>現存</v>
      </c>
      <c r="F961" s="3" t="s">
        <v>634</v>
      </c>
      <c r="G961" s="6"/>
      <c r="H961" s="3" t="str">
        <f t="shared" si="2"/>
        <v>12</v>
      </c>
      <c r="I961" s="3" t="s">
        <v>252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130</v>
      </c>
      <c r="O961" s="3"/>
      <c r="P961" s="4" t="s">
        <v>2117</v>
      </c>
      <c r="Q961" s="3"/>
      <c r="R961" s="3"/>
      <c r="S961" s="6"/>
      <c r="T961" s="6"/>
      <c r="U961" s="6"/>
    </row>
    <row r="962" ht="15.75" customHeight="1">
      <c r="A962" s="4" t="s">
        <v>2612</v>
      </c>
      <c r="B962" s="4" t="s">
        <v>2613</v>
      </c>
      <c r="C962" s="4" t="s">
        <v>39</v>
      </c>
      <c r="D962" s="6"/>
      <c r="E962" s="3" t="str">
        <f t="shared" si="1"/>
        <v>現存</v>
      </c>
      <c r="F962" s="3" t="s">
        <v>2614</v>
      </c>
      <c r="G962" s="6"/>
      <c r="H962" s="3" t="str">
        <f t="shared" si="2"/>
        <v>1,2,3,6,7,8,9,10,11</v>
      </c>
      <c r="I962" s="3" t="s">
        <v>444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130</v>
      </c>
      <c r="O962" s="3"/>
      <c r="P962" s="4" t="s">
        <v>2332</v>
      </c>
      <c r="Q962" s="3"/>
      <c r="R962" s="3"/>
      <c r="S962" s="6"/>
      <c r="T962" s="6"/>
      <c r="U962" s="6"/>
    </row>
    <row r="963" ht="15.75" customHeight="1">
      <c r="A963" s="4" t="s">
        <v>2615</v>
      </c>
      <c r="B963" s="9" t="s">
        <v>1409</v>
      </c>
      <c r="C963" s="4" t="s">
        <v>39</v>
      </c>
      <c r="D963" s="6"/>
      <c r="E963" s="3" t="str">
        <f t="shared" si="1"/>
        <v>現存</v>
      </c>
      <c r="F963" s="3" t="s">
        <v>130</v>
      </c>
      <c r="G963" s="6"/>
      <c r="H963" s="3" t="str">
        <f t="shared" si="2"/>
        <v>1</v>
      </c>
      <c r="I963" s="3" t="s">
        <v>530</v>
      </c>
      <c r="J963" s="3" t="s">
        <v>135</v>
      </c>
      <c r="K963" s="3">
        <v>1.0</v>
      </c>
      <c r="L963" s="3">
        <v>1.0</v>
      </c>
      <c r="M963" s="4" t="s">
        <v>43</v>
      </c>
      <c r="N963" s="3" t="s">
        <v>130</v>
      </c>
      <c r="O963" s="9" t="s">
        <v>1558</v>
      </c>
      <c r="P963" s="4" t="s">
        <v>2332</v>
      </c>
      <c r="Q963" s="3"/>
      <c r="R963" s="3"/>
      <c r="S963" s="6"/>
      <c r="T963" s="6"/>
      <c r="U963" s="6"/>
    </row>
    <row r="964" ht="15.75" customHeight="1">
      <c r="A964" s="4" t="s">
        <v>2616</v>
      </c>
      <c r="B964" s="4" t="s">
        <v>2617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212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130</v>
      </c>
      <c r="O964" s="3"/>
      <c r="P964" s="4" t="s">
        <v>2332</v>
      </c>
      <c r="Q964" s="3"/>
      <c r="R964" s="3"/>
      <c r="S964" s="6"/>
      <c r="T964" s="6"/>
      <c r="U964" s="6"/>
    </row>
    <row r="965" ht="15.75" customHeight="1">
      <c r="A965" s="4" t="s">
        <v>2618</v>
      </c>
      <c r="B965" s="4" t="s">
        <v>2619</v>
      </c>
      <c r="C965" s="4" t="s">
        <v>39</v>
      </c>
      <c r="D965" s="8" t="s">
        <v>381</v>
      </c>
      <c r="E965" s="3" t="str">
        <f t="shared" si="1"/>
        <v>不收錄</v>
      </c>
      <c r="F965" s="3" t="s">
        <v>2620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236</v>
      </c>
      <c r="N965" s="3" t="s">
        <v>130</v>
      </c>
      <c r="O965" s="3"/>
      <c r="P965" s="4" t="s">
        <v>2332</v>
      </c>
      <c r="Q965" s="3"/>
      <c r="R965" s="3"/>
      <c r="S965" s="6"/>
      <c r="T965" s="6"/>
      <c r="U965" s="6"/>
    </row>
    <row r="966" ht="15.75" customHeight="1">
      <c r="A966" s="4" t="s">
        <v>2621</v>
      </c>
      <c r="B966" s="4" t="s">
        <v>2622</v>
      </c>
      <c r="C966" s="4" t="s">
        <v>39</v>
      </c>
      <c r="D966" s="6"/>
      <c r="E966" s="3" t="str">
        <f t="shared" si="1"/>
        <v>現存</v>
      </c>
      <c r="F966" s="3" t="s">
        <v>202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130</v>
      </c>
      <c r="O966" s="3"/>
      <c r="P966" s="4" t="s">
        <v>2332</v>
      </c>
      <c r="Q966" s="3"/>
      <c r="R966" s="3"/>
      <c r="S966" s="6"/>
      <c r="T966" s="6"/>
      <c r="U966" s="6"/>
    </row>
    <row r="967" ht="15.75" customHeight="1">
      <c r="A967" s="4" t="s">
        <v>2623</v>
      </c>
      <c r="B967" s="4" t="s">
        <v>2624</v>
      </c>
      <c r="C967" s="4" t="s">
        <v>39</v>
      </c>
      <c r="D967" s="6"/>
      <c r="E967" s="3" t="str">
        <f t="shared" si="1"/>
        <v>現存</v>
      </c>
      <c r="F967" s="3" t="s">
        <v>2625</v>
      </c>
      <c r="G967" s="6"/>
      <c r="H967" s="3" t="str">
        <f t="shared" si="2"/>
        <v>1,4,6,7,8,9,11,12</v>
      </c>
      <c r="I967" s="3" t="s">
        <v>857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130</v>
      </c>
      <c r="O967" s="3"/>
      <c r="P967" s="4" t="s">
        <v>2332</v>
      </c>
      <c r="Q967" s="3"/>
      <c r="R967" s="3"/>
      <c r="S967" s="6"/>
      <c r="T967" s="6"/>
      <c r="U967" s="6"/>
    </row>
    <row r="968" ht="15.75" customHeight="1">
      <c r="A968" s="4" t="s">
        <v>2626</v>
      </c>
      <c r="B968" s="4" t="s">
        <v>2627</v>
      </c>
      <c r="C968" s="4" t="s">
        <v>39</v>
      </c>
      <c r="D968" s="6"/>
      <c r="E968" s="3" t="str">
        <f t="shared" si="1"/>
        <v>現存</v>
      </c>
      <c r="F968" s="3" t="s">
        <v>2628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130</v>
      </c>
      <c r="O968" s="3"/>
      <c r="P968" s="4" t="s">
        <v>2332</v>
      </c>
      <c r="Q968" s="3"/>
      <c r="R968" s="3"/>
      <c r="S968" s="6"/>
      <c r="T968" s="6"/>
      <c r="U968" s="6"/>
    </row>
    <row r="969" ht="15.75" customHeight="1">
      <c r="A969" s="4" t="s">
        <v>2629</v>
      </c>
      <c r="B969" s="4" t="s">
        <v>2630</v>
      </c>
      <c r="C969" s="4" t="s">
        <v>39</v>
      </c>
      <c r="D969" s="6"/>
      <c r="E969" s="3" t="str">
        <f t="shared" si="1"/>
        <v>現存</v>
      </c>
      <c r="F969" s="3" t="s">
        <v>2631</v>
      </c>
      <c r="G969" s="6"/>
      <c r="H969" s="3" t="str">
        <f t="shared" si="2"/>
        <v>1,3,5,6,7,10,11</v>
      </c>
      <c r="I969" s="3" t="s">
        <v>589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130</v>
      </c>
      <c r="O969" s="3"/>
      <c r="P969" s="4" t="s">
        <v>2332</v>
      </c>
      <c r="Q969" s="3"/>
      <c r="R969" s="3"/>
      <c r="S969" s="6"/>
      <c r="T969" s="6"/>
      <c r="U969" s="6"/>
    </row>
    <row r="970" ht="15.75" customHeight="1">
      <c r="A970" s="4" t="s">
        <v>2632</v>
      </c>
      <c r="B970" s="4" t="s">
        <v>2633</v>
      </c>
      <c r="C970" s="4" t="s">
        <v>39</v>
      </c>
      <c r="D970" s="6"/>
      <c r="E970" s="3" t="str">
        <f t="shared" si="1"/>
        <v>現存</v>
      </c>
      <c r="F970" s="3" t="s">
        <v>2634</v>
      </c>
      <c r="G970" s="6"/>
      <c r="H970" s="3" t="str">
        <f t="shared" si="2"/>
        <v>1,4</v>
      </c>
      <c r="I970" s="3" t="s">
        <v>139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130</v>
      </c>
      <c r="O970" s="3"/>
      <c r="P970" s="4" t="s">
        <v>2332</v>
      </c>
      <c r="Q970" s="3"/>
      <c r="R970" s="3"/>
      <c r="S970" s="6"/>
      <c r="T970" s="6"/>
      <c r="U970" s="6"/>
    </row>
    <row r="971" ht="15.75" customHeight="1">
      <c r="A971" s="4" t="s">
        <v>2635</v>
      </c>
      <c r="B971" s="4" t="s">
        <v>2636</v>
      </c>
      <c r="C971" s="4" t="s">
        <v>39</v>
      </c>
      <c r="D971" s="6"/>
      <c r="E971" s="3" t="str">
        <f t="shared" si="1"/>
        <v>現存</v>
      </c>
      <c r="F971" s="3" t="s">
        <v>2637</v>
      </c>
      <c r="G971" s="6"/>
      <c r="H971" s="3" t="str">
        <f t="shared" si="2"/>
        <v>1,3,10,12</v>
      </c>
      <c r="I971" s="3" t="s">
        <v>117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2638</v>
      </c>
      <c r="O971" s="3"/>
      <c r="P971" s="4" t="s">
        <v>2332</v>
      </c>
      <c r="Q971" s="3"/>
      <c r="R971" s="3"/>
      <c r="S971" s="6"/>
      <c r="T971" s="6"/>
      <c r="U971" s="6"/>
    </row>
    <row r="972" ht="15.75" customHeight="1">
      <c r="A972" s="4" t="s">
        <v>2639</v>
      </c>
      <c r="B972" s="4" t="s">
        <v>2640</v>
      </c>
      <c r="C972" s="4" t="s">
        <v>170</v>
      </c>
      <c r="D972" s="6"/>
      <c r="E972" s="3" t="str">
        <f t="shared" si="1"/>
        <v>近年未見</v>
      </c>
      <c r="F972" s="3" t="s">
        <v>634</v>
      </c>
      <c r="G972" s="6"/>
      <c r="H972" s="3" t="str">
        <f t="shared" si="2"/>
        <v>12</v>
      </c>
      <c r="I972" s="3" t="s">
        <v>2641</v>
      </c>
      <c r="J972" s="3" t="s">
        <v>181</v>
      </c>
      <c r="K972" s="3">
        <v>1.0</v>
      </c>
      <c r="L972" s="3">
        <v>0.0</v>
      </c>
      <c r="M972" s="4" t="s">
        <v>236</v>
      </c>
      <c r="N972" s="3"/>
      <c r="O972" s="3"/>
      <c r="P972" s="4" t="s">
        <v>2332</v>
      </c>
      <c r="Q972" s="3"/>
      <c r="R972" s="3"/>
      <c r="S972" s="6"/>
      <c r="T972" s="6"/>
      <c r="U972" s="6"/>
    </row>
    <row r="973" ht="15.75" customHeight="1">
      <c r="A973" s="4" t="s">
        <v>2642</v>
      </c>
      <c r="B973" s="4" t="s">
        <v>2643</v>
      </c>
      <c r="C973" s="4" t="s">
        <v>39</v>
      </c>
      <c r="D973" s="6"/>
      <c r="E973" s="3" t="str">
        <f t="shared" si="1"/>
        <v>現存</v>
      </c>
      <c r="F973" s="3" t="s">
        <v>2644</v>
      </c>
      <c r="G973" s="6"/>
      <c r="H973" s="3" t="str">
        <f t="shared" si="2"/>
        <v>1,5,6,7,8,9</v>
      </c>
      <c r="I973" s="3" t="s">
        <v>1225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130</v>
      </c>
      <c r="O973" s="3"/>
      <c r="P973" s="4" t="s">
        <v>2332</v>
      </c>
      <c r="Q973" s="3"/>
      <c r="R973" s="3"/>
      <c r="S973" s="6"/>
      <c r="T973" s="6"/>
      <c r="U973" s="6"/>
    </row>
    <row r="974" ht="15.75" customHeight="1">
      <c r="A974" s="4" t="s">
        <v>2645</v>
      </c>
      <c r="B974" s="4" t="s">
        <v>2646</v>
      </c>
      <c r="C974" s="4" t="s">
        <v>39</v>
      </c>
      <c r="D974" s="6"/>
      <c r="E974" s="3" t="str">
        <f t="shared" si="1"/>
        <v>現存</v>
      </c>
      <c r="F974" s="3" t="s">
        <v>2634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130</v>
      </c>
      <c r="O974" s="3"/>
      <c r="P974" s="4" t="s">
        <v>2332</v>
      </c>
      <c r="Q974" s="3"/>
      <c r="R974" s="3"/>
      <c r="S974" s="6"/>
      <c r="T974" s="6"/>
      <c r="U974" s="6"/>
    </row>
    <row r="975" ht="15.75" customHeight="1">
      <c r="A975" s="4" t="s">
        <v>2647</v>
      </c>
      <c r="B975" s="4" t="s">
        <v>2648</v>
      </c>
      <c r="C975" s="4" t="s">
        <v>39</v>
      </c>
      <c r="D975" s="6"/>
      <c r="E975" s="3" t="str">
        <f t="shared" si="1"/>
        <v>現存</v>
      </c>
      <c r="F975" s="3" t="s">
        <v>2649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130</v>
      </c>
      <c r="O975" s="3"/>
      <c r="P975" s="4" t="s">
        <v>2332</v>
      </c>
      <c r="Q975" s="3"/>
      <c r="R975" s="3"/>
      <c r="S975" s="6"/>
      <c r="T975" s="6"/>
      <c r="U975" s="6"/>
    </row>
    <row r="976" ht="15.75" customHeight="1">
      <c r="A976" s="4" t="s">
        <v>2650</v>
      </c>
      <c r="B976" s="4" t="s">
        <v>2651</v>
      </c>
      <c r="C976" s="4" t="s">
        <v>39</v>
      </c>
      <c r="D976" s="6"/>
      <c r="E976" s="3" t="str">
        <f t="shared" si="1"/>
        <v>現存</v>
      </c>
      <c r="F976" s="3" t="s">
        <v>2652</v>
      </c>
      <c r="G976" s="6"/>
      <c r="H976" s="3" t="str">
        <f t="shared" si="2"/>
        <v>1,2,6,8,10,11,12</v>
      </c>
      <c r="I976" s="3" t="s">
        <v>303</v>
      </c>
      <c r="J976" s="3" t="s">
        <v>193</v>
      </c>
      <c r="K976" s="3">
        <v>14.0</v>
      </c>
      <c r="L976" s="3">
        <v>2.0</v>
      </c>
      <c r="M976" s="4" t="s">
        <v>43</v>
      </c>
      <c r="N976" s="3" t="s">
        <v>2653</v>
      </c>
      <c r="O976" s="3"/>
      <c r="P976" s="4" t="s">
        <v>2332</v>
      </c>
      <c r="Q976" s="3"/>
      <c r="R976" s="3"/>
      <c r="S976" s="6"/>
      <c r="T976" s="6"/>
      <c r="U976" s="6"/>
    </row>
    <row r="977" ht="15.75" customHeight="1">
      <c r="A977" s="4" t="s">
        <v>2654</v>
      </c>
      <c r="B977" s="4" t="s">
        <v>2655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530</v>
      </c>
      <c r="J977" s="3" t="s">
        <v>125</v>
      </c>
      <c r="K977" s="3">
        <v>4.0</v>
      </c>
      <c r="L977" s="3">
        <v>1.0</v>
      </c>
      <c r="M977" s="4" t="s">
        <v>43</v>
      </c>
      <c r="N977" s="3" t="s">
        <v>156</v>
      </c>
      <c r="O977" s="3"/>
      <c r="P977" s="4" t="s">
        <v>2332</v>
      </c>
      <c r="Q977" s="3"/>
      <c r="R977" s="3"/>
      <c r="S977" s="6"/>
      <c r="T977" s="6"/>
      <c r="U977" s="6"/>
    </row>
    <row r="978" ht="15.75" customHeight="1">
      <c r="A978" s="4" t="s">
        <v>2656</v>
      </c>
      <c r="B978" s="4" t="s">
        <v>2657</v>
      </c>
      <c r="C978" s="4" t="s">
        <v>39</v>
      </c>
      <c r="D978" s="6"/>
      <c r="E978" s="3" t="str">
        <f t="shared" si="1"/>
        <v>現存</v>
      </c>
      <c r="F978" s="3" t="s">
        <v>351</v>
      </c>
      <c r="G978" s="6"/>
      <c r="H978" s="3" t="str">
        <f t="shared" si="2"/>
        <v>1,5</v>
      </c>
      <c r="I978" s="3" t="s">
        <v>534</v>
      </c>
      <c r="J978" s="3" t="s">
        <v>98</v>
      </c>
      <c r="K978" s="3">
        <v>2.0</v>
      </c>
      <c r="L978" s="3">
        <v>1.0</v>
      </c>
      <c r="M978" s="9" t="s">
        <v>236</v>
      </c>
      <c r="N978" s="3" t="s">
        <v>130</v>
      </c>
      <c r="O978" s="3"/>
      <c r="P978" s="4" t="s">
        <v>2332</v>
      </c>
      <c r="Q978" s="3"/>
      <c r="R978" s="3"/>
      <c r="S978" s="6"/>
      <c r="T978" s="6"/>
      <c r="U978" s="6"/>
    </row>
    <row r="979" ht="15.75" customHeight="1">
      <c r="A979" s="4" t="s">
        <v>2658</v>
      </c>
      <c r="B979" s="4" t="s">
        <v>2659</v>
      </c>
      <c r="C979" s="4" t="s">
        <v>39</v>
      </c>
      <c r="D979" s="6"/>
      <c r="E979" s="3" t="str">
        <f t="shared" si="1"/>
        <v>現存</v>
      </c>
      <c r="F979" s="3" t="s">
        <v>192</v>
      </c>
      <c r="G979" s="6"/>
      <c r="H979" s="3" t="str">
        <f t="shared" si="2"/>
        <v>1,11,12</v>
      </c>
      <c r="I979" s="3" t="s">
        <v>530</v>
      </c>
      <c r="J979" s="3" t="s">
        <v>193</v>
      </c>
      <c r="K979" s="3">
        <v>8.0</v>
      </c>
      <c r="L979" s="3">
        <v>1.0</v>
      </c>
      <c r="M979" s="4" t="s">
        <v>43</v>
      </c>
      <c r="N979" s="3" t="s">
        <v>130</v>
      </c>
      <c r="O979" s="4"/>
      <c r="P979" s="4" t="s">
        <v>2332</v>
      </c>
      <c r="Q979" s="3"/>
      <c r="R979" s="3"/>
      <c r="S979" s="6"/>
      <c r="T979" s="6"/>
      <c r="U979" s="6"/>
    </row>
    <row r="980" ht="15.75" customHeight="1">
      <c r="A980" s="4" t="s">
        <v>2660</v>
      </c>
      <c r="B980" s="4" t="s">
        <v>2661</v>
      </c>
      <c r="C980" s="4" t="s">
        <v>39</v>
      </c>
      <c r="D980" s="6"/>
      <c r="E980" s="3" t="str">
        <f t="shared" si="1"/>
        <v>現存</v>
      </c>
      <c r="F980" s="3" t="s">
        <v>2662</v>
      </c>
      <c r="G980" s="6"/>
      <c r="H980" s="3" t="str">
        <f t="shared" si="2"/>
        <v>2,4,11,12</v>
      </c>
      <c r="I980" s="3" t="s">
        <v>64</v>
      </c>
      <c r="J980" s="3" t="s">
        <v>125</v>
      </c>
      <c r="K980" s="3">
        <v>4.0</v>
      </c>
      <c r="L980" s="3">
        <v>1.0</v>
      </c>
      <c r="M980" s="4" t="s">
        <v>43</v>
      </c>
      <c r="N980" s="3" t="s">
        <v>130</v>
      </c>
      <c r="O980" s="3"/>
      <c r="P980" s="4" t="s">
        <v>2332</v>
      </c>
      <c r="Q980" s="3"/>
      <c r="R980" s="3"/>
      <c r="S980" s="6"/>
      <c r="T980" s="6"/>
      <c r="U980" s="6"/>
    </row>
    <row r="981" ht="15.75" customHeight="1">
      <c r="A981" s="4" t="s">
        <v>2663</v>
      </c>
      <c r="B981" s="4" t="s">
        <v>2664</v>
      </c>
      <c r="C981" s="4" t="s">
        <v>39</v>
      </c>
      <c r="D981" s="6"/>
      <c r="E981" s="3" t="str">
        <f t="shared" si="1"/>
        <v>現存</v>
      </c>
      <c r="F981" s="3" t="s">
        <v>2665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130</v>
      </c>
      <c r="O981" s="3"/>
      <c r="P981" s="4" t="s">
        <v>2332</v>
      </c>
      <c r="Q981" s="4" t="s">
        <v>2666</v>
      </c>
      <c r="R981" s="3"/>
      <c r="S981" s="6"/>
      <c r="T981" s="6"/>
      <c r="U981" s="6"/>
    </row>
    <row r="982" ht="15.75" customHeight="1">
      <c r="A982" s="4" t="s">
        <v>2667</v>
      </c>
      <c r="B982" s="4" t="s">
        <v>2668</v>
      </c>
      <c r="C982" s="4" t="s">
        <v>39</v>
      </c>
      <c r="D982" s="6"/>
      <c r="E982" s="3" t="str">
        <f t="shared" si="1"/>
        <v>現存</v>
      </c>
      <c r="F982" s="3" t="s">
        <v>218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130</v>
      </c>
      <c r="O982" s="3"/>
      <c r="P982" s="9" t="s">
        <v>1821</v>
      </c>
      <c r="Q982" s="3"/>
      <c r="R982" s="3"/>
      <c r="S982" s="6"/>
      <c r="T982" s="6"/>
      <c r="U982" s="6"/>
    </row>
    <row r="983" ht="15.75" customHeight="1">
      <c r="A983" s="4" t="s">
        <v>2669</v>
      </c>
      <c r="B983" s="4" t="s">
        <v>2670</v>
      </c>
      <c r="C983" s="4" t="s">
        <v>39</v>
      </c>
      <c r="D983" s="6"/>
      <c r="E983" s="3" t="str">
        <f t="shared" si="1"/>
        <v>現存</v>
      </c>
      <c r="F983" s="3" t="s">
        <v>2671</v>
      </c>
      <c r="G983" s="6"/>
      <c r="H983" s="3" t="str">
        <f t="shared" si="2"/>
        <v>2,5,6,10,11,12</v>
      </c>
      <c r="I983" s="3" t="s">
        <v>857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130</v>
      </c>
      <c r="O983" s="3"/>
      <c r="P983" s="4" t="s">
        <v>2332</v>
      </c>
      <c r="Q983" s="3"/>
      <c r="R983" s="3"/>
      <c r="S983" s="6"/>
      <c r="T983" s="6"/>
      <c r="U983" s="6"/>
    </row>
    <row r="984" ht="15.75" customHeight="1">
      <c r="A984" s="4" t="s">
        <v>2672</v>
      </c>
      <c r="B984" s="4" t="s">
        <v>2673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539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130</v>
      </c>
      <c r="O984" s="3"/>
      <c r="P984" s="4" t="s">
        <v>2332</v>
      </c>
      <c r="Q984" s="3"/>
      <c r="R984" s="3"/>
      <c r="S984" s="6"/>
      <c r="T984" s="6"/>
      <c r="U984" s="6"/>
    </row>
    <row r="985" ht="15.75" customHeight="1">
      <c r="A985" s="4" t="s">
        <v>2674</v>
      </c>
      <c r="B985" s="4" t="s">
        <v>2675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367</v>
      </c>
      <c r="J985" s="3" t="s">
        <v>181</v>
      </c>
      <c r="K985" s="3">
        <v>1.0</v>
      </c>
      <c r="L985" s="3">
        <v>1.0</v>
      </c>
      <c r="M985" s="4" t="s">
        <v>43</v>
      </c>
      <c r="N985" s="3" t="s">
        <v>130</v>
      </c>
      <c r="O985" s="3"/>
      <c r="P985" s="4" t="s">
        <v>2332</v>
      </c>
      <c r="Q985" s="3"/>
      <c r="R985" s="3"/>
      <c r="S985" s="6"/>
      <c r="T985" s="6"/>
      <c r="U985" s="6"/>
    </row>
    <row r="986" ht="15.75" customHeight="1">
      <c r="A986" s="4" t="s">
        <v>2676</v>
      </c>
      <c r="B986" s="4" t="s">
        <v>2677</v>
      </c>
      <c r="C986" s="4" t="s">
        <v>39</v>
      </c>
      <c r="D986" s="6"/>
      <c r="E986" s="3" t="str">
        <f t="shared" si="1"/>
        <v>現存</v>
      </c>
      <c r="F986" s="3" t="s">
        <v>2678</v>
      </c>
      <c r="G986" s="6"/>
      <c r="H986" s="3" t="str">
        <f t="shared" si="2"/>
        <v>2,4,6,8</v>
      </c>
      <c r="I986" s="3" t="s">
        <v>857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130</v>
      </c>
      <c r="O986" s="3"/>
      <c r="P986" s="4" t="s">
        <v>2332</v>
      </c>
      <c r="Q986" s="3"/>
      <c r="R986" s="3"/>
      <c r="S986" s="6"/>
      <c r="T986" s="6"/>
      <c r="U986" s="6"/>
    </row>
    <row r="987" ht="15.75" customHeight="1">
      <c r="A987" s="4" t="s">
        <v>2679</v>
      </c>
      <c r="B987" s="4" t="s">
        <v>2680</v>
      </c>
      <c r="C987" s="4" t="s">
        <v>39</v>
      </c>
      <c r="D987" s="6"/>
      <c r="E987" s="3" t="str">
        <f t="shared" si="1"/>
        <v>現存</v>
      </c>
      <c r="F987" s="3" t="s">
        <v>218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2332</v>
      </c>
      <c r="Q987" s="3"/>
      <c r="R987" s="3"/>
      <c r="S987" s="6"/>
      <c r="T987" s="6"/>
      <c r="U987" s="6"/>
    </row>
    <row r="988" ht="15.75" customHeight="1">
      <c r="A988" s="4" t="s">
        <v>2681</v>
      </c>
      <c r="B988" s="4" t="s">
        <v>1528</v>
      </c>
      <c r="C988" s="4" t="s">
        <v>39</v>
      </c>
      <c r="D988" s="6"/>
      <c r="E988" s="3" t="str">
        <f t="shared" si="1"/>
        <v>現存</v>
      </c>
      <c r="F988" s="3" t="s">
        <v>218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156</v>
      </c>
      <c r="O988" s="3"/>
      <c r="P988" s="4" t="s">
        <v>2332</v>
      </c>
      <c r="Q988" s="3"/>
      <c r="R988" s="3"/>
      <c r="S988" s="6"/>
      <c r="T988" s="6"/>
      <c r="U988" s="6"/>
    </row>
    <row r="989" ht="15.75" customHeight="1">
      <c r="A989" s="4" t="s">
        <v>2682</v>
      </c>
      <c r="B989" s="4" t="s">
        <v>2683</v>
      </c>
      <c r="C989" s="4" t="s">
        <v>39</v>
      </c>
      <c r="D989" s="6"/>
      <c r="E989" s="3" t="str">
        <f t="shared" si="1"/>
        <v>現存</v>
      </c>
      <c r="F989" s="3" t="s">
        <v>218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156</v>
      </c>
      <c r="O989" s="3"/>
      <c r="P989" s="4" t="s">
        <v>2332</v>
      </c>
      <c r="Q989" s="3"/>
      <c r="R989" s="3"/>
      <c r="S989" s="6"/>
      <c r="T989" s="6"/>
      <c r="U989" s="6"/>
    </row>
    <row r="990" ht="15.75" customHeight="1">
      <c r="A990" s="4" t="s">
        <v>2684</v>
      </c>
      <c r="B990" s="4" t="s">
        <v>2685</v>
      </c>
      <c r="C990" s="4" t="s">
        <v>39</v>
      </c>
      <c r="D990" s="6"/>
      <c r="E990" s="3" t="str">
        <f t="shared" si="1"/>
        <v>現存</v>
      </c>
      <c r="F990" s="3" t="s">
        <v>2108</v>
      </c>
      <c r="G990" s="6"/>
      <c r="H990" s="3" t="str">
        <f t="shared" si="2"/>
        <v>3,8</v>
      </c>
      <c r="I990" s="3" t="s">
        <v>391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130</v>
      </c>
      <c r="O990" s="3"/>
      <c r="P990" s="4" t="s">
        <v>2332</v>
      </c>
      <c r="Q990" s="3"/>
      <c r="R990" s="3"/>
      <c r="S990" s="6"/>
      <c r="T990" s="6"/>
      <c r="U990" s="6"/>
    </row>
    <row r="991" ht="15.75" customHeight="1">
      <c r="A991" s="4" t="s">
        <v>2686</v>
      </c>
      <c r="B991" s="4" t="s">
        <v>2687</v>
      </c>
      <c r="C991" s="4" t="s">
        <v>39</v>
      </c>
      <c r="D991" s="6"/>
      <c r="E991" s="3" t="str">
        <f t="shared" si="1"/>
        <v>現存</v>
      </c>
      <c r="F991" s="3" t="s">
        <v>116</v>
      </c>
      <c r="G991" s="6"/>
      <c r="H991" s="3" t="str">
        <f t="shared" si="2"/>
        <v>3,4</v>
      </c>
      <c r="I991" s="3" t="s">
        <v>117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130</v>
      </c>
      <c r="O991" s="3"/>
      <c r="P991" s="4" t="s">
        <v>2332</v>
      </c>
      <c r="Q991" s="3"/>
      <c r="R991" s="3"/>
      <c r="S991" s="6"/>
      <c r="T991" s="6"/>
      <c r="U991" s="6"/>
    </row>
    <row r="992" ht="15.75" customHeight="1">
      <c r="A992" s="4" t="s">
        <v>2688</v>
      </c>
      <c r="B992" s="4" t="s">
        <v>2689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709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2332</v>
      </c>
      <c r="Q992" s="3"/>
      <c r="R992" s="3"/>
      <c r="S992" s="6"/>
      <c r="T992" s="6"/>
      <c r="U992" s="6"/>
    </row>
    <row r="993" ht="15.75" customHeight="1">
      <c r="A993" s="4" t="s">
        <v>2690</v>
      </c>
      <c r="B993" s="4" t="s">
        <v>2689</v>
      </c>
      <c r="C993" s="4" t="s">
        <v>39</v>
      </c>
      <c r="D993" s="8" t="s">
        <v>381</v>
      </c>
      <c r="E993" s="3" t="str">
        <f t="shared" si="1"/>
        <v>不收錄</v>
      </c>
      <c r="F993" s="3" t="s">
        <v>138</v>
      </c>
      <c r="G993" s="6"/>
      <c r="H993" s="3" t="str">
        <f t="shared" si="2"/>
        <v>3,4,5</v>
      </c>
      <c r="I993" s="3" t="s">
        <v>149</v>
      </c>
      <c r="J993" s="3" t="s">
        <v>50</v>
      </c>
      <c r="K993" s="3">
        <v>5.0</v>
      </c>
      <c r="L993" s="3">
        <v>1.0</v>
      </c>
      <c r="M993" s="9" t="s">
        <v>236</v>
      </c>
      <c r="N993" s="3" t="s">
        <v>130</v>
      </c>
      <c r="O993" s="3"/>
      <c r="P993" s="4" t="s">
        <v>2332</v>
      </c>
      <c r="Q993" s="3"/>
      <c r="R993" s="3"/>
      <c r="S993" s="6"/>
      <c r="T993" s="6"/>
      <c r="U993" s="6"/>
    </row>
    <row r="994" ht="15.75" customHeight="1">
      <c r="A994" s="4" t="s">
        <v>2691</v>
      </c>
      <c r="B994" s="4" t="s">
        <v>2692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117</v>
      </c>
      <c r="J994" s="3" t="s">
        <v>135</v>
      </c>
      <c r="K994" s="3">
        <v>1.0</v>
      </c>
      <c r="L994" s="3">
        <v>1.0</v>
      </c>
      <c r="M994" s="4" t="s">
        <v>43</v>
      </c>
      <c r="N994" s="3" t="s">
        <v>130</v>
      </c>
      <c r="O994" s="3"/>
      <c r="P994" s="4" t="s">
        <v>2332</v>
      </c>
      <c r="Q994" s="3"/>
      <c r="R994" s="3"/>
      <c r="S994" s="6"/>
      <c r="T994" s="6"/>
      <c r="U994" s="6"/>
    </row>
    <row r="995" ht="15.75" customHeight="1">
      <c r="A995" s="4" t="s">
        <v>2693</v>
      </c>
      <c r="B995" s="4" t="s">
        <v>2694</v>
      </c>
      <c r="C995" s="4" t="s">
        <v>39</v>
      </c>
      <c r="D995" s="8" t="s">
        <v>170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699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130</v>
      </c>
      <c r="O995" s="3"/>
      <c r="P995" s="4" t="s">
        <v>2332</v>
      </c>
      <c r="Q995" s="3"/>
      <c r="R995" s="3"/>
      <c r="S995" s="6"/>
      <c r="T995" s="6"/>
      <c r="U995" s="6"/>
    </row>
    <row r="996" ht="15.75" customHeight="1">
      <c r="A996" s="4" t="s">
        <v>2695</v>
      </c>
      <c r="B996" s="4" t="s">
        <v>2696</v>
      </c>
      <c r="C996" s="4" t="s">
        <v>39</v>
      </c>
      <c r="D996" s="6"/>
      <c r="E996" s="3" t="str">
        <f t="shared" si="1"/>
        <v>現存</v>
      </c>
      <c r="F996" s="3" t="s">
        <v>116</v>
      </c>
      <c r="G996" s="6"/>
      <c r="H996" s="3" t="str">
        <f t="shared" si="2"/>
        <v>3,4</v>
      </c>
      <c r="I996" s="3" t="s">
        <v>117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130</v>
      </c>
      <c r="O996" s="3"/>
      <c r="P996" s="4" t="s">
        <v>2332</v>
      </c>
      <c r="Q996" s="3"/>
      <c r="R996" s="3"/>
      <c r="S996" s="6"/>
      <c r="T996" s="6"/>
      <c r="U996" s="6"/>
    </row>
    <row r="997" ht="15.75" customHeight="1">
      <c r="A997" s="4" t="s">
        <v>2697</v>
      </c>
      <c r="B997" s="4" t="s">
        <v>2698</v>
      </c>
      <c r="C997" s="4" t="s">
        <v>39</v>
      </c>
      <c r="D997" s="6"/>
      <c r="E997" s="3" t="str">
        <f t="shared" si="1"/>
        <v>現存</v>
      </c>
      <c r="F997" s="3" t="s">
        <v>1140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130</v>
      </c>
      <c r="O997" s="3"/>
      <c r="P997" s="4" t="s">
        <v>2332</v>
      </c>
      <c r="Q997" s="3"/>
      <c r="R997" s="3"/>
      <c r="S997" s="6"/>
      <c r="T997" s="6"/>
      <c r="U997" s="6"/>
    </row>
    <row r="998" ht="15.75" customHeight="1">
      <c r="A998" s="4" t="s">
        <v>2699</v>
      </c>
      <c r="B998" s="4" t="s">
        <v>2700</v>
      </c>
      <c r="C998" s="4" t="s">
        <v>39</v>
      </c>
      <c r="D998" s="6"/>
      <c r="E998" s="3" t="str">
        <f t="shared" si="1"/>
        <v>現存</v>
      </c>
      <c r="F998" s="3" t="s">
        <v>116</v>
      </c>
      <c r="G998" s="6"/>
      <c r="H998" s="3" t="str">
        <f t="shared" si="2"/>
        <v>3,4</v>
      </c>
      <c r="I998" s="3" t="s">
        <v>139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130</v>
      </c>
      <c r="O998" s="3"/>
      <c r="P998" s="4" t="s">
        <v>2332</v>
      </c>
      <c r="Q998" s="3"/>
      <c r="R998" s="3"/>
      <c r="S998" s="6"/>
      <c r="T998" s="6"/>
      <c r="U998" s="6"/>
    </row>
    <row r="999" ht="15.75" customHeight="1">
      <c r="A999" s="4" t="s">
        <v>2701</v>
      </c>
      <c r="B999" s="4" t="s">
        <v>2702</v>
      </c>
      <c r="C999" s="4" t="s">
        <v>39</v>
      </c>
      <c r="D999" s="6"/>
      <c r="E999" s="3" t="str">
        <f t="shared" si="1"/>
        <v>現存</v>
      </c>
      <c r="F999" s="3" t="s">
        <v>116</v>
      </c>
      <c r="G999" s="6"/>
      <c r="H999" s="3" t="str">
        <f t="shared" si="2"/>
        <v>3,4</v>
      </c>
      <c r="I999" s="3" t="s">
        <v>709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1684</v>
      </c>
      <c r="Q999" s="3"/>
      <c r="R999" s="3"/>
      <c r="S999" s="6"/>
      <c r="T999" s="6"/>
      <c r="U999" s="6"/>
    </row>
    <row r="1000" ht="15.75" customHeight="1">
      <c r="A1000" s="4" t="s">
        <v>2703</v>
      </c>
      <c r="B1000" s="4" t="s">
        <v>2704</v>
      </c>
      <c r="C1000" s="4" t="s">
        <v>39</v>
      </c>
      <c r="D1000" s="8" t="s">
        <v>170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391</v>
      </c>
      <c r="J1000" s="3" t="s">
        <v>42</v>
      </c>
      <c r="K1000" s="3">
        <v>1.0</v>
      </c>
      <c r="L1000" s="3">
        <v>1.0</v>
      </c>
      <c r="M1000" s="9" t="s">
        <v>236</v>
      </c>
      <c r="N1000" s="3" t="s">
        <v>130</v>
      </c>
      <c r="O1000" s="3"/>
      <c r="P1000" s="4" t="s">
        <v>2332</v>
      </c>
      <c r="Q1000" s="3"/>
      <c r="R1000" s="3"/>
      <c r="S1000" s="6"/>
      <c r="T1000" s="6"/>
      <c r="U1000" s="6"/>
    </row>
    <row r="1001" ht="15.75" customHeight="1">
      <c r="A1001" s="4" t="s">
        <v>2705</v>
      </c>
      <c r="B1001" s="4" t="s">
        <v>2706</v>
      </c>
      <c r="C1001" s="4" t="s">
        <v>39</v>
      </c>
      <c r="D1001" s="6"/>
      <c r="E1001" s="3" t="str">
        <f t="shared" si="1"/>
        <v>現存</v>
      </c>
      <c r="F1001" s="3" t="s">
        <v>2707</v>
      </c>
      <c r="G1001" s="6"/>
      <c r="H1001" s="3" t="str">
        <f t="shared" si="2"/>
        <v>3,7,10</v>
      </c>
      <c r="I1001" s="3" t="s">
        <v>117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130</v>
      </c>
      <c r="O1001" s="3"/>
      <c r="P1001" s="4" t="s">
        <v>2332</v>
      </c>
      <c r="Q1001" s="3"/>
      <c r="R1001" s="3"/>
      <c r="S1001" s="6"/>
      <c r="T1001" s="6"/>
      <c r="U1001" s="6"/>
    </row>
    <row r="1002" ht="15.75" customHeight="1">
      <c r="A1002" s="4" t="s">
        <v>2708</v>
      </c>
      <c r="B1002" s="4" t="s">
        <v>2709</v>
      </c>
      <c r="C1002" s="4" t="s">
        <v>39</v>
      </c>
      <c r="D1002" s="6"/>
      <c r="E1002" s="3" t="str">
        <f t="shared" si="1"/>
        <v>現存</v>
      </c>
      <c r="F1002" s="3" t="s">
        <v>2710</v>
      </c>
      <c r="G1002" s="6"/>
      <c r="H1002" s="3" t="str">
        <f t="shared" si="2"/>
        <v>3,7,12</v>
      </c>
      <c r="I1002" s="3" t="s">
        <v>797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130</v>
      </c>
      <c r="O1002" s="3"/>
      <c r="P1002" s="4" t="s">
        <v>2332</v>
      </c>
      <c r="Q1002" s="3"/>
      <c r="R1002" s="3"/>
      <c r="S1002" s="6"/>
      <c r="T1002" s="6"/>
      <c r="U1002" s="6"/>
    </row>
    <row r="1003" ht="15.75" customHeight="1">
      <c r="A1003" s="4" t="s">
        <v>2711</v>
      </c>
      <c r="B1003" s="4" t="s">
        <v>2712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236</v>
      </c>
      <c r="N1003" s="3" t="s">
        <v>130</v>
      </c>
      <c r="O1003" s="4"/>
      <c r="P1003" s="4" t="s">
        <v>2332</v>
      </c>
      <c r="Q1003" s="3"/>
      <c r="R1003" s="3"/>
      <c r="S1003" s="6"/>
      <c r="T1003" s="6"/>
      <c r="U1003" s="6"/>
    </row>
    <row r="1004" ht="15.75" customHeight="1">
      <c r="A1004" s="4" t="s">
        <v>2713</v>
      </c>
      <c r="B1004" s="4" t="s">
        <v>2714</v>
      </c>
      <c r="C1004" s="4" t="s">
        <v>39</v>
      </c>
      <c r="D1004" s="6"/>
      <c r="E1004" s="3" t="str">
        <f t="shared" si="1"/>
        <v>現存</v>
      </c>
      <c r="F1004" s="3" t="s">
        <v>256</v>
      </c>
      <c r="G1004" s="6"/>
      <c r="H1004" s="3" t="str">
        <f t="shared" si="2"/>
        <v>3,4,5,8</v>
      </c>
      <c r="I1004" s="3" t="s">
        <v>149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130</v>
      </c>
      <c r="O1004" s="3"/>
      <c r="P1004" s="4" t="s">
        <v>2332</v>
      </c>
      <c r="Q1004" s="3"/>
      <c r="R1004" s="3"/>
      <c r="S1004" s="6"/>
      <c r="T1004" s="6"/>
      <c r="U1004" s="6"/>
    </row>
    <row r="1005" ht="15.75" customHeight="1">
      <c r="A1005" s="4" t="s">
        <v>2715</v>
      </c>
      <c r="B1005" s="4" t="s">
        <v>2716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769</v>
      </c>
      <c r="J1005" s="3" t="s">
        <v>181</v>
      </c>
      <c r="K1005" s="3">
        <v>1.0</v>
      </c>
      <c r="L1005" s="3">
        <v>1.0</v>
      </c>
      <c r="M1005" s="9" t="s">
        <v>236</v>
      </c>
      <c r="N1005" s="3" t="s">
        <v>130</v>
      </c>
      <c r="O1005" s="3"/>
      <c r="P1005" s="4" t="s">
        <v>2332</v>
      </c>
      <c r="Q1005" s="3"/>
      <c r="R1005" s="3"/>
      <c r="S1005" s="6"/>
      <c r="T1005" s="6"/>
      <c r="U1005" s="6"/>
    </row>
    <row r="1006" ht="15.75" customHeight="1">
      <c r="A1006" s="4" t="s">
        <v>2717</v>
      </c>
      <c r="B1006" s="4" t="s">
        <v>2718</v>
      </c>
      <c r="C1006" s="4" t="s">
        <v>39</v>
      </c>
      <c r="D1006" s="6"/>
      <c r="E1006" s="3" t="str">
        <f t="shared" si="1"/>
        <v>現存</v>
      </c>
      <c r="F1006" s="3" t="s">
        <v>116</v>
      </c>
      <c r="G1006" s="6"/>
      <c r="H1006" s="3" t="str">
        <f t="shared" si="2"/>
        <v>3,4</v>
      </c>
      <c r="I1006" s="3" t="s">
        <v>83</v>
      </c>
      <c r="J1006" s="3" t="s">
        <v>135</v>
      </c>
      <c r="K1006" s="3">
        <v>9.0</v>
      </c>
      <c r="L1006" s="3">
        <v>1.0</v>
      </c>
      <c r="M1006" s="4" t="s">
        <v>43</v>
      </c>
      <c r="N1006" s="3" t="s">
        <v>130</v>
      </c>
      <c r="O1006" s="3"/>
      <c r="P1006" s="4" t="s">
        <v>2332</v>
      </c>
      <c r="Q1006" s="3"/>
      <c r="R1006" s="3"/>
      <c r="S1006" s="6"/>
      <c r="T1006" s="6"/>
      <c r="U1006" s="6"/>
    </row>
    <row r="1007" ht="15.75" customHeight="1">
      <c r="A1007" s="4" t="s">
        <v>2719</v>
      </c>
      <c r="B1007" s="4" t="s">
        <v>2720</v>
      </c>
      <c r="C1007" s="4" t="s">
        <v>39</v>
      </c>
      <c r="D1007" s="6"/>
      <c r="E1007" s="3" t="str">
        <f t="shared" si="1"/>
        <v>現存</v>
      </c>
      <c r="F1007" s="3" t="s">
        <v>240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130</v>
      </c>
      <c r="O1007" s="3"/>
      <c r="P1007" s="4" t="s">
        <v>2332</v>
      </c>
      <c r="Q1007" s="3"/>
      <c r="R1007" s="3"/>
      <c r="S1007" s="6"/>
      <c r="T1007" s="6"/>
      <c r="U1007" s="6"/>
    </row>
    <row r="1008" ht="15.75" customHeight="1">
      <c r="A1008" s="4" t="s">
        <v>2721</v>
      </c>
      <c r="B1008" s="4" t="s">
        <v>2722</v>
      </c>
      <c r="C1008" s="4" t="s">
        <v>39</v>
      </c>
      <c r="D1008" s="8" t="s">
        <v>170</v>
      </c>
      <c r="E1008" s="3" t="str">
        <f t="shared" si="1"/>
        <v>近年未見</v>
      </c>
      <c r="F1008" s="3" t="s">
        <v>156</v>
      </c>
      <c r="G1008" s="6"/>
      <c r="H1008" s="3" t="str">
        <f t="shared" si="2"/>
        <v>4</v>
      </c>
      <c r="I1008" s="3" t="s">
        <v>2140</v>
      </c>
      <c r="J1008" s="3" t="s">
        <v>181</v>
      </c>
      <c r="K1008" s="3">
        <v>1.0</v>
      </c>
      <c r="L1008" s="3">
        <v>1.0</v>
      </c>
      <c r="M1008" s="9" t="s">
        <v>236</v>
      </c>
      <c r="N1008" s="3" t="s">
        <v>130</v>
      </c>
      <c r="O1008" s="3"/>
      <c r="P1008" s="4" t="s">
        <v>2332</v>
      </c>
      <c r="Q1008" s="3"/>
      <c r="R1008" s="3"/>
      <c r="S1008" s="6"/>
      <c r="T1008" s="6"/>
      <c r="U1008" s="6"/>
    </row>
    <row r="1009" ht="15.75" customHeight="1">
      <c r="A1009" s="4" t="s">
        <v>2723</v>
      </c>
      <c r="B1009" s="4" t="s">
        <v>2724</v>
      </c>
      <c r="C1009" s="4" t="s">
        <v>39</v>
      </c>
      <c r="D1009" s="8" t="s">
        <v>170</v>
      </c>
      <c r="E1009" s="3" t="str">
        <f t="shared" si="1"/>
        <v>近年未見</v>
      </c>
      <c r="F1009" s="3" t="s">
        <v>156</v>
      </c>
      <c r="G1009" s="6"/>
      <c r="H1009" s="3" t="str">
        <f t="shared" si="2"/>
        <v>4</v>
      </c>
      <c r="I1009" s="3" t="s">
        <v>726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130</v>
      </c>
      <c r="O1009" s="3"/>
      <c r="P1009" s="4" t="s">
        <v>2332</v>
      </c>
      <c r="Q1009" s="3"/>
      <c r="R1009" s="3"/>
      <c r="S1009" s="6"/>
      <c r="T1009" s="6"/>
      <c r="U1009" s="6"/>
    </row>
    <row r="1010" ht="15.75" customHeight="1">
      <c r="A1010" s="4" t="s">
        <v>2725</v>
      </c>
      <c r="B1010" s="4" t="s">
        <v>2726</v>
      </c>
      <c r="C1010" s="4" t="s">
        <v>39</v>
      </c>
      <c r="D1010" s="8" t="s">
        <v>170</v>
      </c>
      <c r="E1010" s="3" t="str">
        <f t="shared" si="1"/>
        <v>近年未見</v>
      </c>
      <c r="F1010" s="3" t="s">
        <v>152</v>
      </c>
      <c r="G1010" s="6"/>
      <c r="H1010" s="3" t="str">
        <f t="shared" si="2"/>
        <v>4,11</v>
      </c>
      <c r="I1010" s="3" t="s">
        <v>1089</v>
      </c>
      <c r="J1010" s="3" t="s">
        <v>181</v>
      </c>
      <c r="K1010" s="3">
        <v>2.0</v>
      </c>
      <c r="L1010" s="3">
        <v>1.0</v>
      </c>
      <c r="M1010" s="9" t="s">
        <v>236</v>
      </c>
      <c r="N1010" s="3" t="s">
        <v>130</v>
      </c>
      <c r="O1010" s="3"/>
      <c r="P1010" s="4" t="s">
        <v>2332</v>
      </c>
      <c r="Q1010" s="3"/>
      <c r="R1010" s="3"/>
      <c r="S1010" s="6"/>
      <c r="T1010" s="6"/>
      <c r="U1010" s="6"/>
    </row>
    <row r="1011" ht="15.75" customHeight="1">
      <c r="A1011" s="4" t="s">
        <v>2727</v>
      </c>
      <c r="B1011" s="4" t="s">
        <v>2728</v>
      </c>
      <c r="C1011" s="4" t="s">
        <v>39</v>
      </c>
      <c r="D1011" s="6"/>
      <c r="E1011" s="3" t="str">
        <f t="shared" si="1"/>
        <v>現存</v>
      </c>
      <c r="F1011" s="3" t="s">
        <v>425</v>
      </c>
      <c r="G1011" s="6"/>
      <c r="H1011" s="3" t="str">
        <f t="shared" si="2"/>
        <v>4,5,6</v>
      </c>
      <c r="I1011" s="3" t="s">
        <v>364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130</v>
      </c>
      <c r="O1011" s="3"/>
      <c r="P1011" s="4" t="s">
        <v>2332</v>
      </c>
      <c r="Q1011" s="3"/>
      <c r="R1011" s="3"/>
      <c r="S1011" s="6"/>
      <c r="T1011" s="6"/>
      <c r="U1011" s="6"/>
    </row>
    <row r="1012" ht="15.75" customHeight="1">
      <c r="A1012" s="4" t="s">
        <v>2729</v>
      </c>
      <c r="B1012" s="4" t="s">
        <v>2730</v>
      </c>
      <c r="C1012" s="4" t="s">
        <v>39</v>
      </c>
      <c r="D1012" s="8" t="s">
        <v>381</v>
      </c>
      <c r="E1012" s="3" t="str">
        <f t="shared" si="1"/>
        <v>不收錄</v>
      </c>
      <c r="F1012" s="3" t="s">
        <v>156</v>
      </c>
      <c r="G1012" s="6"/>
      <c r="H1012" s="3" t="str">
        <f t="shared" si="2"/>
        <v>4</v>
      </c>
      <c r="I1012" s="3" t="s">
        <v>563</v>
      </c>
      <c r="J1012" s="3" t="s">
        <v>42</v>
      </c>
      <c r="K1012" s="3">
        <v>1.0</v>
      </c>
      <c r="L1012" s="3">
        <v>1.0</v>
      </c>
      <c r="M1012" s="9" t="s">
        <v>236</v>
      </c>
      <c r="N1012" s="3" t="s">
        <v>130</v>
      </c>
      <c r="O1012" s="3"/>
      <c r="P1012" s="4" t="s">
        <v>2332</v>
      </c>
      <c r="Q1012" s="3"/>
      <c r="R1012" s="3"/>
      <c r="S1012" s="6"/>
      <c r="T1012" s="6"/>
      <c r="U1012" s="6"/>
    </row>
    <row r="1013" ht="15.75" customHeight="1">
      <c r="A1013" s="4" t="s">
        <v>2731</v>
      </c>
      <c r="B1013" s="4" t="s">
        <v>2732</v>
      </c>
      <c r="C1013" s="4" t="s">
        <v>39</v>
      </c>
      <c r="D1013" s="6"/>
      <c r="E1013" s="3" t="str">
        <f t="shared" si="1"/>
        <v>現存</v>
      </c>
      <c r="F1013" s="3" t="s">
        <v>418</v>
      </c>
      <c r="G1013" s="6"/>
      <c r="H1013" s="3" t="str">
        <f t="shared" si="2"/>
        <v>4,6</v>
      </c>
      <c r="I1013" s="3" t="s">
        <v>1626</v>
      </c>
      <c r="J1013" s="3" t="s">
        <v>181</v>
      </c>
      <c r="K1013" s="3">
        <v>2.0</v>
      </c>
      <c r="L1013" s="3">
        <v>1.0</v>
      </c>
      <c r="M1013" s="4" t="s">
        <v>43</v>
      </c>
      <c r="N1013" s="3" t="s">
        <v>130</v>
      </c>
      <c r="O1013" s="3"/>
      <c r="P1013" s="4" t="s">
        <v>2332</v>
      </c>
      <c r="Q1013" s="3"/>
      <c r="R1013" s="3"/>
      <c r="S1013" s="6"/>
      <c r="T1013" s="6"/>
      <c r="U1013" s="6"/>
    </row>
    <row r="1014" ht="15.75" customHeight="1">
      <c r="A1014" s="4" t="s">
        <v>2733</v>
      </c>
      <c r="B1014" s="4" t="s">
        <v>2734</v>
      </c>
      <c r="C1014" s="4" t="s">
        <v>39</v>
      </c>
      <c r="D1014" s="6"/>
      <c r="E1014" s="3" t="str">
        <f t="shared" si="1"/>
        <v>現存</v>
      </c>
      <c r="F1014" s="3" t="s">
        <v>156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130</v>
      </c>
      <c r="O1014" s="3"/>
      <c r="P1014" s="4" t="s">
        <v>2332</v>
      </c>
      <c r="Q1014" s="3"/>
      <c r="R1014" s="3"/>
      <c r="S1014" s="6"/>
      <c r="T1014" s="6"/>
      <c r="U1014" s="6"/>
    </row>
    <row r="1015" ht="15.75" customHeight="1">
      <c r="A1015" s="4" t="s">
        <v>2735</v>
      </c>
      <c r="B1015" s="4" t="s">
        <v>2736</v>
      </c>
      <c r="C1015" s="4" t="s">
        <v>39</v>
      </c>
      <c r="D1015" s="6"/>
      <c r="E1015" s="3" t="str">
        <f t="shared" si="1"/>
        <v>現存</v>
      </c>
      <c r="F1015" s="3" t="s">
        <v>1543</v>
      </c>
      <c r="G1015" s="6"/>
      <c r="H1015" s="3" t="str">
        <f t="shared" si="2"/>
        <v>4,5,6,7</v>
      </c>
      <c r="I1015" s="3" t="s">
        <v>160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130</v>
      </c>
      <c r="O1015" s="3"/>
      <c r="P1015" s="4" t="s">
        <v>2332</v>
      </c>
      <c r="Q1015" s="3"/>
      <c r="R1015" s="3"/>
      <c r="S1015" s="6"/>
      <c r="T1015" s="6"/>
      <c r="U1015" s="6"/>
    </row>
    <row r="1016" ht="15.75" customHeight="1">
      <c r="A1016" s="4" t="s">
        <v>2737</v>
      </c>
      <c r="B1016" s="4" t="s">
        <v>2738</v>
      </c>
      <c r="C1016" s="4" t="s">
        <v>39</v>
      </c>
      <c r="D1016" s="6"/>
      <c r="E1016" s="3" t="str">
        <f t="shared" si="1"/>
        <v>現存</v>
      </c>
      <c r="F1016" s="3" t="s">
        <v>156</v>
      </c>
      <c r="G1016" s="6"/>
      <c r="H1016" s="3" t="str">
        <f t="shared" si="2"/>
        <v>4</v>
      </c>
      <c r="I1016" s="3" t="s">
        <v>2739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130</v>
      </c>
      <c r="O1016" s="3"/>
      <c r="P1016" s="4" t="s">
        <v>2332</v>
      </c>
      <c r="Q1016" s="3"/>
      <c r="R1016" s="3"/>
      <c r="S1016" s="6"/>
      <c r="T1016" s="6"/>
      <c r="U1016" s="6"/>
    </row>
    <row r="1017" ht="15.75" customHeight="1">
      <c r="A1017" s="4" t="s">
        <v>2740</v>
      </c>
      <c r="B1017" s="4" t="s">
        <v>2741</v>
      </c>
      <c r="C1017" s="4" t="s">
        <v>39</v>
      </c>
      <c r="D1017" s="8" t="s">
        <v>381</v>
      </c>
      <c r="E1017" s="3" t="str">
        <f t="shared" si="1"/>
        <v>不收錄</v>
      </c>
      <c r="F1017" s="3" t="s">
        <v>156</v>
      </c>
      <c r="G1017" s="6"/>
      <c r="H1017" s="3" t="str">
        <f t="shared" si="2"/>
        <v>4</v>
      </c>
      <c r="I1017" s="3" t="s">
        <v>404</v>
      </c>
      <c r="J1017" s="3" t="s">
        <v>181</v>
      </c>
      <c r="K1017" s="3">
        <v>1.0</v>
      </c>
      <c r="L1017" s="3">
        <v>1.0</v>
      </c>
      <c r="M1017" s="9" t="s">
        <v>236</v>
      </c>
      <c r="N1017" s="3" t="s">
        <v>130</v>
      </c>
      <c r="O1017" s="3"/>
      <c r="P1017" s="4" t="s">
        <v>2332</v>
      </c>
      <c r="Q1017" s="3"/>
      <c r="R1017" s="3"/>
      <c r="S1017" s="6"/>
      <c r="T1017" s="6"/>
      <c r="U1017" s="6"/>
    </row>
    <row r="1018" ht="15.75" customHeight="1">
      <c r="A1018" s="4" t="s">
        <v>2742</v>
      </c>
      <c r="B1018" s="4" t="s">
        <v>2743</v>
      </c>
      <c r="C1018" s="4" t="s">
        <v>39</v>
      </c>
      <c r="D1018" s="6"/>
      <c r="E1018" s="3" t="str">
        <f t="shared" si="1"/>
        <v>現存</v>
      </c>
      <c r="F1018" s="3" t="s">
        <v>148</v>
      </c>
      <c r="G1018" s="6"/>
      <c r="H1018" s="3" t="str">
        <f t="shared" si="2"/>
        <v>4,5</v>
      </c>
      <c r="I1018" s="3" t="s">
        <v>853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130</v>
      </c>
      <c r="O1018" s="3"/>
      <c r="P1018" s="4" t="s">
        <v>2332</v>
      </c>
      <c r="Q1018" s="4" t="s">
        <v>1061</v>
      </c>
      <c r="R1018" s="3"/>
      <c r="S1018" s="6"/>
      <c r="T1018" s="6"/>
      <c r="U1018" s="6"/>
    </row>
    <row r="1019" ht="15.75" customHeight="1">
      <c r="A1019" s="4" t="s">
        <v>2744</v>
      </c>
      <c r="B1019" s="4" t="s">
        <v>2745</v>
      </c>
      <c r="C1019" s="4" t="s">
        <v>39</v>
      </c>
      <c r="D1019" s="6"/>
      <c r="E1019" s="3" t="str">
        <f t="shared" si="1"/>
        <v>現存</v>
      </c>
      <c r="F1019" s="3" t="s">
        <v>1060</v>
      </c>
      <c r="G1019" s="6"/>
      <c r="H1019" s="3" t="str">
        <f t="shared" si="2"/>
        <v>4,12</v>
      </c>
      <c r="I1019" s="3" t="s">
        <v>2641</v>
      </c>
      <c r="J1019" s="3" t="s">
        <v>181</v>
      </c>
      <c r="K1019" s="3">
        <v>3.0</v>
      </c>
      <c r="L1019" s="3">
        <v>1.0</v>
      </c>
      <c r="M1019" s="9" t="s">
        <v>236</v>
      </c>
      <c r="N1019" s="3" t="s">
        <v>130</v>
      </c>
      <c r="O1019" s="3"/>
      <c r="P1019" s="4" t="s">
        <v>2332</v>
      </c>
      <c r="Q1019" s="3"/>
      <c r="R1019" s="3"/>
      <c r="S1019" s="6"/>
      <c r="T1019" s="6"/>
      <c r="U1019" s="6"/>
    </row>
    <row r="1020" ht="15.75" customHeight="1">
      <c r="A1020" s="4" t="s">
        <v>2746</v>
      </c>
      <c r="B1020" s="4" t="s">
        <v>2747</v>
      </c>
      <c r="C1020" s="4" t="s">
        <v>39</v>
      </c>
      <c r="D1020" s="6"/>
      <c r="E1020" s="3" t="str">
        <f t="shared" si="1"/>
        <v>現存</v>
      </c>
      <c r="F1020" s="3" t="s">
        <v>156</v>
      </c>
      <c r="G1020" s="6"/>
      <c r="H1020" s="3" t="str">
        <f t="shared" si="2"/>
        <v>4</v>
      </c>
      <c r="I1020" s="3" t="s">
        <v>730</v>
      </c>
      <c r="J1020" s="3" t="s">
        <v>181</v>
      </c>
      <c r="K1020" s="3">
        <v>1.0</v>
      </c>
      <c r="L1020" s="3">
        <v>1.0</v>
      </c>
      <c r="M1020" s="4" t="s">
        <v>43</v>
      </c>
      <c r="N1020" s="3" t="s">
        <v>130</v>
      </c>
      <c r="O1020" s="3"/>
      <c r="P1020" s="4" t="s">
        <v>2332</v>
      </c>
      <c r="Q1020" s="3"/>
      <c r="R1020" s="3"/>
      <c r="S1020" s="6"/>
      <c r="T1020" s="6"/>
      <c r="U1020" s="6"/>
    </row>
    <row r="1021" ht="15.75" customHeight="1">
      <c r="A1021" s="4" t="s">
        <v>2748</v>
      </c>
      <c r="B1021" s="4" t="s">
        <v>2749</v>
      </c>
      <c r="C1021" s="4" t="s">
        <v>39</v>
      </c>
      <c r="D1021" s="6"/>
      <c r="E1021" s="3" t="str">
        <f t="shared" si="1"/>
        <v>現存</v>
      </c>
      <c r="F1021" s="3" t="s">
        <v>156</v>
      </c>
      <c r="G1021" s="6"/>
      <c r="H1021" s="3" t="str">
        <f t="shared" si="2"/>
        <v>4</v>
      </c>
      <c r="I1021" s="3" t="s">
        <v>335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130</v>
      </c>
      <c r="O1021" s="3"/>
      <c r="P1021" s="4" t="s">
        <v>2332</v>
      </c>
      <c r="Q1021" s="3"/>
      <c r="R1021" s="3"/>
      <c r="S1021" s="6"/>
      <c r="T1021" s="6"/>
      <c r="U1021" s="6"/>
    </row>
    <row r="1022" ht="15.75" customHeight="1">
      <c r="A1022" s="4" t="s">
        <v>2750</v>
      </c>
      <c r="B1022" s="4" t="s">
        <v>2751</v>
      </c>
      <c r="C1022" s="4" t="s">
        <v>39</v>
      </c>
      <c r="D1022" s="6"/>
      <c r="E1022" s="3" t="str">
        <f t="shared" si="1"/>
        <v>現存</v>
      </c>
      <c r="F1022" s="3" t="s">
        <v>2752</v>
      </c>
      <c r="G1022" s="6"/>
      <c r="H1022" s="3" t="str">
        <f t="shared" si="2"/>
        <v>4,5,6,10,11,12</v>
      </c>
      <c r="I1022" s="3" t="s">
        <v>1998</v>
      </c>
      <c r="J1022" s="3" t="s">
        <v>253</v>
      </c>
      <c r="K1022" s="3">
        <v>6.0</v>
      </c>
      <c r="L1022" s="3">
        <v>1.0</v>
      </c>
      <c r="M1022" s="4" t="s">
        <v>43</v>
      </c>
      <c r="N1022" s="3" t="s">
        <v>130</v>
      </c>
      <c r="O1022" s="3"/>
      <c r="P1022" s="4" t="s">
        <v>2332</v>
      </c>
      <c r="Q1022" s="3"/>
      <c r="R1022" s="3"/>
      <c r="S1022" s="6"/>
      <c r="T1022" s="6"/>
      <c r="U1022" s="6"/>
    </row>
    <row r="1023" ht="15.75" customHeight="1">
      <c r="A1023" s="4" t="s">
        <v>2753</v>
      </c>
      <c r="B1023" s="4" t="s">
        <v>2754</v>
      </c>
      <c r="C1023" s="4" t="s">
        <v>39</v>
      </c>
      <c r="D1023" s="8" t="s">
        <v>170</v>
      </c>
      <c r="E1023" s="3" t="str">
        <f t="shared" si="1"/>
        <v>近年未見</v>
      </c>
      <c r="F1023" s="3" t="s">
        <v>2755</v>
      </c>
      <c r="G1023" s="6"/>
      <c r="H1023" s="3" t="str">
        <f t="shared" si="2"/>
        <v>4,10,11</v>
      </c>
      <c r="I1023" s="3" t="s">
        <v>726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130</v>
      </c>
      <c r="O1023" s="3"/>
      <c r="P1023" s="4" t="s">
        <v>2332</v>
      </c>
      <c r="Q1023" s="3"/>
      <c r="R1023" s="3"/>
      <c r="S1023" s="6"/>
      <c r="T1023" s="6"/>
      <c r="U1023" s="6"/>
    </row>
    <row r="1024" ht="15.75" customHeight="1">
      <c r="A1024" s="4" t="s">
        <v>2756</v>
      </c>
      <c r="B1024" s="4" t="s">
        <v>2757</v>
      </c>
      <c r="C1024" s="4" t="s">
        <v>39</v>
      </c>
      <c r="D1024" s="6"/>
      <c r="E1024" s="3" t="str">
        <f t="shared" si="1"/>
        <v>現存</v>
      </c>
      <c r="F1024" s="3" t="s">
        <v>1587</v>
      </c>
      <c r="G1024" s="6"/>
      <c r="H1024" s="3" t="str">
        <f t="shared" si="2"/>
        <v>5,7,8,11</v>
      </c>
      <c r="I1024" s="3" t="s">
        <v>1225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130</v>
      </c>
      <c r="O1024" s="3"/>
      <c r="P1024" s="4" t="s">
        <v>2332</v>
      </c>
      <c r="Q1024" s="3"/>
      <c r="R1024" s="3"/>
      <c r="S1024" s="6"/>
      <c r="T1024" s="6"/>
      <c r="U1024" s="6"/>
    </row>
    <row r="1025" ht="15.75" customHeight="1">
      <c r="A1025" s="4" t="s">
        <v>2758</v>
      </c>
      <c r="B1025" s="4" t="s">
        <v>2759</v>
      </c>
      <c r="C1025" s="4" t="s">
        <v>39</v>
      </c>
      <c r="D1025" s="8" t="s">
        <v>170</v>
      </c>
      <c r="E1025" s="3" t="str">
        <f t="shared" si="1"/>
        <v>近年未見</v>
      </c>
      <c r="F1025" s="3" t="s">
        <v>450</v>
      </c>
      <c r="G1025" s="6"/>
      <c r="H1025" s="3" t="str">
        <f t="shared" si="2"/>
        <v>5</v>
      </c>
      <c r="I1025" s="3" t="s">
        <v>2760</v>
      </c>
      <c r="J1025" s="3" t="s">
        <v>181</v>
      </c>
      <c r="K1025" s="3">
        <v>1.0</v>
      </c>
      <c r="L1025" s="3">
        <v>1.0</v>
      </c>
      <c r="M1025" s="9" t="s">
        <v>236</v>
      </c>
      <c r="N1025" s="3" t="s">
        <v>130</v>
      </c>
      <c r="O1025" s="9" t="s">
        <v>1558</v>
      </c>
      <c r="P1025" s="4" t="s">
        <v>2332</v>
      </c>
      <c r="Q1025" s="3"/>
      <c r="R1025" s="3"/>
      <c r="S1025" s="6"/>
      <c r="T1025" s="6"/>
      <c r="U1025" s="6"/>
    </row>
    <row r="1026" ht="15.75" customHeight="1">
      <c r="A1026" s="4" t="s">
        <v>2761</v>
      </c>
      <c r="B1026" s="4" t="s">
        <v>2762</v>
      </c>
      <c r="C1026" s="4" t="s">
        <v>39</v>
      </c>
      <c r="D1026" s="6"/>
      <c r="E1026" s="3" t="str">
        <f t="shared" si="1"/>
        <v>現存</v>
      </c>
      <c r="F1026" s="3" t="s">
        <v>171</v>
      </c>
      <c r="G1026" s="6"/>
      <c r="H1026" s="3" t="str">
        <f t="shared" si="2"/>
        <v>5,6</v>
      </c>
      <c r="I1026" s="3" t="s">
        <v>447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130</v>
      </c>
      <c r="O1026" s="3"/>
      <c r="P1026" s="4" t="s">
        <v>2332</v>
      </c>
      <c r="Q1026" s="3"/>
      <c r="R1026" s="3"/>
      <c r="S1026" s="6"/>
      <c r="T1026" s="6"/>
      <c r="U1026" s="6"/>
    </row>
    <row r="1027" ht="15.75" customHeight="1">
      <c r="A1027" s="4" t="s">
        <v>2763</v>
      </c>
      <c r="B1027" s="4" t="s">
        <v>2764</v>
      </c>
      <c r="C1027" s="4" t="s">
        <v>39</v>
      </c>
      <c r="D1027" s="6"/>
      <c r="E1027" s="3" t="str">
        <f t="shared" si="1"/>
        <v>現存</v>
      </c>
      <c r="F1027" s="3" t="s">
        <v>2765</v>
      </c>
      <c r="G1027" s="6"/>
      <c r="H1027" s="3" t="str">
        <f t="shared" si="2"/>
        <v>5,6,8,9,10,11</v>
      </c>
      <c r="I1027" s="3" t="s">
        <v>516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130</v>
      </c>
      <c r="O1027" s="3"/>
      <c r="P1027" s="4" t="s">
        <v>2332</v>
      </c>
      <c r="Q1027" s="3"/>
      <c r="R1027" s="3"/>
      <c r="S1027" s="6"/>
      <c r="T1027" s="6"/>
      <c r="U1027" s="6"/>
    </row>
    <row r="1028" ht="15.75" customHeight="1">
      <c r="A1028" s="4" t="s">
        <v>2766</v>
      </c>
      <c r="B1028" s="4" t="s">
        <v>2767</v>
      </c>
      <c r="C1028" s="4" t="s">
        <v>39</v>
      </c>
      <c r="D1028" s="6"/>
      <c r="E1028" s="3" t="str">
        <f t="shared" si="1"/>
        <v>現存</v>
      </c>
      <c r="F1028" s="3" t="s">
        <v>450</v>
      </c>
      <c r="G1028" s="6"/>
      <c r="H1028" s="3" t="str">
        <f t="shared" si="2"/>
        <v>5</v>
      </c>
      <c r="I1028" s="3" t="s">
        <v>107</v>
      </c>
      <c r="J1028" s="3" t="s">
        <v>135</v>
      </c>
      <c r="K1028" s="3">
        <v>3.0</v>
      </c>
      <c r="L1028" s="3">
        <v>1.0</v>
      </c>
      <c r="M1028" s="4" t="s">
        <v>43</v>
      </c>
      <c r="N1028" s="3" t="s">
        <v>130</v>
      </c>
      <c r="O1028" s="3"/>
      <c r="P1028" s="4" t="s">
        <v>2332</v>
      </c>
      <c r="Q1028" s="3"/>
      <c r="R1028" s="3"/>
      <c r="S1028" s="6"/>
      <c r="T1028" s="6"/>
      <c r="U1028" s="6"/>
    </row>
    <row r="1029" ht="15.75" customHeight="1">
      <c r="A1029" s="4" t="s">
        <v>2768</v>
      </c>
      <c r="B1029" s="4" t="s">
        <v>2769</v>
      </c>
      <c r="C1029" s="4" t="s">
        <v>39</v>
      </c>
      <c r="D1029" s="6"/>
      <c r="E1029" s="3" t="str">
        <f t="shared" si="1"/>
        <v>現存</v>
      </c>
      <c r="F1029" s="3" t="s">
        <v>2211</v>
      </c>
      <c r="G1029" s="6"/>
      <c r="H1029" s="3" t="str">
        <f t="shared" si="2"/>
        <v>5,7</v>
      </c>
      <c r="I1029" s="3" t="s">
        <v>102</v>
      </c>
      <c r="J1029" s="3" t="s">
        <v>135</v>
      </c>
      <c r="K1029" s="3">
        <v>10.0</v>
      </c>
      <c r="L1029" s="3">
        <v>1.0</v>
      </c>
      <c r="M1029" s="4" t="s">
        <v>43</v>
      </c>
      <c r="N1029" s="3" t="s">
        <v>130</v>
      </c>
      <c r="O1029" s="9" t="s">
        <v>1558</v>
      </c>
      <c r="P1029" s="4" t="s">
        <v>2332</v>
      </c>
      <c r="Q1029" s="3"/>
      <c r="R1029" s="3"/>
      <c r="S1029" s="6"/>
      <c r="T1029" s="6"/>
      <c r="U1029" s="6"/>
    </row>
    <row r="1030" ht="15.75" customHeight="1">
      <c r="A1030" s="4" t="s">
        <v>2770</v>
      </c>
      <c r="B1030" s="4" t="s">
        <v>2771</v>
      </c>
      <c r="C1030" s="4" t="s">
        <v>39</v>
      </c>
      <c r="D1030" s="6"/>
      <c r="E1030" s="3" t="str">
        <f t="shared" si="1"/>
        <v>現存</v>
      </c>
      <c r="F1030" s="3" t="s">
        <v>450</v>
      </c>
      <c r="G1030" s="6"/>
      <c r="H1030" s="3" t="str">
        <f t="shared" si="2"/>
        <v>5</v>
      </c>
      <c r="I1030" s="3" t="s">
        <v>2772</v>
      </c>
      <c r="J1030" s="3" t="s">
        <v>181</v>
      </c>
      <c r="K1030" s="3">
        <v>1.0</v>
      </c>
      <c r="L1030" s="3">
        <v>1.0</v>
      </c>
      <c r="M1030" s="9" t="s">
        <v>236</v>
      </c>
      <c r="N1030" s="3" t="s">
        <v>130</v>
      </c>
      <c r="O1030" s="3"/>
      <c r="P1030" s="4" t="s">
        <v>2332</v>
      </c>
      <c r="Q1030" s="3"/>
      <c r="R1030" s="3"/>
      <c r="S1030" s="6"/>
      <c r="T1030" s="6"/>
      <c r="U1030" s="6"/>
    </row>
    <row r="1031" ht="15.75" customHeight="1">
      <c r="A1031" s="4" t="s">
        <v>2773</v>
      </c>
      <c r="B1031" s="4" t="s">
        <v>2774</v>
      </c>
      <c r="C1031" s="4" t="s">
        <v>39</v>
      </c>
      <c r="D1031" s="6"/>
      <c r="E1031" s="3" t="str">
        <f t="shared" si="1"/>
        <v>現存</v>
      </c>
      <c r="F1031" s="3" t="s">
        <v>1196</v>
      </c>
      <c r="G1031" s="6"/>
      <c r="H1031" s="3" t="str">
        <f t="shared" si="2"/>
        <v>5,6,7,8</v>
      </c>
      <c r="I1031" s="3" t="s">
        <v>386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130</v>
      </c>
      <c r="O1031" s="3"/>
      <c r="P1031" s="4" t="s">
        <v>2332</v>
      </c>
      <c r="Q1031" s="3"/>
      <c r="R1031" s="3"/>
      <c r="S1031" s="6"/>
      <c r="T1031" s="6"/>
      <c r="U1031" s="6"/>
    </row>
    <row r="1032" ht="15.75" customHeight="1">
      <c r="A1032" s="4" t="s">
        <v>2775</v>
      </c>
      <c r="B1032" s="4" t="s">
        <v>2776</v>
      </c>
      <c r="C1032" s="4" t="s">
        <v>39</v>
      </c>
      <c r="D1032" s="6"/>
      <c r="E1032" s="3" t="str">
        <f t="shared" si="1"/>
        <v>現存</v>
      </c>
      <c r="F1032" s="3" t="s">
        <v>450</v>
      </c>
      <c r="G1032" s="6"/>
      <c r="H1032" s="3" t="str">
        <f t="shared" si="2"/>
        <v>5</v>
      </c>
      <c r="I1032" s="3" t="s">
        <v>681</v>
      </c>
      <c r="J1032" s="3" t="s">
        <v>181</v>
      </c>
      <c r="K1032" s="3">
        <v>1.0</v>
      </c>
      <c r="L1032" s="3">
        <v>1.0</v>
      </c>
      <c r="M1032" s="9" t="s">
        <v>236</v>
      </c>
      <c r="N1032" s="3" t="s">
        <v>130</v>
      </c>
      <c r="O1032" s="9" t="s">
        <v>1558</v>
      </c>
      <c r="P1032" s="4" t="s">
        <v>2332</v>
      </c>
      <c r="Q1032" s="3"/>
      <c r="R1032" s="3"/>
      <c r="S1032" s="6"/>
      <c r="T1032" s="6"/>
      <c r="U1032" s="6"/>
    </row>
    <row r="1033" ht="15.75" customHeight="1">
      <c r="A1033" s="7" t="s">
        <v>2777</v>
      </c>
      <c r="B1033" s="4" t="s">
        <v>2778</v>
      </c>
      <c r="C1033" s="4" t="s">
        <v>39</v>
      </c>
      <c r="D1033" s="8" t="s">
        <v>381</v>
      </c>
      <c r="E1033" s="3" t="str">
        <f t="shared" si="1"/>
        <v>不收錄</v>
      </c>
      <c r="F1033" s="3" t="s">
        <v>450</v>
      </c>
      <c r="G1033" s="6"/>
      <c r="H1033" s="3" t="str">
        <f t="shared" si="2"/>
        <v>5</v>
      </c>
      <c r="I1033" s="3" t="s">
        <v>107</v>
      </c>
      <c r="J1033" s="3" t="s">
        <v>135</v>
      </c>
      <c r="K1033" s="3">
        <v>1.0</v>
      </c>
      <c r="L1033" s="3">
        <v>1.0</v>
      </c>
      <c r="M1033" s="9" t="s">
        <v>236</v>
      </c>
      <c r="N1033" s="3" t="s">
        <v>130</v>
      </c>
      <c r="O1033" s="4" t="s">
        <v>1832</v>
      </c>
      <c r="P1033" s="4" t="s">
        <v>1824</v>
      </c>
      <c r="Q1033" s="3"/>
      <c r="R1033" s="3"/>
      <c r="S1033" s="6"/>
      <c r="T1033" s="6"/>
      <c r="U1033" s="6"/>
    </row>
    <row r="1034" ht="15.75" customHeight="1">
      <c r="A1034" s="4" t="s">
        <v>2779</v>
      </c>
      <c r="B1034" s="4" t="s">
        <v>2780</v>
      </c>
      <c r="C1034" s="4" t="s">
        <v>39</v>
      </c>
      <c r="D1034" s="6"/>
      <c r="E1034" s="3" t="str">
        <f t="shared" si="1"/>
        <v>現存</v>
      </c>
      <c r="F1034" s="3" t="s">
        <v>450</v>
      </c>
      <c r="G1034" s="6"/>
      <c r="H1034" s="3" t="str">
        <f t="shared" si="2"/>
        <v>5</v>
      </c>
      <c r="I1034" s="3" t="s">
        <v>107</v>
      </c>
      <c r="J1034" s="3" t="s">
        <v>135</v>
      </c>
      <c r="K1034" s="3">
        <v>1.0</v>
      </c>
      <c r="L1034" s="3">
        <v>1.0</v>
      </c>
      <c r="M1034" s="4" t="s">
        <v>43</v>
      </c>
      <c r="N1034" s="3" t="s">
        <v>130</v>
      </c>
      <c r="O1034" s="3"/>
      <c r="P1034" s="4" t="s">
        <v>2332</v>
      </c>
      <c r="Q1034" s="3"/>
      <c r="R1034" s="3"/>
      <c r="S1034" s="6"/>
      <c r="T1034" s="6"/>
      <c r="U1034" s="6"/>
    </row>
    <row r="1035" ht="15.75" customHeight="1">
      <c r="A1035" s="4" t="s">
        <v>2781</v>
      </c>
      <c r="B1035" s="4" t="s">
        <v>2782</v>
      </c>
      <c r="C1035" s="4" t="s">
        <v>39</v>
      </c>
      <c r="D1035" s="6"/>
      <c r="E1035" s="3" t="str">
        <f t="shared" si="1"/>
        <v>現存</v>
      </c>
      <c r="F1035" s="3" t="s">
        <v>171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130</v>
      </c>
      <c r="O1035" s="3"/>
      <c r="P1035" s="4" t="s">
        <v>2332</v>
      </c>
      <c r="Q1035" s="3"/>
      <c r="R1035" s="3"/>
      <c r="S1035" s="6"/>
      <c r="T1035" s="6"/>
      <c r="U1035" s="6"/>
    </row>
    <row r="1036" ht="15.75" customHeight="1">
      <c r="A1036" s="4" t="s">
        <v>2783</v>
      </c>
      <c r="B1036" s="4" t="s">
        <v>2784</v>
      </c>
      <c r="C1036" s="4" t="s">
        <v>39</v>
      </c>
      <c r="D1036" s="6"/>
      <c r="E1036" s="3" t="str">
        <f t="shared" si="1"/>
        <v>現存</v>
      </c>
      <c r="F1036" s="3" t="s">
        <v>2785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130</v>
      </c>
      <c r="O1036" s="3"/>
      <c r="P1036" s="4" t="s">
        <v>2332</v>
      </c>
      <c r="Q1036" s="3"/>
      <c r="R1036" s="3"/>
      <c r="S1036" s="6"/>
      <c r="T1036" s="6"/>
      <c r="U1036" s="6"/>
    </row>
    <row r="1037" ht="15.75" customHeight="1">
      <c r="A1037" s="4" t="s">
        <v>2786</v>
      </c>
      <c r="B1037" s="4" t="s">
        <v>2787</v>
      </c>
      <c r="C1037" s="4" t="s">
        <v>39</v>
      </c>
      <c r="D1037" s="6"/>
      <c r="E1037" s="3" t="str">
        <f t="shared" si="1"/>
        <v>現存</v>
      </c>
      <c r="F1037" s="3" t="s">
        <v>1210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130</v>
      </c>
      <c r="O1037" s="3"/>
      <c r="P1037" s="4" t="s">
        <v>2332</v>
      </c>
      <c r="Q1037" s="3"/>
      <c r="R1037" s="3"/>
      <c r="S1037" s="6"/>
      <c r="T1037" s="6"/>
      <c r="U1037" s="6"/>
    </row>
    <row r="1038" ht="15.75" customHeight="1">
      <c r="A1038" s="4" t="s">
        <v>2788</v>
      </c>
      <c r="B1038" s="4" t="s">
        <v>2789</v>
      </c>
      <c r="C1038" s="4" t="s">
        <v>39</v>
      </c>
      <c r="D1038" s="6"/>
      <c r="E1038" s="3" t="str">
        <f t="shared" si="1"/>
        <v>現存</v>
      </c>
      <c r="F1038" s="3" t="s">
        <v>588</v>
      </c>
      <c r="G1038" s="6"/>
      <c r="H1038" s="3" t="str">
        <f t="shared" si="2"/>
        <v>6,7</v>
      </c>
      <c r="I1038" s="3" t="s">
        <v>1217</v>
      </c>
      <c r="J1038" s="3" t="s">
        <v>135</v>
      </c>
      <c r="K1038" s="3">
        <v>3.0</v>
      </c>
      <c r="L1038" s="3">
        <v>1.0</v>
      </c>
      <c r="M1038" s="4" t="s">
        <v>43</v>
      </c>
      <c r="N1038" s="3" t="s">
        <v>130</v>
      </c>
      <c r="O1038" s="3"/>
      <c r="P1038" s="4" t="s">
        <v>2332</v>
      </c>
      <c r="Q1038" s="3"/>
      <c r="R1038" s="3"/>
      <c r="S1038" s="6"/>
      <c r="T1038" s="6"/>
      <c r="U1038" s="6"/>
    </row>
    <row r="1039" ht="15.75" customHeight="1">
      <c r="A1039" s="4" t="s">
        <v>2790</v>
      </c>
      <c r="B1039" s="4" t="s">
        <v>2791</v>
      </c>
      <c r="C1039" s="4" t="s">
        <v>39</v>
      </c>
      <c r="D1039" s="6"/>
      <c r="E1039" s="3" t="str">
        <f t="shared" si="1"/>
        <v>現存</v>
      </c>
      <c r="F1039" s="3" t="s">
        <v>310</v>
      </c>
      <c r="G1039" s="6"/>
      <c r="H1039" s="3" t="str">
        <f t="shared" si="2"/>
        <v>6</v>
      </c>
      <c r="I1039" s="3" t="s">
        <v>2792</v>
      </c>
      <c r="J1039" s="3" t="s">
        <v>181</v>
      </c>
      <c r="K1039" s="3">
        <v>1.0</v>
      </c>
      <c r="L1039" s="3">
        <v>1.0</v>
      </c>
      <c r="M1039" s="4" t="s">
        <v>43</v>
      </c>
      <c r="N1039" s="3" t="s">
        <v>130</v>
      </c>
      <c r="O1039" s="3"/>
      <c r="P1039" s="4" t="s">
        <v>2332</v>
      </c>
      <c r="Q1039" s="3"/>
      <c r="R1039" s="3"/>
      <c r="S1039" s="6"/>
      <c r="T1039" s="6"/>
      <c r="U1039" s="6"/>
    </row>
    <row r="1040" ht="15.75" customHeight="1">
      <c r="A1040" s="4" t="s">
        <v>2793</v>
      </c>
      <c r="B1040" s="4" t="s">
        <v>2794</v>
      </c>
      <c r="C1040" s="4" t="s">
        <v>39</v>
      </c>
      <c r="D1040" s="6"/>
      <c r="E1040" s="3" t="str">
        <f t="shared" si="1"/>
        <v>現存</v>
      </c>
      <c r="F1040" s="3" t="s">
        <v>588</v>
      </c>
      <c r="G1040" s="6"/>
      <c r="H1040" s="3" t="str">
        <f t="shared" si="2"/>
        <v>6,7</v>
      </c>
      <c r="I1040" s="3" t="s">
        <v>2795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130</v>
      </c>
      <c r="O1040" s="3"/>
      <c r="P1040" s="4" t="s">
        <v>2332</v>
      </c>
      <c r="Q1040" s="3"/>
      <c r="R1040" s="3"/>
      <c r="S1040" s="6"/>
      <c r="T1040" s="6"/>
      <c r="U1040" s="6"/>
    </row>
    <row r="1041" ht="15.75" customHeight="1">
      <c r="A1041" s="4" t="s">
        <v>2796</v>
      </c>
      <c r="B1041" s="4" t="s">
        <v>2797</v>
      </c>
      <c r="C1041" s="4" t="s">
        <v>39</v>
      </c>
      <c r="D1041" s="8" t="s">
        <v>170</v>
      </c>
      <c r="E1041" s="3" t="str">
        <f t="shared" si="1"/>
        <v>近年未見</v>
      </c>
      <c r="F1041" s="3" t="s">
        <v>310</v>
      </c>
      <c r="G1041" s="6"/>
      <c r="H1041" s="3" t="str">
        <f t="shared" si="2"/>
        <v>6</v>
      </c>
      <c r="I1041" s="3" t="s">
        <v>1856</v>
      </c>
      <c r="J1041" s="3" t="s">
        <v>42</v>
      </c>
      <c r="K1041" s="3">
        <v>1.0</v>
      </c>
      <c r="L1041" s="3">
        <v>1.0</v>
      </c>
      <c r="M1041" s="9" t="s">
        <v>236</v>
      </c>
      <c r="N1041" s="3" t="s">
        <v>130</v>
      </c>
      <c r="O1041" s="3"/>
      <c r="P1041" s="4" t="s">
        <v>2332</v>
      </c>
      <c r="Q1041" s="3"/>
      <c r="R1041" s="3"/>
      <c r="S1041" s="6"/>
      <c r="T1041" s="6"/>
      <c r="U1041" s="6"/>
    </row>
    <row r="1042" ht="15.75" customHeight="1">
      <c r="A1042" s="4" t="s">
        <v>2798</v>
      </c>
      <c r="B1042" s="4" t="s">
        <v>2799</v>
      </c>
      <c r="C1042" s="4" t="s">
        <v>39</v>
      </c>
      <c r="D1042" s="6"/>
      <c r="E1042" s="3" t="str">
        <f t="shared" si="1"/>
        <v>現存</v>
      </c>
      <c r="F1042" s="3" t="s">
        <v>588</v>
      </c>
      <c r="G1042" s="6"/>
      <c r="H1042" s="3" t="str">
        <f t="shared" si="2"/>
        <v>6,7</v>
      </c>
      <c r="I1042" s="3" t="s">
        <v>589</v>
      </c>
      <c r="J1042" s="3" t="s">
        <v>135</v>
      </c>
      <c r="K1042" s="3">
        <v>3.0</v>
      </c>
      <c r="L1042" s="3">
        <v>1.0</v>
      </c>
      <c r="M1042" s="4" t="s">
        <v>43</v>
      </c>
      <c r="N1042" s="3" t="s">
        <v>130</v>
      </c>
      <c r="O1042" s="3"/>
      <c r="P1042" s="4" t="s">
        <v>2332</v>
      </c>
      <c r="Q1042" s="3"/>
      <c r="R1042" s="3"/>
      <c r="S1042" s="6"/>
      <c r="T1042" s="6"/>
      <c r="U1042" s="6"/>
    </row>
    <row r="1043" ht="15.75" customHeight="1">
      <c r="A1043" s="4" t="s">
        <v>2800</v>
      </c>
      <c r="B1043" s="4" t="s">
        <v>2801</v>
      </c>
      <c r="C1043" s="4" t="s">
        <v>39</v>
      </c>
      <c r="D1043" s="6"/>
      <c r="E1043" s="3" t="str">
        <f t="shared" si="1"/>
        <v>現存</v>
      </c>
      <c r="F1043" s="3" t="s">
        <v>1216</v>
      </c>
      <c r="G1043" s="6"/>
      <c r="H1043" s="3" t="str">
        <f t="shared" si="2"/>
        <v>6,7,9,10</v>
      </c>
      <c r="I1043" s="3" t="s">
        <v>364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2332</v>
      </c>
      <c r="Q1043" s="3"/>
      <c r="R1043" s="3"/>
      <c r="S1043" s="6"/>
      <c r="T1043" s="6"/>
      <c r="U1043" s="6"/>
    </row>
    <row r="1044" ht="15.75" customHeight="1">
      <c r="A1044" s="4" t="s">
        <v>2802</v>
      </c>
      <c r="B1044" s="4" t="s">
        <v>2803</v>
      </c>
      <c r="C1044" s="4" t="s">
        <v>39</v>
      </c>
      <c r="D1044" s="8" t="s">
        <v>170</v>
      </c>
      <c r="E1044" s="3" t="str">
        <f t="shared" si="1"/>
        <v>近年未見</v>
      </c>
      <c r="F1044" s="3" t="s">
        <v>310</v>
      </c>
      <c r="G1044" s="6"/>
      <c r="H1044" s="3" t="str">
        <f t="shared" si="2"/>
        <v>6</v>
      </c>
      <c r="I1044" s="3" t="s">
        <v>2804</v>
      </c>
      <c r="J1044" s="3" t="s">
        <v>181</v>
      </c>
      <c r="K1044" s="3">
        <v>1.0</v>
      </c>
      <c r="L1044" s="3">
        <v>1.0</v>
      </c>
      <c r="M1044" s="4" t="s">
        <v>43</v>
      </c>
      <c r="N1044" s="3" t="s">
        <v>130</v>
      </c>
      <c r="O1044" s="3"/>
      <c r="P1044" s="4" t="s">
        <v>2332</v>
      </c>
      <c r="Q1044" s="3"/>
      <c r="R1044" s="3"/>
      <c r="S1044" s="6"/>
      <c r="T1044" s="6"/>
      <c r="U1044" s="6"/>
    </row>
    <row r="1045" ht="15.75" customHeight="1">
      <c r="A1045" s="4" t="s">
        <v>2805</v>
      </c>
      <c r="B1045" s="9" t="s">
        <v>2806</v>
      </c>
      <c r="C1045" s="4" t="s">
        <v>170</v>
      </c>
      <c r="D1045" s="8" t="s">
        <v>381</v>
      </c>
      <c r="E1045" s="3" t="str">
        <f t="shared" si="1"/>
        <v>不收錄</v>
      </c>
      <c r="F1045" s="3" t="s">
        <v>314</v>
      </c>
      <c r="G1045" s="6"/>
      <c r="H1045" s="3" t="str">
        <f t="shared" si="2"/>
        <v>7</v>
      </c>
      <c r="I1045" s="3" t="s">
        <v>837</v>
      </c>
      <c r="J1045" s="3" t="s">
        <v>42</v>
      </c>
      <c r="K1045" s="3">
        <v>2.0</v>
      </c>
      <c r="L1045" s="3">
        <v>0.0</v>
      </c>
      <c r="M1045" s="4" t="s">
        <v>236</v>
      </c>
      <c r="N1045" s="3"/>
      <c r="O1045" s="3"/>
      <c r="P1045" s="4" t="s">
        <v>2332</v>
      </c>
      <c r="Q1045" s="3"/>
      <c r="R1045" s="3"/>
      <c r="S1045" s="6"/>
      <c r="T1045" s="6"/>
      <c r="U1045" s="6"/>
    </row>
    <row r="1046" ht="15.75" customHeight="1">
      <c r="A1046" s="4" t="s">
        <v>2807</v>
      </c>
      <c r="B1046" s="9" t="s">
        <v>2619</v>
      </c>
      <c r="C1046" s="4" t="s">
        <v>39</v>
      </c>
      <c r="D1046" s="6"/>
      <c r="E1046" s="3" t="str">
        <f t="shared" si="1"/>
        <v>現存</v>
      </c>
      <c r="F1046" s="3" t="s">
        <v>314</v>
      </c>
      <c r="G1046" s="6"/>
      <c r="H1046" s="3" t="str">
        <f t="shared" si="2"/>
        <v>7</v>
      </c>
      <c r="I1046" s="3" t="s">
        <v>644</v>
      </c>
      <c r="J1046" s="3" t="s">
        <v>135</v>
      </c>
      <c r="K1046" s="3">
        <v>1.0</v>
      </c>
      <c r="L1046" s="3">
        <v>1.0</v>
      </c>
      <c r="M1046" s="4" t="s">
        <v>43</v>
      </c>
      <c r="N1046" s="3" t="s">
        <v>130</v>
      </c>
      <c r="O1046" s="3"/>
      <c r="P1046" s="4" t="s">
        <v>2332</v>
      </c>
      <c r="Q1046" s="3"/>
      <c r="R1046" s="3"/>
      <c r="S1046" s="6"/>
      <c r="T1046" s="6"/>
      <c r="U1046" s="6"/>
    </row>
    <row r="1047" ht="15.75" customHeight="1">
      <c r="A1047" s="4" t="s">
        <v>2808</v>
      </c>
      <c r="B1047" s="4" t="s">
        <v>2806</v>
      </c>
      <c r="C1047" s="4" t="s">
        <v>39</v>
      </c>
      <c r="D1047" s="6"/>
      <c r="E1047" s="3" t="str">
        <f t="shared" si="1"/>
        <v>現存</v>
      </c>
      <c r="F1047" s="3" t="s">
        <v>478</v>
      </c>
      <c r="G1047" s="6"/>
      <c r="H1047" s="3" t="str">
        <f t="shared" si="2"/>
        <v>7,8</v>
      </c>
      <c r="I1047" s="3" t="s">
        <v>481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130</v>
      </c>
      <c r="O1047" s="3"/>
      <c r="P1047" s="4" t="s">
        <v>2332</v>
      </c>
      <c r="Q1047" s="3"/>
      <c r="R1047" s="3"/>
      <c r="S1047" s="6"/>
      <c r="T1047" s="6"/>
      <c r="U1047" s="6"/>
    </row>
    <row r="1048" ht="15.75" customHeight="1">
      <c r="A1048" s="4" t="s">
        <v>2809</v>
      </c>
      <c r="B1048" s="4" t="s">
        <v>2810</v>
      </c>
      <c r="C1048" s="4" t="s">
        <v>39</v>
      </c>
      <c r="D1048" s="6"/>
      <c r="E1048" s="3" t="str">
        <f t="shared" si="1"/>
        <v>現存</v>
      </c>
      <c r="F1048" s="3" t="s">
        <v>741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130</v>
      </c>
      <c r="O1048" s="3"/>
      <c r="P1048" s="4" t="s">
        <v>2332</v>
      </c>
      <c r="Q1048" s="4" t="s">
        <v>2811</v>
      </c>
      <c r="R1048" s="3"/>
      <c r="S1048" s="6"/>
      <c r="T1048" s="6"/>
      <c r="U1048" s="6"/>
    </row>
    <row r="1049" ht="15.75" customHeight="1">
      <c r="A1049" s="4" t="s">
        <v>2812</v>
      </c>
      <c r="B1049" s="4" t="s">
        <v>2813</v>
      </c>
      <c r="C1049" s="4" t="s">
        <v>39</v>
      </c>
      <c r="D1049" s="6"/>
      <c r="E1049" s="3" t="str">
        <f t="shared" si="1"/>
        <v>現存</v>
      </c>
      <c r="F1049" s="3" t="s">
        <v>314</v>
      </c>
      <c r="G1049" s="6"/>
      <c r="H1049" s="3" t="str">
        <f t="shared" si="2"/>
        <v>7</v>
      </c>
      <c r="I1049" s="3" t="s">
        <v>644</v>
      </c>
      <c r="J1049" s="3" t="s">
        <v>135</v>
      </c>
      <c r="K1049" s="3">
        <v>1.0</v>
      </c>
      <c r="L1049" s="3">
        <v>1.0</v>
      </c>
      <c r="M1049" s="4" t="s">
        <v>43</v>
      </c>
      <c r="N1049" s="3" t="s">
        <v>130</v>
      </c>
      <c r="O1049" s="3"/>
      <c r="P1049" s="4" t="s">
        <v>2332</v>
      </c>
      <c r="Q1049" s="3"/>
      <c r="R1049" s="3"/>
      <c r="S1049" s="6"/>
      <c r="T1049" s="6"/>
      <c r="U1049" s="6"/>
    </row>
    <row r="1050" ht="15.75" customHeight="1">
      <c r="A1050" s="4" t="s">
        <v>2814</v>
      </c>
      <c r="B1050" s="4" t="s">
        <v>2815</v>
      </c>
      <c r="C1050" s="4" t="s">
        <v>39</v>
      </c>
      <c r="D1050" s="6"/>
      <c r="E1050" s="3" t="str">
        <f t="shared" si="1"/>
        <v>現存</v>
      </c>
      <c r="F1050" s="3" t="s">
        <v>2816</v>
      </c>
      <c r="G1050" s="6"/>
      <c r="H1050" s="3" t="str">
        <f t="shared" si="2"/>
        <v>7,8,12</v>
      </c>
      <c r="I1050" s="3" t="s">
        <v>977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130</v>
      </c>
      <c r="O1050" s="3"/>
      <c r="P1050" s="4" t="s">
        <v>2332</v>
      </c>
      <c r="Q1050" s="3"/>
      <c r="R1050" s="3"/>
      <c r="S1050" s="6"/>
      <c r="T1050" s="6"/>
      <c r="U1050" s="6"/>
    </row>
    <row r="1051" ht="15.75" customHeight="1">
      <c r="A1051" s="4" t="s">
        <v>2817</v>
      </c>
      <c r="B1051" s="9" t="s">
        <v>2818</v>
      </c>
      <c r="C1051" s="4" t="s">
        <v>39</v>
      </c>
      <c r="D1051" s="6"/>
      <c r="E1051" s="3" t="str">
        <f t="shared" si="1"/>
        <v>現存</v>
      </c>
      <c r="F1051" s="3" t="s">
        <v>314</v>
      </c>
      <c r="G1051" s="6"/>
      <c r="H1051" s="3" t="str">
        <f t="shared" si="2"/>
        <v>7</v>
      </c>
      <c r="I1051" s="3" t="s">
        <v>1082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130</v>
      </c>
      <c r="O1051" s="3"/>
      <c r="P1051" s="4" t="s">
        <v>2332</v>
      </c>
      <c r="Q1051" s="3"/>
      <c r="R1051" s="3"/>
      <c r="S1051" s="6"/>
      <c r="T1051" s="6"/>
      <c r="U1051" s="6"/>
    </row>
    <row r="1052" ht="15.75" customHeight="1">
      <c r="A1052" s="4" t="s">
        <v>2819</v>
      </c>
      <c r="B1052" s="4" t="s">
        <v>2820</v>
      </c>
      <c r="C1052" s="4" t="s">
        <v>39</v>
      </c>
      <c r="D1052" s="6"/>
      <c r="E1052" s="3" t="str">
        <f t="shared" si="1"/>
        <v>現存</v>
      </c>
      <c r="F1052" s="3" t="s">
        <v>314</v>
      </c>
      <c r="G1052" s="6"/>
      <c r="H1052" s="3" t="str">
        <f t="shared" si="2"/>
        <v>7</v>
      </c>
      <c r="I1052" s="3" t="s">
        <v>2821</v>
      </c>
      <c r="J1052" s="3" t="s">
        <v>181</v>
      </c>
      <c r="K1052" s="3">
        <v>1.0</v>
      </c>
      <c r="L1052" s="3">
        <v>1.0</v>
      </c>
      <c r="M1052" s="4" t="s">
        <v>43</v>
      </c>
      <c r="N1052" s="3" t="s">
        <v>130</v>
      </c>
      <c r="O1052" s="3"/>
      <c r="P1052" s="4" t="s">
        <v>2332</v>
      </c>
      <c r="Q1052" s="3"/>
      <c r="R1052" s="3"/>
      <c r="S1052" s="6"/>
      <c r="T1052" s="6"/>
      <c r="U1052" s="6"/>
    </row>
    <row r="1053" ht="15.75" customHeight="1">
      <c r="A1053" s="4" t="s">
        <v>2822</v>
      </c>
      <c r="B1053" s="4" t="s">
        <v>2823</v>
      </c>
      <c r="C1053" s="4" t="s">
        <v>39</v>
      </c>
      <c r="D1053" s="6"/>
      <c r="E1053" s="3" t="str">
        <f t="shared" si="1"/>
        <v>現存</v>
      </c>
      <c r="F1053" s="3" t="s">
        <v>478</v>
      </c>
      <c r="G1053" s="6"/>
      <c r="H1053" s="3" t="str">
        <f t="shared" si="2"/>
        <v>7,8</v>
      </c>
      <c r="I1053" s="3" t="s">
        <v>1372</v>
      </c>
      <c r="J1053" s="3" t="s">
        <v>135</v>
      </c>
      <c r="K1053" s="3">
        <v>3.0</v>
      </c>
      <c r="L1053" s="3">
        <v>1.0</v>
      </c>
      <c r="M1053" s="4" t="s">
        <v>43</v>
      </c>
      <c r="N1053" s="3" t="s">
        <v>130</v>
      </c>
      <c r="O1053" s="3"/>
      <c r="P1053" s="4" t="s">
        <v>2332</v>
      </c>
      <c r="Q1053" s="3"/>
      <c r="R1053" s="3"/>
      <c r="S1053" s="6"/>
      <c r="T1053" s="6"/>
      <c r="U1053" s="8" t="s">
        <v>2824</v>
      </c>
    </row>
    <row r="1054" ht="15.75" customHeight="1">
      <c r="A1054" s="4" t="s">
        <v>2825</v>
      </c>
      <c r="B1054" s="4" t="s">
        <v>2826</v>
      </c>
      <c r="C1054" s="4" t="s">
        <v>39</v>
      </c>
      <c r="D1054" s="6"/>
      <c r="E1054" s="3" t="str">
        <f t="shared" si="1"/>
        <v>現存</v>
      </c>
      <c r="F1054" s="3" t="s">
        <v>981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130</v>
      </c>
      <c r="O1054" s="3"/>
      <c r="P1054" s="4" t="s">
        <v>2332</v>
      </c>
      <c r="Q1054" s="3"/>
      <c r="R1054" s="3"/>
      <c r="S1054" s="6"/>
      <c r="T1054" s="6"/>
      <c r="U1054" s="6"/>
    </row>
    <row r="1055" ht="15.75" customHeight="1">
      <c r="A1055" s="7" t="s">
        <v>2827</v>
      </c>
      <c r="B1055" s="9" t="s">
        <v>2828</v>
      </c>
      <c r="C1055" s="4" t="s">
        <v>170</v>
      </c>
      <c r="D1055" s="8" t="s">
        <v>39</v>
      </c>
      <c r="E1055" s="3" t="str">
        <f t="shared" si="1"/>
        <v>現存</v>
      </c>
      <c r="F1055" s="3" t="s">
        <v>326</v>
      </c>
      <c r="G1055" s="8" t="s">
        <v>984</v>
      </c>
      <c r="H1055" s="3" t="str">
        <f t="shared" si="2"/>
        <v>8,9,10</v>
      </c>
      <c r="I1055" s="3" t="s">
        <v>2829</v>
      </c>
      <c r="J1055" s="3" t="s">
        <v>893</v>
      </c>
      <c r="K1055" s="3">
        <v>1.0</v>
      </c>
      <c r="L1055" s="3">
        <v>0.0</v>
      </c>
      <c r="M1055" s="4" t="s">
        <v>236</v>
      </c>
      <c r="N1055" s="3"/>
      <c r="O1055" s="3"/>
      <c r="P1055" s="4" t="s">
        <v>2332</v>
      </c>
      <c r="Q1055" s="3"/>
      <c r="R1055" s="3"/>
      <c r="S1055" s="6"/>
      <c r="T1055" s="6"/>
      <c r="U1055" s="8" t="s">
        <v>2830</v>
      </c>
    </row>
    <row r="1056" ht="15.75" customHeight="1">
      <c r="A1056" s="4" t="s">
        <v>2831</v>
      </c>
      <c r="B1056" s="4" t="s">
        <v>2832</v>
      </c>
      <c r="C1056" s="4" t="s">
        <v>39</v>
      </c>
      <c r="D1056" s="6"/>
      <c r="E1056" s="3" t="str">
        <f t="shared" si="1"/>
        <v>現存</v>
      </c>
      <c r="F1056" s="3" t="s">
        <v>616</v>
      </c>
      <c r="G1056" s="6"/>
      <c r="H1056" s="3" t="str">
        <f t="shared" si="2"/>
        <v>10,11</v>
      </c>
      <c r="I1056" s="3" t="s">
        <v>617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130</v>
      </c>
      <c r="O1056" s="3"/>
      <c r="P1056" s="4" t="s">
        <v>2332</v>
      </c>
      <c r="Q1056" s="3"/>
      <c r="R1056" s="3"/>
      <c r="S1056" s="6"/>
      <c r="T1056" s="6"/>
      <c r="U1056" s="6"/>
    </row>
    <row r="1057" ht="15.75" customHeight="1">
      <c r="A1057" s="4" t="s">
        <v>2833</v>
      </c>
      <c r="B1057" s="4" t="s">
        <v>2834</v>
      </c>
      <c r="C1057" s="4" t="s">
        <v>39</v>
      </c>
      <c r="D1057" s="6"/>
      <c r="E1057" s="3" t="str">
        <f t="shared" si="1"/>
        <v>現存</v>
      </c>
      <c r="F1057" s="3" t="s">
        <v>188</v>
      </c>
      <c r="G1057" s="6"/>
      <c r="H1057" s="3" t="str">
        <f t="shared" si="2"/>
        <v>10</v>
      </c>
      <c r="I1057" s="3" t="s">
        <v>2406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130</v>
      </c>
      <c r="O1057" s="3"/>
      <c r="P1057" s="4" t="s">
        <v>2332</v>
      </c>
      <c r="Q1057" s="3"/>
      <c r="R1057" s="3"/>
      <c r="S1057" s="6"/>
      <c r="T1057" s="6"/>
      <c r="U1057" s="6"/>
    </row>
    <row r="1058" ht="15.75" customHeight="1">
      <c r="A1058" s="4" t="s">
        <v>2835</v>
      </c>
      <c r="B1058" s="4" t="s">
        <v>2836</v>
      </c>
      <c r="C1058" s="4" t="s">
        <v>39</v>
      </c>
      <c r="D1058" s="6"/>
      <c r="E1058" s="3" t="str">
        <f t="shared" si="1"/>
        <v>現存</v>
      </c>
      <c r="F1058" s="3" t="s">
        <v>616</v>
      </c>
      <c r="G1058" s="6"/>
      <c r="H1058" s="3" t="str">
        <f t="shared" si="2"/>
        <v>10,11</v>
      </c>
      <c r="I1058" s="3" t="s">
        <v>1086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130</v>
      </c>
      <c r="O1058" s="3"/>
      <c r="P1058" s="4" t="s">
        <v>2332</v>
      </c>
      <c r="Q1058" s="3"/>
      <c r="R1058" s="3"/>
      <c r="S1058" s="6"/>
      <c r="T1058" s="6"/>
      <c r="U1058" s="6"/>
    </row>
    <row r="1059" ht="15.75" customHeight="1">
      <c r="A1059" s="4" t="s">
        <v>2837</v>
      </c>
      <c r="B1059" s="4" t="s">
        <v>2838</v>
      </c>
      <c r="C1059" s="4" t="s">
        <v>39</v>
      </c>
      <c r="D1059" s="6"/>
      <c r="E1059" s="3" t="str">
        <f t="shared" si="1"/>
        <v>現存</v>
      </c>
      <c r="F1059" s="3" t="s">
        <v>188</v>
      </c>
      <c r="G1059" s="6"/>
      <c r="H1059" s="3" t="str">
        <f t="shared" si="2"/>
        <v>10</v>
      </c>
      <c r="I1059" s="3" t="s">
        <v>1238</v>
      </c>
      <c r="J1059" s="3" t="s">
        <v>181</v>
      </c>
      <c r="K1059" s="3">
        <v>1.0</v>
      </c>
      <c r="L1059" s="3">
        <v>1.0</v>
      </c>
      <c r="M1059" s="4" t="s">
        <v>43</v>
      </c>
      <c r="N1059" s="3" t="s">
        <v>130</v>
      </c>
      <c r="O1059" s="3"/>
      <c r="P1059" s="4" t="s">
        <v>2332</v>
      </c>
      <c r="Q1059" s="3"/>
      <c r="R1059" s="3"/>
      <c r="S1059" s="6"/>
      <c r="T1059" s="6"/>
      <c r="U1059" s="6"/>
    </row>
    <row r="1060" ht="15.75" customHeight="1">
      <c r="A1060" s="4" t="s">
        <v>2839</v>
      </c>
      <c r="B1060" s="4" t="s">
        <v>2840</v>
      </c>
      <c r="C1060" s="4" t="s">
        <v>39</v>
      </c>
      <c r="D1060" s="8" t="s">
        <v>170</v>
      </c>
      <c r="E1060" s="3" t="str">
        <f t="shared" si="1"/>
        <v>近年未見</v>
      </c>
      <c r="F1060" s="3" t="s">
        <v>515</v>
      </c>
      <c r="G1060" s="6"/>
      <c r="H1060" s="3" t="str">
        <f t="shared" si="2"/>
        <v>11</v>
      </c>
      <c r="I1060" s="3" t="s">
        <v>1998</v>
      </c>
      <c r="J1060" s="3" t="s">
        <v>42</v>
      </c>
      <c r="K1060" s="3">
        <v>1.0</v>
      </c>
      <c r="L1060" s="3">
        <v>1.0</v>
      </c>
      <c r="M1060" s="9" t="s">
        <v>236</v>
      </c>
      <c r="N1060" s="3" t="s">
        <v>130</v>
      </c>
      <c r="O1060" s="3"/>
      <c r="P1060" s="4" t="s">
        <v>2332</v>
      </c>
      <c r="Q1060" s="3"/>
      <c r="R1060" s="3"/>
      <c r="S1060" s="6"/>
      <c r="T1060" s="6"/>
      <c r="U1060" s="6"/>
    </row>
    <row r="1061" ht="15.75" customHeight="1">
      <c r="A1061" s="4" t="s">
        <v>2841</v>
      </c>
      <c r="B1061" s="9" t="s">
        <v>2818</v>
      </c>
      <c r="C1061" s="4" t="s">
        <v>39</v>
      </c>
      <c r="D1061" s="6"/>
      <c r="E1061" s="3" t="str">
        <f t="shared" si="1"/>
        <v>現存</v>
      </c>
      <c r="F1061" s="3" t="s">
        <v>515</v>
      </c>
      <c r="G1061" s="6"/>
      <c r="H1061" s="3" t="str">
        <f t="shared" si="2"/>
        <v>11</v>
      </c>
      <c r="I1061" s="3" t="s">
        <v>1635</v>
      </c>
      <c r="J1061" s="3" t="s">
        <v>181</v>
      </c>
      <c r="K1061" s="3">
        <v>3.0</v>
      </c>
      <c r="L1061" s="3">
        <v>1.0</v>
      </c>
      <c r="M1061" s="4" t="s">
        <v>43</v>
      </c>
      <c r="N1061" s="3" t="s">
        <v>130</v>
      </c>
      <c r="O1061" s="3"/>
      <c r="P1061" s="4" t="s">
        <v>2332</v>
      </c>
      <c r="Q1061" s="3"/>
      <c r="R1061" s="3"/>
      <c r="S1061" s="6"/>
      <c r="T1061" s="6"/>
      <c r="U1061" s="6"/>
    </row>
    <row r="1062" ht="15.75" customHeight="1">
      <c r="A1062" s="4" t="s">
        <v>2842</v>
      </c>
      <c r="B1062" s="4" t="s">
        <v>2843</v>
      </c>
      <c r="C1062" s="4" t="s">
        <v>39</v>
      </c>
      <c r="D1062" s="6"/>
      <c r="E1062" s="3" t="str">
        <f t="shared" si="1"/>
        <v>現存</v>
      </c>
      <c r="F1062" s="3" t="s">
        <v>2844</v>
      </c>
      <c r="G1062" s="6"/>
      <c r="H1062" s="3" t="str">
        <f t="shared" si="2"/>
        <v>1,2,3,5,6,10,11</v>
      </c>
      <c r="I1062" s="3" t="s">
        <v>160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2845</v>
      </c>
      <c r="O1062" s="3"/>
      <c r="P1062" s="4" t="s">
        <v>2175</v>
      </c>
      <c r="Q1062" s="3"/>
      <c r="R1062" s="3"/>
      <c r="S1062" s="6"/>
      <c r="T1062" s="6"/>
      <c r="U1062" s="6"/>
    </row>
    <row r="1063" ht="15.75" customHeight="1">
      <c r="A1063" s="4" t="s">
        <v>2846</v>
      </c>
      <c r="B1063" s="4" t="s">
        <v>2847</v>
      </c>
      <c r="C1063" s="4" t="s">
        <v>39</v>
      </c>
      <c r="D1063" s="6"/>
      <c r="E1063" s="3" t="str">
        <f t="shared" si="1"/>
        <v>現存</v>
      </c>
      <c r="F1063" s="3" t="s">
        <v>1820</v>
      </c>
      <c r="G1063" s="6"/>
      <c r="H1063" s="3" t="str">
        <f t="shared" si="2"/>
        <v>1,4,11,12</v>
      </c>
      <c r="I1063" s="3" t="s">
        <v>530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156</v>
      </c>
      <c r="O1063" s="3"/>
      <c r="P1063" s="4" t="s">
        <v>2175</v>
      </c>
      <c r="Q1063" s="3"/>
      <c r="R1063" s="3"/>
      <c r="S1063" s="6"/>
      <c r="T1063" s="6"/>
      <c r="U1063" s="6"/>
    </row>
    <row r="1064" ht="15.75" customHeight="1">
      <c r="A1064" s="4" t="s">
        <v>2848</v>
      </c>
      <c r="B1064" s="4" t="s">
        <v>2849</v>
      </c>
      <c r="C1064" s="4" t="s">
        <v>39</v>
      </c>
      <c r="D1064" s="6"/>
      <c r="E1064" s="3" t="str">
        <f t="shared" si="1"/>
        <v>現存</v>
      </c>
      <c r="F1064" s="3" t="s">
        <v>2850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156</v>
      </c>
      <c r="O1064" s="3"/>
      <c r="P1064" s="4" t="s">
        <v>2175</v>
      </c>
      <c r="Q1064" s="3"/>
      <c r="R1064" s="3"/>
      <c r="S1064" s="6"/>
      <c r="T1064" s="6"/>
      <c r="U1064" s="6"/>
    </row>
    <row r="1065" ht="15.75" customHeight="1">
      <c r="A1065" s="4" t="s">
        <v>2851</v>
      </c>
      <c r="B1065" s="4" t="s">
        <v>2852</v>
      </c>
      <c r="C1065" s="4" t="s">
        <v>39</v>
      </c>
      <c r="D1065" s="6"/>
      <c r="E1065" s="3" t="str">
        <f t="shared" si="1"/>
        <v>現存</v>
      </c>
      <c r="F1065" s="3" t="s">
        <v>2853</v>
      </c>
      <c r="G1065" s="6"/>
      <c r="H1065" s="3" t="str">
        <f t="shared" si="2"/>
        <v>1,2,3,5,10,12</v>
      </c>
      <c r="I1065" s="3" t="s">
        <v>79</v>
      </c>
      <c r="J1065" s="3" t="s">
        <v>193</v>
      </c>
      <c r="K1065" s="3">
        <v>6.0</v>
      </c>
      <c r="L1065" s="3">
        <v>1.0</v>
      </c>
      <c r="M1065" s="4" t="s">
        <v>43</v>
      </c>
      <c r="N1065" s="3" t="s">
        <v>156</v>
      </c>
      <c r="O1065" s="3"/>
      <c r="P1065" s="4" t="s">
        <v>2175</v>
      </c>
      <c r="Q1065" s="3"/>
      <c r="R1065" s="3"/>
      <c r="S1065" s="6"/>
      <c r="T1065" s="6"/>
      <c r="U1065" s="6"/>
    </row>
    <row r="1066" ht="15.75" customHeight="1">
      <c r="A1066" s="4" t="s">
        <v>2854</v>
      </c>
      <c r="B1066" s="4" t="s">
        <v>2855</v>
      </c>
      <c r="C1066" s="4" t="s">
        <v>39</v>
      </c>
      <c r="D1066" s="6"/>
      <c r="E1066" s="3" t="str">
        <f t="shared" si="1"/>
        <v>現存</v>
      </c>
      <c r="F1066" s="3" t="s">
        <v>2856</v>
      </c>
      <c r="G1066" s="6"/>
      <c r="H1066" s="3" t="str">
        <f t="shared" si="2"/>
        <v>1,3,4,5,11,12</v>
      </c>
      <c r="I1066" s="3" t="s">
        <v>709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156</v>
      </c>
      <c r="O1066" s="3"/>
      <c r="P1066" s="4" t="s">
        <v>2175</v>
      </c>
      <c r="Q1066" s="4" t="s">
        <v>1137</v>
      </c>
      <c r="R1066" s="3"/>
      <c r="S1066" s="6"/>
      <c r="T1066" s="6"/>
      <c r="U1066" s="6"/>
    </row>
    <row r="1067" ht="15.75" customHeight="1">
      <c r="A1067" s="4" t="s">
        <v>2857</v>
      </c>
      <c r="B1067" s="4" t="s">
        <v>2858</v>
      </c>
      <c r="C1067" s="4" t="s">
        <v>39</v>
      </c>
      <c r="D1067" s="6"/>
      <c r="E1067" s="3" t="str">
        <f t="shared" si="1"/>
        <v>現存</v>
      </c>
      <c r="F1067" s="3" t="s">
        <v>1472</v>
      </c>
      <c r="G1067" s="6"/>
      <c r="H1067" s="3" t="str">
        <f t="shared" si="2"/>
        <v>1,2,9,12</v>
      </c>
      <c r="I1067" s="3" t="s">
        <v>212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2859</v>
      </c>
      <c r="O1067" s="3"/>
      <c r="P1067" s="4" t="s">
        <v>2175</v>
      </c>
      <c r="Q1067" s="3"/>
      <c r="R1067" s="3"/>
      <c r="S1067" s="6"/>
      <c r="T1067" s="6"/>
      <c r="U1067" s="6"/>
    </row>
    <row r="1068" ht="15.75" customHeight="1">
      <c r="A1068" s="4" t="s">
        <v>2860</v>
      </c>
      <c r="B1068" s="4" t="s">
        <v>2861</v>
      </c>
      <c r="C1068" s="4" t="s">
        <v>39</v>
      </c>
      <c r="D1068" s="6"/>
      <c r="E1068" s="3" t="str">
        <f t="shared" si="1"/>
        <v>現存</v>
      </c>
      <c r="F1068" s="3" t="s">
        <v>2862</v>
      </c>
      <c r="G1068" s="6"/>
      <c r="H1068" s="3" t="str">
        <f t="shared" si="2"/>
        <v>2,10,11</v>
      </c>
      <c r="I1068" s="3" t="s">
        <v>1008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156</v>
      </c>
      <c r="O1068" s="3"/>
      <c r="P1068" s="4" t="s">
        <v>2175</v>
      </c>
      <c r="Q1068" s="3"/>
      <c r="R1068" s="3"/>
      <c r="S1068" s="6"/>
      <c r="T1068" s="6"/>
      <c r="U1068" s="6"/>
    </row>
    <row r="1069" ht="15.75" customHeight="1">
      <c r="A1069" s="4" t="s">
        <v>2863</v>
      </c>
      <c r="B1069" s="4" t="s">
        <v>2864</v>
      </c>
      <c r="C1069" s="4" t="s">
        <v>39</v>
      </c>
      <c r="D1069" s="6"/>
      <c r="E1069" s="3" t="str">
        <f t="shared" si="1"/>
        <v>現存</v>
      </c>
      <c r="F1069" s="3" t="s">
        <v>2865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156</v>
      </c>
      <c r="O1069" s="3"/>
      <c r="P1069" s="4" t="s">
        <v>2175</v>
      </c>
      <c r="Q1069" s="3"/>
      <c r="R1069" s="3"/>
      <c r="S1069" s="6"/>
      <c r="T1069" s="6"/>
      <c r="U1069" s="6"/>
    </row>
    <row r="1070" ht="15.75" customHeight="1">
      <c r="A1070" s="4" t="s">
        <v>2866</v>
      </c>
      <c r="B1070" s="4" t="s">
        <v>2867</v>
      </c>
      <c r="C1070" s="4" t="s">
        <v>39</v>
      </c>
      <c r="D1070" s="6"/>
      <c r="E1070" s="3" t="str">
        <f t="shared" si="1"/>
        <v>現存</v>
      </c>
      <c r="F1070" s="3" t="s">
        <v>2868</v>
      </c>
      <c r="G1070" s="6"/>
      <c r="H1070" s="3" t="str">
        <f t="shared" si="2"/>
        <v>3,4,6</v>
      </c>
      <c r="I1070" s="3" t="s">
        <v>142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156</v>
      </c>
      <c r="O1070" s="3"/>
      <c r="P1070" s="4" t="s">
        <v>2175</v>
      </c>
      <c r="Q1070" s="3"/>
      <c r="R1070" s="3"/>
      <c r="S1070" s="6"/>
      <c r="T1070" s="6"/>
      <c r="U1070" s="6"/>
    </row>
    <row r="1071" ht="15.75" customHeight="1">
      <c r="A1071" s="4" t="s">
        <v>2869</v>
      </c>
      <c r="B1071" s="4" t="s">
        <v>2870</v>
      </c>
      <c r="C1071" s="4" t="s">
        <v>39</v>
      </c>
      <c r="D1071" s="6"/>
      <c r="E1071" s="3" t="str">
        <f t="shared" si="1"/>
        <v>現存</v>
      </c>
      <c r="F1071" s="3" t="s">
        <v>138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2871</v>
      </c>
      <c r="O1071" s="3"/>
      <c r="P1071" s="4" t="s">
        <v>2175</v>
      </c>
      <c r="Q1071" s="3"/>
      <c r="R1071" s="3"/>
      <c r="S1071" s="6"/>
      <c r="T1071" s="6"/>
      <c r="U1071" s="6"/>
    </row>
    <row r="1072" ht="15.75" customHeight="1">
      <c r="A1072" s="4" t="s">
        <v>2872</v>
      </c>
      <c r="B1072" s="4" t="s">
        <v>2873</v>
      </c>
      <c r="C1072" s="4" t="s">
        <v>39</v>
      </c>
      <c r="D1072" s="6"/>
      <c r="E1072" s="3" t="str">
        <f t="shared" si="1"/>
        <v>現存</v>
      </c>
      <c r="F1072" s="3" t="s">
        <v>116</v>
      </c>
      <c r="G1072" s="6"/>
      <c r="H1072" s="3" t="str">
        <f t="shared" si="2"/>
        <v>3,4</v>
      </c>
      <c r="I1072" s="3" t="s">
        <v>139</v>
      </c>
      <c r="J1072" s="3" t="s">
        <v>125</v>
      </c>
      <c r="K1072" s="3">
        <v>3.0</v>
      </c>
      <c r="L1072" s="3">
        <v>1.0</v>
      </c>
      <c r="M1072" s="4" t="s">
        <v>43</v>
      </c>
      <c r="N1072" s="3" t="s">
        <v>156</v>
      </c>
      <c r="O1072" s="3"/>
      <c r="P1072" s="4" t="s">
        <v>2175</v>
      </c>
      <c r="Q1072" s="3"/>
      <c r="R1072" s="3"/>
      <c r="S1072" s="6"/>
      <c r="T1072" s="6"/>
      <c r="U1072" s="6"/>
    </row>
    <row r="1073" ht="15.75" customHeight="1">
      <c r="A1073" s="4" t="s">
        <v>2874</v>
      </c>
      <c r="B1073" s="4" t="s">
        <v>2875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709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156</v>
      </c>
      <c r="O1073" s="3"/>
      <c r="P1073" s="4" t="s">
        <v>2175</v>
      </c>
      <c r="Q1073" s="3"/>
      <c r="R1073" s="3"/>
      <c r="S1073" s="6"/>
      <c r="T1073" s="6"/>
      <c r="U1073" s="6"/>
    </row>
    <row r="1074" ht="15.75" customHeight="1">
      <c r="A1074" s="4" t="s">
        <v>2876</v>
      </c>
      <c r="B1074" s="4" t="s">
        <v>2877</v>
      </c>
      <c r="C1074" s="4" t="s">
        <v>39</v>
      </c>
      <c r="D1074" s="6"/>
      <c r="E1074" s="3" t="str">
        <f t="shared" si="1"/>
        <v>現存</v>
      </c>
      <c r="F1074" s="3" t="s">
        <v>116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156</v>
      </c>
      <c r="O1074" s="3"/>
      <c r="P1074" s="4" t="s">
        <v>2175</v>
      </c>
      <c r="Q1074" s="3"/>
      <c r="R1074" s="3"/>
      <c r="S1074" s="6"/>
      <c r="T1074" s="6"/>
      <c r="U1074" s="6"/>
    </row>
    <row r="1075" ht="15.75" customHeight="1">
      <c r="A1075" s="4" t="s">
        <v>2878</v>
      </c>
      <c r="B1075" s="4" t="s">
        <v>2879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156</v>
      </c>
      <c r="O1075" s="3"/>
      <c r="P1075" s="4" t="s">
        <v>2175</v>
      </c>
      <c r="Q1075" s="3"/>
      <c r="R1075" s="3"/>
      <c r="S1075" s="6"/>
      <c r="T1075" s="6"/>
      <c r="U1075" s="6"/>
    </row>
    <row r="1076" ht="15.75" customHeight="1">
      <c r="A1076" s="4" t="s">
        <v>2880</v>
      </c>
      <c r="B1076" s="4" t="s">
        <v>2881</v>
      </c>
      <c r="C1076" s="4" t="s">
        <v>39</v>
      </c>
      <c r="D1076" s="6"/>
      <c r="E1076" s="3" t="str">
        <f t="shared" si="1"/>
        <v>現存</v>
      </c>
      <c r="F1076" s="3" t="s">
        <v>2882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156</v>
      </c>
      <c r="O1076" s="3"/>
      <c r="P1076" s="4" t="s">
        <v>2175</v>
      </c>
      <c r="Q1076" s="3"/>
      <c r="R1076" s="3"/>
      <c r="S1076" s="6"/>
      <c r="T1076" s="6"/>
      <c r="U1076" s="6"/>
    </row>
    <row r="1077" ht="15.75" customHeight="1">
      <c r="A1077" s="4" t="s">
        <v>2883</v>
      </c>
      <c r="B1077" s="4" t="s">
        <v>2884</v>
      </c>
      <c r="C1077" s="4" t="s">
        <v>39</v>
      </c>
      <c r="D1077" s="6"/>
      <c r="E1077" s="3" t="str">
        <f t="shared" si="1"/>
        <v>現存</v>
      </c>
      <c r="F1077" s="3" t="s">
        <v>2885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156</v>
      </c>
      <c r="O1077" s="3"/>
      <c r="P1077" s="4" t="s">
        <v>2175</v>
      </c>
      <c r="Q1077" s="3"/>
      <c r="R1077" s="3"/>
      <c r="S1077" s="6"/>
      <c r="T1077" s="6"/>
      <c r="U1077" s="6"/>
    </row>
    <row r="1078" ht="15.75" customHeight="1">
      <c r="A1078" s="4" t="s">
        <v>2886</v>
      </c>
      <c r="B1078" s="4" t="s">
        <v>2887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709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156</v>
      </c>
      <c r="O1078" s="3"/>
      <c r="P1078" s="4" t="s">
        <v>2175</v>
      </c>
      <c r="Q1078" s="3"/>
      <c r="R1078" s="3"/>
      <c r="S1078" s="6"/>
      <c r="T1078" s="6"/>
      <c r="U1078" s="6"/>
    </row>
    <row r="1079" ht="15.75" customHeight="1">
      <c r="A1079" s="4" t="s">
        <v>2888</v>
      </c>
      <c r="B1079" s="4" t="s">
        <v>2889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125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548</v>
      </c>
      <c r="Q1079" s="3"/>
      <c r="R1079" s="3"/>
      <c r="S1079" s="6"/>
      <c r="T1079" s="6"/>
      <c r="U1079" s="6"/>
    </row>
    <row r="1080" ht="15.75" customHeight="1">
      <c r="A1080" s="4" t="s">
        <v>2890</v>
      </c>
      <c r="B1080" s="4" t="s">
        <v>2891</v>
      </c>
      <c r="C1080" s="4" t="s">
        <v>39</v>
      </c>
      <c r="D1080" s="6"/>
      <c r="E1080" s="3" t="str">
        <f t="shared" si="1"/>
        <v>現存</v>
      </c>
      <c r="F1080" s="3" t="s">
        <v>138</v>
      </c>
      <c r="G1080" s="6"/>
      <c r="H1080" s="3" t="str">
        <f t="shared" si="2"/>
        <v>3,4,5</v>
      </c>
      <c r="I1080" s="3" t="s">
        <v>709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156</v>
      </c>
      <c r="O1080" s="3"/>
      <c r="P1080" s="4" t="s">
        <v>2175</v>
      </c>
      <c r="Q1080" s="3"/>
      <c r="R1080" s="3"/>
      <c r="S1080" s="6"/>
      <c r="T1080" s="6"/>
      <c r="U1080" s="6"/>
    </row>
    <row r="1081" ht="15.75" customHeight="1">
      <c r="A1081" s="4" t="s">
        <v>2892</v>
      </c>
      <c r="B1081" s="4" t="s">
        <v>2893</v>
      </c>
      <c r="C1081" s="4" t="s">
        <v>39</v>
      </c>
      <c r="D1081" s="6"/>
      <c r="E1081" s="3" t="str">
        <f t="shared" si="1"/>
        <v>現存</v>
      </c>
      <c r="F1081" s="3" t="s">
        <v>2164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156</v>
      </c>
      <c r="O1081" s="3"/>
      <c r="P1081" s="4" t="s">
        <v>2175</v>
      </c>
      <c r="Q1081" s="3"/>
      <c r="R1081" s="3"/>
      <c r="S1081" s="6"/>
      <c r="T1081" s="6"/>
      <c r="U1081" s="6"/>
    </row>
    <row r="1082" ht="15.75" customHeight="1">
      <c r="A1082" s="4" t="s">
        <v>2894</v>
      </c>
      <c r="B1082" s="4" t="s">
        <v>2895</v>
      </c>
      <c r="C1082" s="4" t="s">
        <v>39</v>
      </c>
      <c r="D1082" s="6"/>
      <c r="E1082" s="3" t="str">
        <f t="shared" si="1"/>
        <v>現存</v>
      </c>
      <c r="F1082" s="3" t="s">
        <v>2896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156</v>
      </c>
      <c r="O1082" s="3"/>
      <c r="P1082" s="4" t="s">
        <v>2175</v>
      </c>
      <c r="Q1082" s="4" t="s">
        <v>2897</v>
      </c>
      <c r="R1082" s="3"/>
      <c r="S1082" s="6"/>
      <c r="T1082" s="6"/>
      <c r="U1082" s="6"/>
    </row>
    <row r="1083" ht="15.75" customHeight="1">
      <c r="A1083" s="4" t="s">
        <v>2898</v>
      </c>
      <c r="B1083" s="4" t="s">
        <v>2899</v>
      </c>
      <c r="C1083" s="4" t="s">
        <v>39</v>
      </c>
      <c r="D1083" s="6"/>
      <c r="E1083" s="3" t="str">
        <f t="shared" si="1"/>
        <v>現存</v>
      </c>
      <c r="F1083" s="3" t="s">
        <v>2900</v>
      </c>
      <c r="G1083" s="6"/>
      <c r="H1083" s="3" t="str">
        <f t="shared" si="2"/>
        <v>4,8,9,11</v>
      </c>
      <c r="I1083" s="3" t="s">
        <v>1372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156</v>
      </c>
      <c r="O1083" s="3"/>
      <c r="P1083" s="4" t="s">
        <v>2175</v>
      </c>
      <c r="Q1083" s="3"/>
      <c r="R1083" s="3"/>
      <c r="S1083" s="6"/>
      <c r="T1083" s="6"/>
      <c r="U1083" s="6"/>
    </row>
    <row r="1084" ht="15.75" customHeight="1">
      <c r="A1084" s="4" t="s">
        <v>2901</v>
      </c>
      <c r="B1084" s="4" t="s">
        <v>2902</v>
      </c>
      <c r="C1084" s="4" t="s">
        <v>39</v>
      </c>
      <c r="D1084" s="6"/>
      <c r="E1084" s="3" t="str">
        <f t="shared" si="1"/>
        <v>現存</v>
      </c>
      <c r="F1084" s="3" t="s">
        <v>156</v>
      </c>
      <c r="G1084" s="6"/>
      <c r="H1084" s="3" t="str">
        <f t="shared" si="2"/>
        <v>4</v>
      </c>
      <c r="I1084" s="3" t="s">
        <v>139</v>
      </c>
      <c r="J1084" s="3" t="s">
        <v>135</v>
      </c>
      <c r="K1084" s="3">
        <v>1.0</v>
      </c>
      <c r="L1084" s="3">
        <v>1.0</v>
      </c>
      <c r="M1084" s="4" t="s">
        <v>43</v>
      </c>
      <c r="N1084" s="3" t="s">
        <v>156</v>
      </c>
      <c r="O1084" s="3"/>
      <c r="P1084" s="4" t="s">
        <v>2175</v>
      </c>
      <c r="Q1084" s="3"/>
      <c r="R1084" s="3"/>
      <c r="S1084" s="6"/>
      <c r="T1084" s="6"/>
      <c r="U1084" s="8" t="s">
        <v>2903</v>
      </c>
    </row>
    <row r="1085" ht="15.75" customHeight="1">
      <c r="A1085" s="4" t="s">
        <v>2904</v>
      </c>
      <c r="B1085" s="4" t="s">
        <v>2905</v>
      </c>
      <c r="C1085" s="4" t="s">
        <v>39</v>
      </c>
      <c r="D1085" s="6"/>
      <c r="E1085" s="3" t="str">
        <f t="shared" si="1"/>
        <v>現存</v>
      </c>
      <c r="F1085" s="3" t="s">
        <v>2906</v>
      </c>
      <c r="G1085" s="6"/>
      <c r="H1085" s="3" t="str">
        <f t="shared" si="2"/>
        <v>4,5,6,11</v>
      </c>
      <c r="I1085" s="3" t="s">
        <v>426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156</v>
      </c>
      <c r="O1085" s="3"/>
      <c r="P1085" s="4" t="s">
        <v>2175</v>
      </c>
      <c r="Q1085" s="3"/>
      <c r="R1085" s="3"/>
      <c r="S1085" s="6"/>
      <c r="T1085" s="6"/>
      <c r="U1085" s="6"/>
    </row>
    <row r="1086" ht="15.75" customHeight="1">
      <c r="A1086" s="4" t="s">
        <v>2907</v>
      </c>
      <c r="B1086" s="4" t="s">
        <v>2908</v>
      </c>
      <c r="C1086" s="4" t="s">
        <v>39</v>
      </c>
      <c r="D1086" s="6"/>
      <c r="E1086" s="3" t="str">
        <f t="shared" si="1"/>
        <v>現存</v>
      </c>
      <c r="F1086" s="3" t="s">
        <v>2909</v>
      </c>
      <c r="G1086" s="6"/>
      <c r="H1086" s="3" t="str">
        <f t="shared" si="2"/>
        <v>4,6,7,8,9,10</v>
      </c>
      <c r="I1086" s="3" t="s">
        <v>139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156</v>
      </c>
      <c r="O1086" s="3"/>
      <c r="P1086" s="4" t="s">
        <v>2175</v>
      </c>
      <c r="Q1086" s="3"/>
      <c r="R1086" s="3"/>
      <c r="S1086" s="6"/>
      <c r="T1086" s="6"/>
      <c r="U1086" s="6"/>
    </row>
    <row r="1087" ht="15.75" customHeight="1">
      <c r="A1087" s="4" t="s">
        <v>2910</v>
      </c>
      <c r="B1087" s="4" t="s">
        <v>2911</v>
      </c>
      <c r="C1087" s="4" t="s">
        <v>39</v>
      </c>
      <c r="D1087" s="6"/>
      <c r="E1087" s="3" t="str">
        <f t="shared" si="1"/>
        <v>現存</v>
      </c>
      <c r="F1087" s="3" t="s">
        <v>2343</v>
      </c>
      <c r="G1087" s="6"/>
      <c r="H1087" s="3" t="str">
        <f t="shared" si="2"/>
        <v>4,7,9</v>
      </c>
      <c r="I1087" s="3" t="s">
        <v>1184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156</v>
      </c>
      <c r="O1087" s="3"/>
      <c r="P1087" s="4" t="s">
        <v>2175</v>
      </c>
      <c r="Q1087" s="3"/>
      <c r="R1087" s="3"/>
      <c r="S1087" s="6"/>
      <c r="T1087" s="6"/>
      <c r="U1087" s="6"/>
    </row>
    <row r="1088" ht="15.75" customHeight="1">
      <c r="A1088" s="4" t="s">
        <v>2912</v>
      </c>
      <c r="B1088" s="4" t="s">
        <v>2913</v>
      </c>
      <c r="C1088" s="4" t="s">
        <v>39</v>
      </c>
      <c r="D1088" s="6"/>
      <c r="E1088" s="3" t="str">
        <f t="shared" si="1"/>
        <v>現存</v>
      </c>
      <c r="F1088" s="3" t="s">
        <v>290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156</v>
      </c>
      <c r="O1088" s="3"/>
      <c r="P1088" s="4" t="s">
        <v>2175</v>
      </c>
      <c r="Q1088" s="3"/>
      <c r="R1088" s="3"/>
      <c r="S1088" s="6"/>
      <c r="T1088" s="6"/>
      <c r="U1088" s="8" t="s">
        <v>2914</v>
      </c>
    </row>
    <row r="1089" ht="15.75" customHeight="1">
      <c r="A1089" s="4" t="s">
        <v>2915</v>
      </c>
      <c r="B1089" s="4" t="s">
        <v>2916</v>
      </c>
      <c r="C1089" s="4" t="s">
        <v>39</v>
      </c>
      <c r="D1089" s="6"/>
      <c r="E1089" s="3" t="str">
        <f t="shared" si="1"/>
        <v>現存</v>
      </c>
      <c r="F1089" s="3" t="s">
        <v>2917</v>
      </c>
      <c r="G1089" s="6"/>
      <c r="H1089" s="3" t="str">
        <f t="shared" si="2"/>
        <v>5,9,10</v>
      </c>
      <c r="I1089" s="3" t="s">
        <v>145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156</v>
      </c>
      <c r="O1089" s="3"/>
      <c r="P1089" s="4" t="s">
        <v>2175</v>
      </c>
      <c r="Q1089" s="3"/>
      <c r="R1089" s="3"/>
      <c r="S1089" s="6"/>
      <c r="T1089" s="6"/>
      <c r="U1089" s="6"/>
    </row>
    <row r="1090" ht="15.75" customHeight="1">
      <c r="A1090" s="4" t="s">
        <v>2918</v>
      </c>
      <c r="B1090" s="4" t="s">
        <v>2919</v>
      </c>
      <c r="C1090" s="4" t="s">
        <v>39</v>
      </c>
      <c r="D1090" s="6"/>
      <c r="E1090" s="3" t="str">
        <f t="shared" si="1"/>
        <v>現存</v>
      </c>
      <c r="F1090" s="3" t="s">
        <v>450</v>
      </c>
      <c r="G1090" s="6"/>
      <c r="H1090" s="3" t="str">
        <f t="shared" si="2"/>
        <v>5</v>
      </c>
      <c r="I1090" s="3" t="s">
        <v>107</v>
      </c>
      <c r="J1090" s="3" t="s">
        <v>135</v>
      </c>
      <c r="K1090" s="3">
        <v>2.0</v>
      </c>
      <c r="L1090" s="3">
        <v>1.0</v>
      </c>
      <c r="M1090" s="4" t="s">
        <v>43</v>
      </c>
      <c r="N1090" s="3" t="s">
        <v>156</v>
      </c>
      <c r="O1090" s="3"/>
      <c r="P1090" s="4" t="s">
        <v>2175</v>
      </c>
      <c r="Q1090" s="3"/>
      <c r="R1090" s="3"/>
      <c r="S1090" s="6"/>
      <c r="T1090" s="6"/>
      <c r="U1090" s="6"/>
    </row>
    <row r="1091" ht="15.75" customHeight="1">
      <c r="A1091" s="4" t="s">
        <v>2920</v>
      </c>
      <c r="B1091" s="4" t="s">
        <v>2921</v>
      </c>
      <c r="C1091" s="4" t="s">
        <v>39</v>
      </c>
      <c r="D1091" s="6"/>
      <c r="E1091" s="3" t="str">
        <f t="shared" si="1"/>
        <v>現存</v>
      </c>
      <c r="F1091" s="3" t="s">
        <v>171</v>
      </c>
      <c r="G1091" s="6"/>
      <c r="H1091" s="3" t="str">
        <f t="shared" si="2"/>
        <v>5,6</v>
      </c>
      <c r="I1091" s="3" t="s">
        <v>149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156</v>
      </c>
      <c r="O1091" s="3"/>
      <c r="P1091" s="4" t="s">
        <v>2175</v>
      </c>
      <c r="Q1091" s="3"/>
      <c r="R1091" s="3"/>
      <c r="S1091" s="6"/>
      <c r="T1091" s="6"/>
      <c r="U1091" s="6"/>
    </row>
    <row r="1092" ht="15.75" customHeight="1">
      <c r="A1092" s="4" t="s">
        <v>2922</v>
      </c>
      <c r="B1092" s="4" t="s">
        <v>2923</v>
      </c>
      <c r="C1092" s="4" t="s">
        <v>39</v>
      </c>
      <c r="D1092" s="6"/>
      <c r="E1092" s="3" t="str">
        <f t="shared" si="1"/>
        <v>現存</v>
      </c>
      <c r="F1092" s="3" t="s">
        <v>443</v>
      </c>
      <c r="G1092" s="6"/>
      <c r="H1092" s="3" t="str">
        <f t="shared" si="2"/>
        <v>5,6,7</v>
      </c>
      <c r="I1092" s="3" t="s">
        <v>444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156</v>
      </c>
      <c r="O1092" s="3"/>
      <c r="P1092" s="4" t="s">
        <v>2175</v>
      </c>
      <c r="Q1092" s="3"/>
      <c r="R1092" s="3"/>
      <c r="S1092" s="6"/>
      <c r="T1092" s="6"/>
      <c r="U1092" s="6"/>
    </row>
    <row r="1093" ht="15.75" customHeight="1">
      <c r="A1093" s="4" t="s">
        <v>2924</v>
      </c>
      <c r="B1093" s="4" t="s">
        <v>2925</v>
      </c>
      <c r="C1093" s="4" t="s">
        <v>39</v>
      </c>
      <c r="D1093" s="6"/>
      <c r="E1093" s="3" t="str">
        <f t="shared" si="1"/>
        <v>現存</v>
      </c>
      <c r="F1093" s="3" t="s">
        <v>1220</v>
      </c>
      <c r="G1093" s="6"/>
      <c r="H1093" s="3" t="str">
        <f t="shared" si="2"/>
        <v>6,8</v>
      </c>
      <c r="I1093" s="3" t="s">
        <v>857</v>
      </c>
      <c r="J1093" s="3" t="s">
        <v>125</v>
      </c>
      <c r="K1093" s="3">
        <v>2.0</v>
      </c>
      <c r="L1093" s="3">
        <v>1.0</v>
      </c>
      <c r="M1093" s="4" t="s">
        <v>43</v>
      </c>
      <c r="N1093" s="3" t="s">
        <v>156</v>
      </c>
      <c r="O1093" s="3"/>
      <c r="P1093" s="4" t="s">
        <v>2175</v>
      </c>
      <c r="Q1093" s="3"/>
      <c r="R1093" s="3"/>
      <c r="S1093" s="6"/>
      <c r="T1093" s="6"/>
      <c r="U1093" s="6"/>
    </row>
    <row r="1094" ht="15.75" customHeight="1">
      <c r="A1094" s="4" t="s">
        <v>2926</v>
      </c>
      <c r="B1094" s="4" t="s">
        <v>2927</v>
      </c>
      <c r="C1094" s="4" t="s">
        <v>39</v>
      </c>
      <c r="D1094" s="6"/>
      <c r="E1094" s="3" t="str">
        <f t="shared" si="1"/>
        <v>現存</v>
      </c>
      <c r="F1094" s="3" t="s">
        <v>795</v>
      </c>
      <c r="G1094" s="6"/>
      <c r="H1094" s="3" t="str">
        <f t="shared" si="2"/>
        <v>6,7,8</v>
      </c>
      <c r="I1094" s="3" t="s">
        <v>486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156</v>
      </c>
      <c r="O1094" s="3"/>
      <c r="P1094" s="4" t="s">
        <v>2175</v>
      </c>
      <c r="Q1094" s="3"/>
      <c r="R1094" s="3"/>
      <c r="S1094" s="6"/>
      <c r="T1094" s="6"/>
      <c r="U1094" s="6"/>
    </row>
    <row r="1095" ht="15.75" customHeight="1">
      <c r="A1095" s="4" t="s">
        <v>2928</v>
      </c>
      <c r="B1095" s="4" t="s">
        <v>2929</v>
      </c>
      <c r="C1095" s="4" t="s">
        <v>39</v>
      </c>
      <c r="D1095" s="6"/>
      <c r="E1095" s="3" t="str">
        <f t="shared" si="1"/>
        <v>現存</v>
      </c>
      <c r="F1095" s="3" t="s">
        <v>800</v>
      </c>
      <c r="G1095" s="6"/>
      <c r="H1095" s="3" t="str">
        <f t="shared" si="2"/>
        <v>6,8,10</v>
      </c>
      <c r="I1095" s="3" t="s">
        <v>857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156</v>
      </c>
      <c r="O1095" s="3"/>
      <c r="P1095" s="4" t="s">
        <v>2175</v>
      </c>
      <c r="Q1095" s="3"/>
      <c r="R1095" s="3"/>
      <c r="S1095" s="6"/>
      <c r="T1095" s="6"/>
      <c r="U1095" s="6"/>
    </row>
    <row r="1096" ht="15.75" customHeight="1">
      <c r="A1096" s="4" t="s">
        <v>2930</v>
      </c>
      <c r="B1096" s="4" t="s">
        <v>2931</v>
      </c>
      <c r="C1096" s="4" t="s">
        <v>39</v>
      </c>
      <c r="D1096" s="6"/>
      <c r="E1096" s="3" t="str">
        <f t="shared" si="1"/>
        <v>現存</v>
      </c>
      <c r="F1096" s="3" t="s">
        <v>972</v>
      </c>
      <c r="G1096" s="6"/>
      <c r="H1096" s="3" t="str">
        <f t="shared" si="2"/>
        <v>6,9</v>
      </c>
      <c r="I1096" s="3" t="s">
        <v>364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156</v>
      </c>
      <c r="O1096" s="3"/>
      <c r="P1096" s="4" t="s">
        <v>2175</v>
      </c>
      <c r="Q1096" s="3"/>
      <c r="R1096" s="3"/>
      <c r="S1096" s="6"/>
      <c r="T1096" s="6"/>
      <c r="U1096" s="6"/>
    </row>
    <row r="1097" ht="15.75" customHeight="1">
      <c r="A1097" s="4" t="s">
        <v>2932</v>
      </c>
      <c r="B1097" s="4" t="s">
        <v>2933</v>
      </c>
      <c r="C1097" s="4" t="s">
        <v>39</v>
      </c>
      <c r="D1097" s="6"/>
      <c r="E1097" s="3" t="str">
        <f t="shared" si="1"/>
        <v>現存</v>
      </c>
      <c r="F1097" s="3" t="s">
        <v>310</v>
      </c>
      <c r="G1097" s="6"/>
      <c r="H1097" s="3" t="str">
        <f t="shared" si="2"/>
        <v>6</v>
      </c>
      <c r="I1097" s="3" t="s">
        <v>364</v>
      </c>
      <c r="J1097" s="3" t="s">
        <v>125</v>
      </c>
      <c r="K1097" s="3">
        <v>5.0</v>
      </c>
      <c r="L1097" s="3">
        <v>2.0</v>
      </c>
      <c r="M1097" s="4" t="s">
        <v>43</v>
      </c>
      <c r="N1097" s="3" t="s">
        <v>2934</v>
      </c>
      <c r="O1097" s="3"/>
      <c r="P1097" s="4" t="s">
        <v>2175</v>
      </c>
      <c r="Q1097" s="3"/>
      <c r="R1097" s="3"/>
      <c r="S1097" s="6"/>
      <c r="T1097" s="6"/>
      <c r="U1097" s="6"/>
    </row>
    <row r="1098" ht="15.75" customHeight="1">
      <c r="A1098" s="4" t="s">
        <v>2935</v>
      </c>
      <c r="B1098" s="4" t="s">
        <v>2936</v>
      </c>
      <c r="C1098" s="4" t="s">
        <v>39</v>
      </c>
      <c r="D1098" s="6"/>
      <c r="E1098" s="3" t="str">
        <f t="shared" si="1"/>
        <v>現存</v>
      </c>
      <c r="F1098" s="3" t="s">
        <v>310</v>
      </c>
      <c r="G1098" s="6"/>
      <c r="H1098" s="3" t="str">
        <f t="shared" si="2"/>
        <v>6</v>
      </c>
      <c r="I1098" s="3" t="s">
        <v>364</v>
      </c>
      <c r="J1098" s="3" t="s">
        <v>135</v>
      </c>
      <c r="K1098" s="3">
        <v>2.0</v>
      </c>
      <c r="L1098" s="3">
        <v>1.0</v>
      </c>
      <c r="M1098" s="4" t="s">
        <v>43</v>
      </c>
      <c r="N1098" s="3" t="s">
        <v>156</v>
      </c>
      <c r="O1098" s="3"/>
      <c r="P1098" s="4" t="s">
        <v>2175</v>
      </c>
      <c r="Q1098" s="3"/>
      <c r="R1098" s="3"/>
      <c r="S1098" s="6"/>
      <c r="T1098" s="6"/>
      <c r="U1098" s="6"/>
    </row>
    <row r="1099" ht="15.75" customHeight="1">
      <c r="A1099" s="4" t="s">
        <v>2937</v>
      </c>
      <c r="B1099" s="4" t="s">
        <v>2938</v>
      </c>
      <c r="C1099" s="4" t="s">
        <v>39</v>
      </c>
      <c r="D1099" s="6"/>
      <c r="E1099" s="3" t="str">
        <f t="shared" si="1"/>
        <v>現存</v>
      </c>
      <c r="F1099" s="3" t="s">
        <v>1784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156</v>
      </c>
      <c r="O1099" s="3"/>
      <c r="P1099" s="4" t="s">
        <v>2175</v>
      </c>
      <c r="Q1099" s="3"/>
      <c r="R1099" s="3"/>
      <c r="S1099" s="6"/>
      <c r="T1099" s="6"/>
      <c r="U1099" s="6"/>
    </row>
    <row r="1100" ht="15.75" customHeight="1">
      <c r="A1100" s="4" t="s">
        <v>2939</v>
      </c>
      <c r="B1100" s="4" t="s">
        <v>2940</v>
      </c>
      <c r="C1100" s="4" t="s">
        <v>39</v>
      </c>
      <c r="D1100" s="8" t="s">
        <v>381</v>
      </c>
      <c r="E1100" s="3" t="str">
        <f t="shared" si="1"/>
        <v>不收錄</v>
      </c>
      <c r="F1100" s="3" t="s">
        <v>1784</v>
      </c>
      <c r="G1100" s="6"/>
      <c r="H1100" s="3" t="str">
        <f t="shared" si="2"/>
        <v>7,10</v>
      </c>
      <c r="I1100" s="3" t="s">
        <v>797</v>
      </c>
      <c r="J1100" s="3" t="s">
        <v>98</v>
      </c>
      <c r="K1100" s="3">
        <v>3.0</v>
      </c>
      <c r="L1100" s="3">
        <v>1.0</v>
      </c>
      <c r="M1100" s="9" t="s">
        <v>236</v>
      </c>
      <c r="N1100" s="3" t="s">
        <v>156</v>
      </c>
      <c r="O1100" s="3"/>
      <c r="P1100" s="4" t="s">
        <v>2175</v>
      </c>
      <c r="Q1100" s="3"/>
      <c r="R1100" s="3"/>
      <c r="S1100" s="6"/>
      <c r="T1100" s="6"/>
      <c r="U1100" s="6"/>
    </row>
    <row r="1101" ht="15.75" customHeight="1">
      <c r="A1101" s="4" t="s">
        <v>2941</v>
      </c>
      <c r="B1101" s="4" t="s">
        <v>2942</v>
      </c>
      <c r="C1101" s="4" t="s">
        <v>39</v>
      </c>
      <c r="D1101" s="8" t="s">
        <v>381</v>
      </c>
      <c r="E1101" s="3" t="str">
        <f t="shared" si="1"/>
        <v>不收錄</v>
      </c>
      <c r="F1101" s="3" t="s">
        <v>314</v>
      </c>
      <c r="G1101" s="6"/>
      <c r="H1101" s="3" t="str">
        <f t="shared" si="2"/>
        <v>7</v>
      </c>
      <c r="I1101" s="3" t="s">
        <v>1906</v>
      </c>
      <c r="J1101" s="3" t="s">
        <v>42</v>
      </c>
      <c r="K1101" s="3">
        <v>1.0</v>
      </c>
      <c r="L1101" s="3">
        <v>1.0</v>
      </c>
      <c r="M1101" s="9" t="s">
        <v>236</v>
      </c>
      <c r="N1101" s="3" t="s">
        <v>156</v>
      </c>
      <c r="O1101" s="3"/>
      <c r="P1101" s="4" t="s">
        <v>2175</v>
      </c>
      <c r="Q1101" s="3"/>
      <c r="R1101" s="3"/>
      <c r="S1101" s="6"/>
      <c r="T1101" s="6"/>
      <c r="U1101" s="6"/>
    </row>
    <row r="1102" ht="15.75" customHeight="1">
      <c r="A1102" s="4" t="s">
        <v>2943</v>
      </c>
      <c r="B1102" s="4" t="s">
        <v>2944</v>
      </c>
      <c r="C1102" s="4" t="s">
        <v>39</v>
      </c>
      <c r="D1102" s="6"/>
      <c r="E1102" s="3" t="str">
        <f t="shared" si="1"/>
        <v>現存</v>
      </c>
      <c r="F1102" s="3" t="s">
        <v>314</v>
      </c>
      <c r="G1102" s="6"/>
      <c r="H1102" s="3" t="str">
        <f t="shared" si="2"/>
        <v>7</v>
      </c>
      <c r="I1102" s="3" t="s">
        <v>1933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156</v>
      </c>
      <c r="O1102" s="3"/>
      <c r="P1102" s="4" t="s">
        <v>2175</v>
      </c>
      <c r="Q1102" s="3"/>
      <c r="R1102" s="3"/>
      <c r="S1102" s="6"/>
      <c r="T1102" s="6"/>
      <c r="U1102" s="6"/>
    </row>
    <row r="1103" ht="15.75" customHeight="1">
      <c r="A1103" s="4" t="s">
        <v>2945</v>
      </c>
      <c r="B1103" s="9" t="s">
        <v>2838</v>
      </c>
      <c r="C1103" s="4" t="s">
        <v>39</v>
      </c>
      <c r="D1103" s="8" t="s">
        <v>381</v>
      </c>
      <c r="E1103" s="3" t="str">
        <f t="shared" si="1"/>
        <v>不收錄</v>
      </c>
      <c r="F1103" s="3" t="s">
        <v>314</v>
      </c>
      <c r="G1103" s="6"/>
      <c r="H1103" s="3" t="str">
        <f t="shared" si="2"/>
        <v>7</v>
      </c>
      <c r="I1103" s="3" t="s">
        <v>2946</v>
      </c>
      <c r="J1103" s="3" t="s">
        <v>181</v>
      </c>
      <c r="K1103" s="3">
        <v>1.0</v>
      </c>
      <c r="L1103" s="3">
        <v>1.0</v>
      </c>
      <c r="M1103" s="4" t="s">
        <v>43</v>
      </c>
      <c r="N1103" s="3" t="s">
        <v>156</v>
      </c>
      <c r="O1103" s="3"/>
      <c r="P1103" s="4" t="s">
        <v>2175</v>
      </c>
      <c r="Q1103" s="3"/>
      <c r="R1103" s="3"/>
      <c r="S1103" s="6"/>
      <c r="T1103" s="6"/>
      <c r="U1103" s="6"/>
    </row>
    <row r="1104" ht="15.75" customHeight="1">
      <c r="A1104" s="4" t="s">
        <v>2947</v>
      </c>
      <c r="B1104" s="4" t="s">
        <v>2948</v>
      </c>
      <c r="C1104" s="4" t="s">
        <v>39</v>
      </c>
      <c r="D1104" s="6"/>
      <c r="E1104" s="3" t="str">
        <f t="shared" si="1"/>
        <v>現存</v>
      </c>
      <c r="F1104" s="3" t="s">
        <v>179</v>
      </c>
      <c r="G1104" s="6"/>
      <c r="H1104" s="3" t="str">
        <f t="shared" si="2"/>
        <v>8</v>
      </c>
      <c r="I1104" s="3" t="s">
        <v>481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156</v>
      </c>
      <c r="O1104" s="3"/>
      <c r="P1104" s="4" t="s">
        <v>2175</v>
      </c>
      <c r="Q1104" s="3"/>
      <c r="R1104" s="3"/>
      <c r="S1104" s="6"/>
      <c r="T1104" s="6"/>
      <c r="U1104" s="6"/>
    </row>
    <row r="1105" ht="15.75" customHeight="1">
      <c r="A1105" s="4" t="s">
        <v>2949</v>
      </c>
      <c r="B1105" s="4" t="s">
        <v>2950</v>
      </c>
      <c r="C1105" s="4" t="s">
        <v>39</v>
      </c>
      <c r="D1105" s="6"/>
      <c r="E1105" s="3" t="str">
        <f t="shared" si="1"/>
        <v>現存</v>
      </c>
      <c r="F1105" s="3" t="s">
        <v>1392</v>
      </c>
      <c r="G1105" s="6"/>
      <c r="H1105" s="3" t="str">
        <f t="shared" si="2"/>
        <v>10,11,12</v>
      </c>
      <c r="I1105" s="3" t="s">
        <v>617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156</v>
      </c>
      <c r="O1105" s="3"/>
      <c r="P1105" s="4" t="s">
        <v>2175</v>
      </c>
      <c r="Q1105" s="3"/>
      <c r="R1105" s="3"/>
      <c r="S1105" s="6"/>
      <c r="T1105" s="6"/>
      <c r="U1105" s="6"/>
    </row>
    <row r="1106" ht="15.75" customHeight="1">
      <c r="A1106" s="4" t="s">
        <v>2951</v>
      </c>
      <c r="B1106" s="4" t="s">
        <v>2952</v>
      </c>
      <c r="C1106" s="4" t="s">
        <v>39</v>
      </c>
      <c r="D1106" s="6"/>
      <c r="E1106" s="3" t="str">
        <f t="shared" si="1"/>
        <v>現存</v>
      </c>
      <c r="F1106" s="3" t="s">
        <v>508</v>
      </c>
      <c r="G1106" s="6"/>
      <c r="H1106" s="3" t="str">
        <f t="shared" si="2"/>
        <v>10,12</v>
      </c>
      <c r="I1106" s="3" t="s">
        <v>2953</v>
      </c>
      <c r="J1106" s="3" t="s">
        <v>181</v>
      </c>
      <c r="K1106" s="3">
        <v>2.0</v>
      </c>
      <c r="L1106" s="3">
        <v>1.0</v>
      </c>
      <c r="M1106" s="4" t="s">
        <v>43</v>
      </c>
      <c r="N1106" s="3" t="s">
        <v>156</v>
      </c>
      <c r="O1106" s="3"/>
      <c r="P1106" s="4" t="s">
        <v>2175</v>
      </c>
      <c r="Q1106" s="3"/>
      <c r="R1106" s="3"/>
      <c r="S1106" s="6"/>
      <c r="T1106" s="6"/>
      <c r="U1106" s="6"/>
    </row>
    <row r="1107" ht="15.75" customHeight="1">
      <c r="A1107" s="4" t="s">
        <v>2954</v>
      </c>
      <c r="B1107" s="4" t="s">
        <v>2955</v>
      </c>
      <c r="C1107" s="4" t="s">
        <v>39</v>
      </c>
      <c r="D1107" s="6"/>
      <c r="E1107" s="3" t="str">
        <f t="shared" si="1"/>
        <v>現存</v>
      </c>
      <c r="F1107" s="3" t="s">
        <v>515</v>
      </c>
      <c r="G1107" s="6"/>
      <c r="H1107" s="3" t="str">
        <f t="shared" si="2"/>
        <v>11</v>
      </c>
      <c r="I1107" s="3" t="s">
        <v>1270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156</v>
      </c>
      <c r="O1107" s="3"/>
      <c r="P1107" s="4" t="s">
        <v>2175</v>
      </c>
      <c r="Q1107" s="3"/>
      <c r="R1107" s="3"/>
      <c r="S1107" s="6"/>
      <c r="T1107" s="6"/>
      <c r="U1107" s="6"/>
    </row>
    <row r="1108" ht="15.75" customHeight="1">
      <c r="A1108" s="4" t="s">
        <v>2956</v>
      </c>
      <c r="B1108" s="4" t="s">
        <v>2957</v>
      </c>
      <c r="C1108" s="4" t="s">
        <v>39</v>
      </c>
      <c r="D1108" s="6"/>
      <c r="E1108" s="3" t="str">
        <f t="shared" si="1"/>
        <v>現存</v>
      </c>
      <c r="F1108" s="3" t="s">
        <v>515</v>
      </c>
      <c r="G1108" s="6"/>
      <c r="H1108" s="3" t="str">
        <f t="shared" si="2"/>
        <v>11</v>
      </c>
      <c r="I1108" s="3" t="s">
        <v>1072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156</v>
      </c>
      <c r="O1108" s="3"/>
      <c r="P1108" s="4" t="s">
        <v>2175</v>
      </c>
      <c r="Q1108" s="3"/>
      <c r="R1108" s="3"/>
      <c r="S1108" s="6"/>
      <c r="T1108" s="6"/>
      <c r="U1108" s="6"/>
    </row>
    <row r="1109" ht="15.75" customHeight="1">
      <c r="A1109" s="4" t="s">
        <v>2958</v>
      </c>
      <c r="B1109" s="4" t="s">
        <v>2959</v>
      </c>
      <c r="C1109" s="4" t="s">
        <v>39</v>
      </c>
      <c r="D1109" s="6"/>
      <c r="E1109" s="3" t="str">
        <f t="shared" si="1"/>
        <v>現存</v>
      </c>
      <c r="F1109" s="3" t="s">
        <v>2960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236</v>
      </c>
      <c r="N1109" s="3"/>
      <c r="O1109" s="3"/>
      <c r="P1109" s="4" t="s">
        <v>548</v>
      </c>
      <c r="Q1109" s="3"/>
      <c r="R1109" s="3"/>
      <c r="S1109" s="6"/>
      <c r="T1109" s="6"/>
      <c r="U1109" s="6"/>
    </row>
    <row r="1110" ht="15.75" customHeight="1">
      <c r="A1110" s="4" t="s">
        <v>2961</v>
      </c>
      <c r="B1110" s="4" t="s">
        <v>2962</v>
      </c>
      <c r="C1110" s="4" t="s">
        <v>39</v>
      </c>
      <c r="D1110" s="6"/>
      <c r="E1110" s="3" t="str">
        <f t="shared" si="1"/>
        <v>現存</v>
      </c>
      <c r="F1110" s="3" t="s">
        <v>2963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548</v>
      </c>
      <c r="Q1110" s="3"/>
      <c r="R1110" s="3"/>
      <c r="S1110" s="6"/>
      <c r="T1110" s="6"/>
      <c r="U1110" s="6"/>
    </row>
    <row r="1111" ht="15.75" customHeight="1">
      <c r="A1111" s="4" t="s">
        <v>2964</v>
      </c>
      <c r="B1111" s="4" t="s">
        <v>2965</v>
      </c>
      <c r="C1111" s="4" t="s">
        <v>39</v>
      </c>
      <c r="D1111" s="6"/>
      <c r="E1111" s="3" t="str">
        <f t="shared" si="1"/>
        <v>現存</v>
      </c>
      <c r="F1111" s="3" t="s">
        <v>2966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2967</v>
      </c>
      <c r="O1111" s="3"/>
      <c r="P1111" s="4" t="s">
        <v>548</v>
      </c>
      <c r="Q1111" s="3"/>
      <c r="R1111" s="3"/>
      <c r="S1111" s="6"/>
      <c r="T1111" s="6"/>
      <c r="U1111" s="6"/>
    </row>
    <row r="1112" ht="15.75" customHeight="1">
      <c r="A1112" s="4" t="s">
        <v>2968</v>
      </c>
      <c r="B1112" s="4" t="s">
        <v>2969</v>
      </c>
      <c r="C1112" s="4" t="s">
        <v>39</v>
      </c>
      <c r="D1112" s="6"/>
      <c r="E1112" s="3" t="str">
        <f t="shared" si="1"/>
        <v>現存</v>
      </c>
      <c r="F1112" s="3" t="s">
        <v>1110</v>
      </c>
      <c r="G1112" s="6"/>
      <c r="H1112" s="3" t="str">
        <f t="shared" si="2"/>
        <v>1,2,11,12</v>
      </c>
      <c r="I1112" s="3" t="s">
        <v>212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2970</v>
      </c>
      <c r="O1112" s="3"/>
      <c r="P1112" s="4" t="s">
        <v>548</v>
      </c>
      <c r="Q1112" s="3"/>
      <c r="R1112" s="3"/>
      <c r="S1112" s="6"/>
      <c r="T1112" s="6"/>
      <c r="U1112" s="6"/>
    </row>
    <row r="1113" ht="15.75" customHeight="1">
      <c r="A1113" s="4" t="s">
        <v>2971</v>
      </c>
      <c r="B1113" s="4" t="s">
        <v>2972</v>
      </c>
      <c r="C1113" s="4" t="s">
        <v>39</v>
      </c>
      <c r="D1113" s="6"/>
      <c r="E1113" s="3" t="str">
        <f t="shared" si="1"/>
        <v>現存</v>
      </c>
      <c r="F1113" s="3" t="s">
        <v>911</v>
      </c>
      <c r="G1113" s="6"/>
      <c r="H1113" s="3" t="str">
        <f t="shared" si="2"/>
        <v>1,12</v>
      </c>
      <c r="I1113" s="3" t="s">
        <v>338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548</v>
      </c>
      <c r="Q1113" s="3"/>
      <c r="R1113" s="3"/>
      <c r="S1113" s="6"/>
      <c r="T1113" s="6"/>
      <c r="U1113" s="6"/>
    </row>
    <row r="1114" ht="15.75" customHeight="1">
      <c r="A1114" s="4" t="s">
        <v>2973</v>
      </c>
      <c r="B1114" s="4" t="s">
        <v>2974</v>
      </c>
      <c r="C1114" s="4" t="s">
        <v>39</v>
      </c>
      <c r="D1114" s="6"/>
      <c r="E1114" s="3" t="str">
        <f t="shared" si="1"/>
        <v>現存</v>
      </c>
      <c r="F1114" s="3" t="s">
        <v>192</v>
      </c>
      <c r="G1114" s="6"/>
      <c r="H1114" s="3" t="str">
        <f t="shared" si="2"/>
        <v>1,11,12</v>
      </c>
      <c r="I1114" s="3" t="s">
        <v>49</v>
      </c>
      <c r="J1114" s="3" t="s">
        <v>125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548</v>
      </c>
      <c r="Q1114" s="3"/>
      <c r="R1114" s="3"/>
      <c r="S1114" s="6"/>
      <c r="T1114" s="6"/>
      <c r="U1114" s="6"/>
    </row>
    <row r="1115" ht="15.75" customHeight="1">
      <c r="A1115" s="4" t="s">
        <v>2975</v>
      </c>
      <c r="B1115" s="4" t="s">
        <v>2976</v>
      </c>
      <c r="C1115" s="4" t="s">
        <v>39</v>
      </c>
      <c r="D1115" s="6"/>
      <c r="E1115" s="3" t="str">
        <f t="shared" si="1"/>
        <v>現存</v>
      </c>
      <c r="F1115" s="3" t="s">
        <v>2977</v>
      </c>
      <c r="G1115" s="8" t="s">
        <v>2978</v>
      </c>
      <c r="H1115" s="3" t="str">
        <f t="shared" si="2"/>
        <v>1,2,3,4,5,6,7,8,9,10,11,12</v>
      </c>
      <c r="I1115" s="3" t="s">
        <v>303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548</v>
      </c>
      <c r="Q1115" s="3"/>
      <c r="R1115" s="3"/>
      <c r="S1115" s="6"/>
      <c r="T1115" s="6"/>
      <c r="U1115" s="6"/>
    </row>
    <row r="1116" ht="15.75" customHeight="1">
      <c r="A1116" s="4" t="s">
        <v>2979</v>
      </c>
      <c r="B1116" s="4" t="s">
        <v>2980</v>
      </c>
      <c r="C1116" s="4" t="s">
        <v>39</v>
      </c>
      <c r="D1116" s="6"/>
      <c r="E1116" s="3" t="str">
        <f t="shared" si="1"/>
        <v>現存</v>
      </c>
      <c r="F1116" s="3" t="s">
        <v>2981</v>
      </c>
      <c r="G1116" s="6"/>
      <c r="H1116" s="3" t="str">
        <f t="shared" si="2"/>
        <v>1,3,6,7,8,12</v>
      </c>
      <c r="I1116" s="3" t="s">
        <v>486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548</v>
      </c>
      <c r="Q1116" s="3"/>
      <c r="R1116" s="3"/>
      <c r="S1116" s="6"/>
      <c r="T1116" s="6"/>
      <c r="U1116" s="6"/>
    </row>
    <row r="1117" ht="15.75" customHeight="1">
      <c r="A1117" s="4" t="s">
        <v>2982</v>
      </c>
      <c r="B1117" s="4" t="s">
        <v>2983</v>
      </c>
      <c r="C1117" s="4" t="s">
        <v>39</v>
      </c>
      <c r="D1117" s="6"/>
      <c r="E1117" s="3" t="str">
        <f t="shared" si="1"/>
        <v>現存</v>
      </c>
      <c r="F1117" s="3" t="s">
        <v>130</v>
      </c>
      <c r="G1117" s="6"/>
      <c r="H1117" s="3" t="str">
        <f t="shared" si="2"/>
        <v>1</v>
      </c>
      <c r="I1117" s="3" t="s">
        <v>2442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548</v>
      </c>
      <c r="Q1117" s="3"/>
      <c r="R1117" s="3"/>
      <c r="S1117" s="6"/>
      <c r="T1117" s="6"/>
      <c r="U1117" s="6"/>
    </row>
    <row r="1118" ht="15.75" customHeight="1">
      <c r="A1118" s="4" t="s">
        <v>2984</v>
      </c>
      <c r="B1118" s="4" t="s">
        <v>2985</v>
      </c>
      <c r="C1118" s="4" t="s">
        <v>39</v>
      </c>
      <c r="D1118" s="6"/>
      <c r="E1118" s="3" t="str">
        <f t="shared" si="1"/>
        <v>現存</v>
      </c>
      <c r="F1118" s="3" t="s">
        <v>1110</v>
      </c>
      <c r="G1118" s="6"/>
      <c r="H1118" s="3" t="str">
        <f t="shared" si="2"/>
        <v>1,2,11,12</v>
      </c>
      <c r="I1118" s="3" t="s">
        <v>338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548</v>
      </c>
      <c r="Q1118" s="3"/>
      <c r="R1118" s="3"/>
      <c r="S1118" s="6"/>
      <c r="T1118" s="6"/>
      <c r="U1118" s="6"/>
    </row>
    <row r="1119" ht="15.75" customHeight="1">
      <c r="A1119" s="4" t="s">
        <v>2986</v>
      </c>
      <c r="B1119" s="4" t="s">
        <v>2987</v>
      </c>
      <c r="C1119" s="4" t="s">
        <v>39</v>
      </c>
      <c r="D1119" s="6"/>
      <c r="E1119" s="3" t="str">
        <f t="shared" si="1"/>
        <v>現存</v>
      </c>
      <c r="F1119" s="3" t="s">
        <v>872</v>
      </c>
      <c r="G1119" s="6"/>
      <c r="H1119" s="3" t="str">
        <f t="shared" si="2"/>
        <v>6,7,8,9,10</v>
      </c>
      <c r="I1119" s="3" t="s">
        <v>364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548</v>
      </c>
      <c r="Q1119" s="3"/>
      <c r="R1119" s="3"/>
      <c r="S1119" s="6"/>
      <c r="T1119" s="6"/>
      <c r="U1119" s="6"/>
    </row>
    <row r="1120" ht="15.75" customHeight="1">
      <c r="A1120" s="4" t="s">
        <v>2988</v>
      </c>
      <c r="B1120" s="4" t="s">
        <v>2989</v>
      </c>
      <c r="C1120" s="4" t="s">
        <v>39</v>
      </c>
      <c r="D1120" s="6"/>
      <c r="E1120" s="3" t="str">
        <f t="shared" si="1"/>
        <v>現存</v>
      </c>
      <c r="F1120" s="3" t="s">
        <v>795</v>
      </c>
      <c r="G1120" s="6"/>
      <c r="H1120" s="3" t="str">
        <f t="shared" si="2"/>
        <v>6,7,8</v>
      </c>
      <c r="I1120" s="3" t="s">
        <v>1865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548</v>
      </c>
      <c r="Q1120" s="3"/>
      <c r="R1120" s="3"/>
      <c r="S1120" s="6"/>
      <c r="T1120" s="6"/>
      <c r="U1120" s="6"/>
    </row>
    <row r="1121" ht="15.75" customHeight="1">
      <c r="A1121" s="4" t="s">
        <v>2990</v>
      </c>
      <c r="B1121" s="4" t="s">
        <v>2991</v>
      </c>
      <c r="C1121" s="4" t="s">
        <v>39</v>
      </c>
      <c r="D1121" s="6"/>
      <c r="E1121" s="3" t="str">
        <f t="shared" si="1"/>
        <v>現存</v>
      </c>
      <c r="F1121" s="3" t="s">
        <v>310</v>
      </c>
      <c r="G1121" s="6"/>
      <c r="H1121" s="3" t="str">
        <f t="shared" si="2"/>
        <v>6</v>
      </c>
      <c r="I1121" s="3" t="s">
        <v>585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548</v>
      </c>
      <c r="Q1121" s="3"/>
      <c r="R1121" s="3"/>
      <c r="S1121" s="6"/>
      <c r="T1121" s="6"/>
      <c r="U1121" s="6"/>
    </row>
    <row r="1122" ht="15.75" customHeight="1">
      <c r="A1122" s="4" t="s">
        <v>2992</v>
      </c>
      <c r="B1122" s="9" t="s">
        <v>2993</v>
      </c>
      <c r="C1122" s="4" t="s">
        <v>39</v>
      </c>
      <c r="D1122" s="8" t="s">
        <v>381</v>
      </c>
      <c r="E1122" s="3" t="str">
        <f t="shared" si="1"/>
        <v>不收錄</v>
      </c>
      <c r="F1122" s="3" t="s">
        <v>314</v>
      </c>
      <c r="G1122" s="6"/>
      <c r="H1122" s="3" t="str">
        <f t="shared" si="2"/>
        <v>7</v>
      </c>
      <c r="I1122" s="3" t="s">
        <v>74</v>
      </c>
      <c r="J1122" s="3" t="s">
        <v>135</v>
      </c>
      <c r="K1122" s="3">
        <v>1.0</v>
      </c>
      <c r="L1122" s="3">
        <v>0.0</v>
      </c>
      <c r="M1122" s="4" t="s">
        <v>236</v>
      </c>
      <c r="N1122" s="3"/>
      <c r="O1122" s="3"/>
      <c r="P1122" s="4" t="s">
        <v>548</v>
      </c>
      <c r="Q1122" s="3"/>
      <c r="R1122" s="3"/>
      <c r="S1122" s="6"/>
      <c r="T1122" s="6"/>
      <c r="U1122" s="6"/>
    </row>
    <row r="1123" ht="15.75" customHeight="1">
      <c r="A1123" s="4" t="s">
        <v>2994</v>
      </c>
      <c r="B1123" s="4" t="s">
        <v>2995</v>
      </c>
      <c r="C1123" s="4" t="s">
        <v>39</v>
      </c>
      <c r="D1123" s="6"/>
      <c r="E1123" s="3" t="str">
        <f t="shared" si="1"/>
        <v>現存</v>
      </c>
      <c r="F1123" s="3" t="s">
        <v>2996</v>
      </c>
      <c r="G1123" s="6"/>
      <c r="H1123" s="3" t="str">
        <f t="shared" si="2"/>
        <v>7,9,10,12</v>
      </c>
      <c r="I1123" s="3" t="s">
        <v>1217</v>
      </c>
      <c r="J1123" s="3" t="s">
        <v>912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548</v>
      </c>
      <c r="Q1123" s="3"/>
      <c r="R1123" s="3"/>
      <c r="S1123" s="6"/>
      <c r="T1123" s="6"/>
      <c r="U1123" s="6"/>
    </row>
    <row r="1124" ht="15.75" customHeight="1">
      <c r="A1124" s="4" t="s">
        <v>2997</v>
      </c>
      <c r="B1124" s="4" t="s">
        <v>2998</v>
      </c>
      <c r="C1124" s="4" t="s">
        <v>39</v>
      </c>
      <c r="D1124" s="6"/>
      <c r="E1124" s="3" t="str">
        <f t="shared" si="1"/>
        <v>現存</v>
      </c>
      <c r="F1124" s="3" t="s">
        <v>1200</v>
      </c>
      <c r="G1124" s="6"/>
      <c r="H1124" s="3" t="str">
        <f t="shared" si="2"/>
        <v>6,7,8,9</v>
      </c>
      <c r="I1124" s="3" t="s">
        <v>386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548</v>
      </c>
      <c r="Q1124" s="3"/>
      <c r="R1124" s="3"/>
      <c r="S1124" s="6"/>
      <c r="T1124" s="6"/>
      <c r="U1124" s="6"/>
    </row>
    <row r="1125" ht="15.75" customHeight="1">
      <c r="A1125" s="4" t="s">
        <v>2999</v>
      </c>
      <c r="B1125" s="4" t="s">
        <v>3000</v>
      </c>
      <c r="C1125" s="4" t="s">
        <v>39</v>
      </c>
      <c r="D1125" s="6"/>
      <c r="E1125" s="3" t="str">
        <f t="shared" si="1"/>
        <v>現存</v>
      </c>
      <c r="F1125" s="3" t="s">
        <v>179</v>
      </c>
      <c r="G1125" s="6"/>
      <c r="H1125" s="3" t="str">
        <f t="shared" si="2"/>
        <v>8</v>
      </c>
      <c r="I1125" s="3" t="s">
        <v>481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548</v>
      </c>
      <c r="Q1125" s="3"/>
      <c r="R1125" s="3"/>
      <c r="S1125" s="6"/>
      <c r="T1125" s="6"/>
      <c r="U1125" s="6"/>
    </row>
    <row r="1126" ht="15.75" customHeight="1">
      <c r="A1126" s="4" t="s">
        <v>3001</v>
      </c>
      <c r="B1126" s="4" t="s">
        <v>3002</v>
      </c>
      <c r="C1126" s="4" t="s">
        <v>39</v>
      </c>
      <c r="D1126" s="6"/>
      <c r="E1126" s="3" t="str">
        <f t="shared" si="1"/>
        <v>現存</v>
      </c>
      <c r="F1126" s="3" t="s">
        <v>179</v>
      </c>
      <c r="G1126" s="6"/>
      <c r="H1126" s="3" t="str">
        <f t="shared" si="2"/>
        <v>8</v>
      </c>
      <c r="I1126" s="3" t="s">
        <v>481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548</v>
      </c>
      <c r="Q1126" s="3"/>
      <c r="R1126" s="3"/>
      <c r="S1126" s="6"/>
      <c r="T1126" s="6"/>
      <c r="U1126" s="6"/>
    </row>
    <row r="1127" ht="15.75" customHeight="1">
      <c r="A1127" s="4" t="s">
        <v>3003</v>
      </c>
      <c r="B1127" s="4" t="s">
        <v>3004</v>
      </c>
      <c r="C1127" s="4" t="s">
        <v>39</v>
      </c>
      <c r="D1127" s="6"/>
      <c r="E1127" s="3" t="str">
        <f t="shared" si="1"/>
        <v>現存</v>
      </c>
      <c r="F1127" s="3" t="s">
        <v>179</v>
      </c>
      <c r="G1127" s="6"/>
      <c r="H1127" s="3" t="str">
        <f t="shared" si="2"/>
        <v>8</v>
      </c>
      <c r="I1127" s="3" t="s">
        <v>386</v>
      </c>
      <c r="J1127" s="3" t="s">
        <v>135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548</v>
      </c>
      <c r="Q1127" s="3"/>
      <c r="R1127" s="3"/>
      <c r="S1127" s="6"/>
      <c r="T1127" s="6"/>
      <c r="U1127" s="6"/>
    </row>
    <row r="1128" ht="15.75" customHeight="1">
      <c r="A1128" s="4" t="s">
        <v>3005</v>
      </c>
      <c r="B1128" s="4" t="s">
        <v>3006</v>
      </c>
      <c r="C1128" s="4" t="s">
        <v>170</v>
      </c>
      <c r="D1128" s="8" t="s">
        <v>39</v>
      </c>
      <c r="E1128" s="3" t="str">
        <f t="shared" si="1"/>
        <v>現存</v>
      </c>
      <c r="F1128" s="3" t="s">
        <v>130</v>
      </c>
      <c r="G1128" s="6"/>
      <c r="H1128" s="3" t="str">
        <f t="shared" si="2"/>
        <v>1</v>
      </c>
      <c r="I1128" s="3" t="s">
        <v>918</v>
      </c>
      <c r="J1128" s="3" t="s">
        <v>42</v>
      </c>
      <c r="K1128" s="3">
        <v>1.0</v>
      </c>
      <c r="L1128" s="3">
        <v>0.0</v>
      </c>
      <c r="M1128" s="4" t="s">
        <v>236</v>
      </c>
      <c r="N1128" s="3"/>
      <c r="O1128" s="3"/>
      <c r="P1128" s="4" t="s">
        <v>548</v>
      </c>
      <c r="Q1128" s="3"/>
      <c r="R1128" s="3"/>
      <c r="S1128" s="6"/>
      <c r="T1128" s="6"/>
      <c r="U1128" s="6"/>
    </row>
    <row r="1129" ht="15.75" customHeight="1">
      <c r="A1129" s="4" t="s">
        <v>3007</v>
      </c>
      <c r="B1129" s="4" t="s">
        <v>3008</v>
      </c>
      <c r="C1129" s="4" t="s">
        <v>170</v>
      </c>
      <c r="D1129" s="8" t="s">
        <v>39</v>
      </c>
      <c r="E1129" s="3" t="str">
        <f t="shared" si="1"/>
        <v>現存</v>
      </c>
      <c r="F1129" s="3" t="s">
        <v>179</v>
      </c>
      <c r="G1129" s="6"/>
      <c r="H1129" s="3" t="str">
        <f t="shared" si="2"/>
        <v>8</v>
      </c>
      <c r="I1129" s="3" t="s">
        <v>592</v>
      </c>
      <c r="J1129" s="3" t="s">
        <v>42</v>
      </c>
      <c r="K1129" s="3">
        <v>1.0</v>
      </c>
      <c r="L1129" s="3">
        <v>0.0</v>
      </c>
      <c r="M1129" s="4" t="s">
        <v>236</v>
      </c>
      <c r="N1129" s="3"/>
      <c r="O1129" s="3"/>
      <c r="P1129" s="4" t="s">
        <v>548</v>
      </c>
      <c r="Q1129" s="3"/>
      <c r="R1129" s="3"/>
      <c r="S1129" s="6"/>
      <c r="T1129" s="6"/>
      <c r="U1129" s="6"/>
    </row>
    <row r="1130" ht="15.75" customHeight="1">
      <c r="A1130" s="4" t="s">
        <v>3009</v>
      </c>
      <c r="B1130" s="4" t="s">
        <v>3010</v>
      </c>
      <c r="C1130" s="4" t="s">
        <v>39</v>
      </c>
      <c r="D1130" s="6"/>
      <c r="E1130" s="3" t="str">
        <f t="shared" si="1"/>
        <v>現存</v>
      </c>
      <c r="F1130" s="3" t="s">
        <v>179</v>
      </c>
      <c r="G1130" s="6"/>
      <c r="H1130" s="3" t="str">
        <f t="shared" si="2"/>
        <v>8</v>
      </c>
      <c r="I1130" s="3" t="s">
        <v>481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548</v>
      </c>
      <c r="Q1130" s="3"/>
      <c r="R1130" s="3"/>
      <c r="S1130" s="6"/>
      <c r="T1130" s="6"/>
      <c r="U1130" s="6"/>
    </row>
    <row r="1131" ht="15.75" customHeight="1">
      <c r="A1131" s="4" t="s">
        <v>3011</v>
      </c>
      <c r="B1131" s="4" t="s">
        <v>3012</v>
      </c>
      <c r="C1131" s="4" t="s">
        <v>39</v>
      </c>
      <c r="D1131" s="8" t="s">
        <v>381</v>
      </c>
      <c r="E1131" s="3" t="str">
        <f t="shared" si="1"/>
        <v>不收錄</v>
      </c>
      <c r="F1131" s="3" t="s">
        <v>179</v>
      </c>
      <c r="G1131" s="6"/>
      <c r="H1131" s="3" t="str">
        <f t="shared" si="2"/>
        <v>8</v>
      </c>
      <c r="I1131" s="3" t="s">
        <v>271</v>
      </c>
      <c r="J1131" s="3" t="s">
        <v>135</v>
      </c>
      <c r="K1131" s="3">
        <v>7.0</v>
      </c>
      <c r="L1131" s="3">
        <v>0.0</v>
      </c>
      <c r="M1131" s="4" t="s">
        <v>236</v>
      </c>
      <c r="N1131" s="3"/>
      <c r="O1131" s="3"/>
      <c r="P1131" s="4" t="s">
        <v>548</v>
      </c>
      <c r="Q1131" s="3"/>
      <c r="R1131" s="3"/>
      <c r="S1131" s="6"/>
      <c r="T1131" s="6"/>
      <c r="U1131" s="6"/>
    </row>
    <row r="1132" ht="15.75" customHeight="1">
      <c r="A1132" s="4" t="s">
        <v>3013</v>
      </c>
      <c r="B1132" s="4" t="s">
        <v>3014</v>
      </c>
      <c r="C1132" s="4" t="s">
        <v>39</v>
      </c>
      <c r="D1132" s="6"/>
      <c r="E1132" s="3" t="str">
        <f t="shared" si="1"/>
        <v>現存</v>
      </c>
      <c r="F1132" s="3" t="s">
        <v>1371</v>
      </c>
      <c r="G1132" s="6"/>
      <c r="H1132" s="3" t="str">
        <f t="shared" si="2"/>
        <v>8,12</v>
      </c>
      <c r="I1132" s="3" t="s">
        <v>1399</v>
      </c>
      <c r="J1132" s="3" t="s">
        <v>181</v>
      </c>
      <c r="K1132" s="3">
        <v>2.0</v>
      </c>
      <c r="L1132" s="3">
        <v>1.0</v>
      </c>
      <c r="M1132" s="9" t="s">
        <v>236</v>
      </c>
      <c r="N1132" s="3" t="s">
        <v>44</v>
      </c>
      <c r="O1132" s="3"/>
      <c r="P1132" s="4" t="s">
        <v>548</v>
      </c>
      <c r="Q1132" s="3"/>
      <c r="R1132" s="3"/>
      <c r="S1132" s="6"/>
      <c r="T1132" s="6"/>
      <c r="U1132" s="6"/>
    </row>
    <row r="1133" ht="15.75" customHeight="1">
      <c r="A1133" s="4" t="s">
        <v>3015</v>
      </c>
      <c r="B1133" s="4" t="s">
        <v>3016</v>
      </c>
      <c r="C1133" s="4" t="s">
        <v>39</v>
      </c>
      <c r="D1133" s="6"/>
      <c r="E1133" s="3" t="str">
        <f t="shared" si="1"/>
        <v>現存</v>
      </c>
      <c r="F1133" s="3" t="s">
        <v>3017</v>
      </c>
      <c r="G1133" s="6"/>
      <c r="H1133" s="3" t="str">
        <f t="shared" si="2"/>
        <v>8,9,10,11</v>
      </c>
      <c r="I1133" s="3" t="s">
        <v>303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548</v>
      </c>
      <c r="Q1133" s="3"/>
      <c r="R1133" s="3"/>
      <c r="S1133" s="6"/>
      <c r="T1133" s="6"/>
      <c r="U1133" s="6"/>
    </row>
    <row r="1134" ht="15.75" customHeight="1">
      <c r="A1134" s="4" t="s">
        <v>3018</v>
      </c>
      <c r="B1134" s="4" t="s">
        <v>3019</v>
      </c>
      <c r="C1134" s="4" t="s">
        <v>39</v>
      </c>
      <c r="D1134" s="6"/>
      <c r="E1134" s="3" t="str">
        <f t="shared" si="1"/>
        <v>現存</v>
      </c>
      <c r="F1134" s="3" t="s">
        <v>326</v>
      </c>
      <c r="G1134" s="6"/>
      <c r="H1134" s="3" t="str">
        <f t="shared" si="2"/>
        <v>9</v>
      </c>
      <c r="I1134" s="3" t="s">
        <v>598</v>
      </c>
      <c r="J1134" s="3" t="s">
        <v>42</v>
      </c>
      <c r="K1134" s="3">
        <v>1.0</v>
      </c>
      <c r="L1134" s="3">
        <v>1.0</v>
      </c>
      <c r="M1134" s="9" t="s">
        <v>236</v>
      </c>
      <c r="N1134" s="3" t="s">
        <v>44</v>
      </c>
      <c r="O1134" s="3"/>
      <c r="P1134" s="4" t="s">
        <v>548</v>
      </c>
      <c r="Q1134" s="3"/>
      <c r="R1134" s="3"/>
      <c r="S1134" s="6"/>
      <c r="T1134" s="6"/>
      <c r="U1134" s="6"/>
    </row>
    <row r="1135" ht="15.75" customHeight="1">
      <c r="A1135" s="4" t="s">
        <v>3020</v>
      </c>
      <c r="B1135" s="4" t="s">
        <v>3021</v>
      </c>
      <c r="C1135" s="4" t="s">
        <v>170</v>
      </c>
      <c r="D1135" s="8" t="s">
        <v>381</v>
      </c>
      <c r="E1135" s="3" t="str">
        <f t="shared" si="1"/>
        <v>不收錄</v>
      </c>
      <c r="F1135" s="3" t="s">
        <v>326</v>
      </c>
      <c r="G1135" s="6"/>
      <c r="H1135" s="3" t="str">
        <f t="shared" si="2"/>
        <v>9</v>
      </c>
      <c r="I1135" s="3" t="s">
        <v>3022</v>
      </c>
      <c r="J1135" s="3" t="s">
        <v>893</v>
      </c>
      <c r="K1135" s="3">
        <v>1.0</v>
      </c>
      <c r="L1135" s="3">
        <v>0.0</v>
      </c>
      <c r="M1135" s="4" t="s">
        <v>236</v>
      </c>
      <c r="N1135" s="3"/>
      <c r="O1135" s="3"/>
      <c r="P1135" s="4" t="s">
        <v>548</v>
      </c>
      <c r="Q1135" s="3"/>
      <c r="R1135" s="3"/>
      <c r="S1135" s="6"/>
      <c r="T1135" s="6"/>
      <c r="U1135" s="6"/>
    </row>
    <row r="1136" ht="15.75" customHeight="1">
      <c r="A1136" s="4" t="s">
        <v>3023</v>
      </c>
      <c r="B1136" s="4" t="s">
        <v>3024</v>
      </c>
      <c r="C1136" s="4" t="s">
        <v>39</v>
      </c>
      <c r="D1136" s="6"/>
      <c r="E1136" s="3" t="str">
        <f t="shared" si="1"/>
        <v>現存</v>
      </c>
      <c r="F1136" s="3" t="s">
        <v>326</v>
      </c>
      <c r="G1136" s="6"/>
      <c r="H1136" s="3" t="str">
        <f t="shared" si="2"/>
        <v>9</v>
      </c>
      <c r="I1136" s="3" t="s">
        <v>1845</v>
      </c>
      <c r="J1136" s="3" t="s">
        <v>135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548</v>
      </c>
      <c r="Q1136" s="3"/>
      <c r="R1136" s="3"/>
      <c r="S1136" s="6"/>
      <c r="T1136" s="6"/>
      <c r="U1136" s="6"/>
    </row>
    <row r="1137" ht="15.75" customHeight="1">
      <c r="A1137" s="4" t="s">
        <v>3025</v>
      </c>
      <c r="B1137" s="4" t="s">
        <v>3026</v>
      </c>
      <c r="C1137" s="4" t="s">
        <v>39</v>
      </c>
      <c r="D1137" s="6"/>
      <c r="E1137" s="3" t="str">
        <f t="shared" si="1"/>
        <v>現存</v>
      </c>
      <c r="F1137" s="3" t="s">
        <v>326</v>
      </c>
      <c r="G1137" s="6"/>
      <c r="H1137" s="3" t="str">
        <f t="shared" si="2"/>
        <v>9</v>
      </c>
      <c r="I1137" s="3" t="s">
        <v>1184</v>
      </c>
      <c r="J1137" s="3" t="s">
        <v>42</v>
      </c>
      <c r="K1137" s="3">
        <v>2.0</v>
      </c>
      <c r="L1137" s="3">
        <v>1.0</v>
      </c>
      <c r="M1137" s="9" t="s">
        <v>236</v>
      </c>
      <c r="N1137" s="3" t="s">
        <v>44</v>
      </c>
      <c r="O1137" s="3"/>
      <c r="P1137" s="4" t="s">
        <v>548</v>
      </c>
      <c r="Q1137" s="3"/>
      <c r="R1137" s="3"/>
      <c r="S1137" s="6"/>
      <c r="T1137" s="6"/>
      <c r="U1137" s="6"/>
    </row>
    <row r="1138" ht="15.75" customHeight="1">
      <c r="A1138" s="4" t="s">
        <v>3027</v>
      </c>
      <c r="B1138" s="4" t="s">
        <v>3028</v>
      </c>
      <c r="C1138" s="4" t="s">
        <v>170</v>
      </c>
      <c r="D1138" s="8" t="s">
        <v>381</v>
      </c>
      <c r="E1138" s="3" t="str">
        <f t="shared" si="1"/>
        <v>不收錄</v>
      </c>
      <c r="F1138" s="3" t="s">
        <v>188</v>
      </c>
      <c r="G1138" s="6"/>
      <c r="H1138" s="3" t="str">
        <f t="shared" si="2"/>
        <v>10</v>
      </c>
      <c r="I1138" s="3" t="s">
        <v>3029</v>
      </c>
      <c r="J1138" s="3" t="s">
        <v>181</v>
      </c>
      <c r="K1138" s="3">
        <v>1.0</v>
      </c>
      <c r="L1138" s="3">
        <v>0.0</v>
      </c>
      <c r="M1138" s="4" t="s">
        <v>236</v>
      </c>
      <c r="N1138" s="3"/>
      <c r="O1138" s="3"/>
      <c r="P1138" s="4" t="s">
        <v>548</v>
      </c>
      <c r="Q1138" s="3"/>
      <c r="R1138" s="3"/>
      <c r="S1138" s="6"/>
      <c r="T1138" s="6"/>
      <c r="U1138" s="6"/>
    </row>
    <row r="1139" ht="15.75" customHeight="1">
      <c r="A1139" s="4" t="s">
        <v>3030</v>
      </c>
      <c r="B1139" s="4" t="s">
        <v>3031</v>
      </c>
      <c r="C1139" s="4" t="s">
        <v>39</v>
      </c>
      <c r="D1139" s="6"/>
      <c r="E1139" s="3" t="str">
        <f t="shared" si="1"/>
        <v>現存</v>
      </c>
      <c r="F1139" s="3" t="s">
        <v>911</v>
      </c>
      <c r="G1139" s="6"/>
      <c r="H1139" s="3" t="str">
        <f t="shared" si="2"/>
        <v>1,12</v>
      </c>
      <c r="I1139" s="3" t="s">
        <v>338</v>
      </c>
      <c r="J1139" s="3" t="s">
        <v>125</v>
      </c>
      <c r="K1139" s="3">
        <v>2.0</v>
      </c>
      <c r="L1139" s="3">
        <v>0.0</v>
      </c>
      <c r="M1139" s="4" t="s">
        <v>236</v>
      </c>
      <c r="N1139" s="3"/>
      <c r="O1139" s="3"/>
      <c r="P1139" s="4" t="s">
        <v>548</v>
      </c>
      <c r="Q1139" s="3"/>
      <c r="R1139" s="3"/>
      <c r="S1139" s="6"/>
      <c r="T1139" s="6"/>
      <c r="U1139" s="6"/>
    </row>
    <row r="1140" ht="15.75" customHeight="1">
      <c r="A1140" s="4" t="s">
        <v>3032</v>
      </c>
      <c r="B1140" s="4" t="s">
        <v>3033</v>
      </c>
      <c r="C1140" s="4" t="s">
        <v>39</v>
      </c>
      <c r="D1140" s="6"/>
      <c r="E1140" s="3" t="str">
        <f t="shared" si="1"/>
        <v>現存</v>
      </c>
      <c r="F1140" s="3" t="s">
        <v>515</v>
      </c>
      <c r="G1140" s="8" t="s">
        <v>2978</v>
      </c>
      <c r="H1140" s="3" t="str">
        <f t="shared" si="2"/>
        <v>1,2,3,4,5,6,7,8,9,10,11,12</v>
      </c>
      <c r="I1140" s="3" t="s">
        <v>516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548</v>
      </c>
      <c r="Q1140" s="3"/>
      <c r="R1140" s="3"/>
      <c r="S1140" s="6"/>
      <c r="T1140" s="6"/>
      <c r="U1140" s="6"/>
    </row>
    <row r="1141" ht="15.75" customHeight="1">
      <c r="A1141" s="4" t="s">
        <v>3034</v>
      </c>
      <c r="B1141" s="4" t="s">
        <v>3035</v>
      </c>
      <c r="C1141" s="4" t="s">
        <v>39</v>
      </c>
      <c r="D1141" s="6"/>
      <c r="E1141" s="3" t="str">
        <f t="shared" si="1"/>
        <v>現存</v>
      </c>
      <c r="F1141" s="3" t="s">
        <v>515</v>
      </c>
      <c r="G1141" s="6"/>
      <c r="H1141" s="3" t="str">
        <f t="shared" si="2"/>
        <v>11</v>
      </c>
      <c r="I1141" s="3" t="s">
        <v>1815</v>
      </c>
      <c r="J1141" s="3" t="s">
        <v>181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548</v>
      </c>
      <c r="Q1141" s="3"/>
      <c r="R1141" s="3"/>
      <c r="S1141" s="6"/>
      <c r="T1141" s="6"/>
      <c r="U1141" s="6"/>
    </row>
    <row r="1142" ht="15.75" customHeight="1">
      <c r="A1142" s="4" t="s">
        <v>3036</v>
      </c>
      <c r="B1142" s="4" t="s">
        <v>3037</v>
      </c>
      <c r="C1142" s="4" t="s">
        <v>39</v>
      </c>
      <c r="D1142" s="6"/>
      <c r="E1142" s="3" t="str">
        <f t="shared" si="1"/>
        <v>現存</v>
      </c>
      <c r="F1142" s="3" t="s">
        <v>515</v>
      </c>
      <c r="G1142" s="6"/>
      <c r="H1142" s="3" t="str">
        <f t="shared" si="2"/>
        <v>11</v>
      </c>
      <c r="I1142" s="3" t="s">
        <v>3038</v>
      </c>
      <c r="J1142" s="3" t="s">
        <v>181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548</v>
      </c>
      <c r="Q1142" s="3"/>
      <c r="R1142" s="3"/>
      <c r="S1142" s="6"/>
      <c r="T1142" s="6"/>
      <c r="U1142" s="6"/>
    </row>
    <row r="1143" ht="15.75" customHeight="1">
      <c r="A1143" s="4" t="s">
        <v>3039</v>
      </c>
      <c r="B1143" s="4" t="s">
        <v>3040</v>
      </c>
      <c r="C1143" s="4" t="s">
        <v>39</v>
      </c>
      <c r="D1143" s="6"/>
      <c r="E1143" s="3" t="str">
        <f t="shared" si="1"/>
        <v>現存</v>
      </c>
      <c r="F1143" s="3" t="s">
        <v>3041</v>
      </c>
      <c r="G1143" s="6"/>
      <c r="H1143" s="3" t="str">
        <f t="shared" si="2"/>
        <v>1,9</v>
      </c>
      <c r="I1143" s="3" t="s">
        <v>338</v>
      </c>
      <c r="J1143" s="3" t="s">
        <v>125</v>
      </c>
      <c r="K1143" s="3">
        <v>2.0</v>
      </c>
      <c r="L1143" s="3">
        <v>1.0</v>
      </c>
      <c r="M1143" s="9" t="s">
        <v>236</v>
      </c>
      <c r="N1143" s="3" t="s">
        <v>44</v>
      </c>
      <c r="O1143" s="3"/>
      <c r="P1143" s="4" t="s">
        <v>548</v>
      </c>
      <c r="Q1143" s="3"/>
      <c r="R1143" s="3"/>
      <c r="S1143" s="6"/>
      <c r="T1143" s="6"/>
      <c r="U1143" s="6"/>
    </row>
    <row r="1144" ht="15.75" customHeight="1">
      <c r="A1144" s="4" t="s">
        <v>3042</v>
      </c>
      <c r="B1144" s="4" t="s">
        <v>3043</v>
      </c>
      <c r="C1144" s="4" t="s">
        <v>39</v>
      </c>
      <c r="D1144" s="6"/>
      <c r="E1144" s="3" t="str">
        <f t="shared" si="1"/>
        <v>現存</v>
      </c>
      <c r="F1144" s="3" t="s">
        <v>3044</v>
      </c>
      <c r="G1144" s="6"/>
      <c r="H1144" s="3" t="str">
        <f t="shared" si="2"/>
        <v>1,5,9,10</v>
      </c>
      <c r="I1144" s="3" t="s">
        <v>107</v>
      </c>
      <c r="J1144" s="3" t="s">
        <v>912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548</v>
      </c>
      <c r="Q1144" s="3"/>
      <c r="R1144" s="3"/>
      <c r="S1144" s="6"/>
      <c r="T1144" s="6"/>
      <c r="U1144" s="6"/>
    </row>
    <row r="1145" ht="15.75" customHeight="1">
      <c r="A1145" s="4" t="s">
        <v>3045</v>
      </c>
      <c r="B1145" s="4" t="s">
        <v>3046</v>
      </c>
      <c r="C1145" s="4" t="s">
        <v>39</v>
      </c>
      <c r="D1145" s="6"/>
      <c r="E1145" s="3" t="str">
        <f t="shared" si="1"/>
        <v>現存</v>
      </c>
      <c r="F1145" s="3" t="s">
        <v>130</v>
      </c>
      <c r="G1145" s="6"/>
      <c r="H1145" s="3" t="str">
        <f t="shared" si="2"/>
        <v>1</v>
      </c>
      <c r="I1145" s="3" t="s">
        <v>49</v>
      </c>
      <c r="J1145" s="3" t="s">
        <v>135</v>
      </c>
      <c r="K1145" s="3">
        <v>1.0</v>
      </c>
      <c r="L1145" s="3">
        <v>0.0</v>
      </c>
      <c r="M1145" s="4" t="s">
        <v>236</v>
      </c>
      <c r="N1145" s="3"/>
      <c r="O1145" s="3"/>
      <c r="P1145" s="4" t="s">
        <v>548</v>
      </c>
      <c r="Q1145" s="3"/>
      <c r="R1145" s="3"/>
      <c r="S1145" s="6"/>
      <c r="T1145" s="6"/>
      <c r="U1145" s="6"/>
    </row>
    <row r="1146" ht="15.75" customHeight="1">
      <c r="A1146" s="4" t="s">
        <v>3047</v>
      </c>
      <c r="B1146" s="4" t="s">
        <v>3048</v>
      </c>
      <c r="C1146" s="4" t="s">
        <v>39</v>
      </c>
      <c r="D1146" s="6"/>
      <c r="E1146" s="3" t="str">
        <f t="shared" si="1"/>
        <v>現存</v>
      </c>
      <c r="F1146" s="3" t="s">
        <v>3049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548</v>
      </c>
      <c r="Q1146" s="4" t="s">
        <v>3050</v>
      </c>
      <c r="R1146" s="3"/>
      <c r="S1146" s="6"/>
      <c r="T1146" s="6"/>
      <c r="U1146" s="6"/>
    </row>
    <row r="1147" ht="15.75" customHeight="1">
      <c r="A1147" s="4" t="s">
        <v>3051</v>
      </c>
      <c r="B1147" s="4" t="s">
        <v>3052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338</v>
      </c>
      <c r="J1147" s="3" t="s">
        <v>50</v>
      </c>
      <c r="K1147" s="3">
        <v>3.0</v>
      </c>
      <c r="L1147" s="3">
        <v>1.0</v>
      </c>
      <c r="M1147" s="9" t="s">
        <v>236</v>
      </c>
      <c r="N1147" s="3" t="s">
        <v>44</v>
      </c>
      <c r="O1147" s="3"/>
      <c r="P1147" s="4" t="s">
        <v>548</v>
      </c>
      <c r="Q1147" s="3"/>
      <c r="R1147" s="3"/>
      <c r="S1147" s="6"/>
      <c r="T1147" s="6"/>
      <c r="U1147" s="6"/>
    </row>
    <row r="1148" ht="15.75" customHeight="1">
      <c r="A1148" s="4" t="s">
        <v>3053</v>
      </c>
      <c r="B1148" s="4" t="s">
        <v>3054</v>
      </c>
      <c r="C1148" s="4" t="s">
        <v>39</v>
      </c>
      <c r="D1148" s="6"/>
      <c r="E1148" s="3" t="str">
        <f t="shared" si="1"/>
        <v>現存</v>
      </c>
      <c r="F1148" s="3" t="s">
        <v>3055</v>
      </c>
      <c r="G1148" s="6"/>
      <c r="H1148" s="3" t="str">
        <f t="shared" si="2"/>
        <v>1,10,11,12</v>
      </c>
      <c r="I1148" s="3" t="s">
        <v>338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548</v>
      </c>
      <c r="Q1148" s="3"/>
      <c r="R1148" s="3"/>
      <c r="S1148" s="6"/>
      <c r="T1148" s="6"/>
      <c r="U1148" s="6"/>
    </row>
    <row r="1149" ht="15.75" customHeight="1">
      <c r="A1149" s="4" t="s">
        <v>3056</v>
      </c>
      <c r="B1149" s="4" t="s">
        <v>3057</v>
      </c>
      <c r="C1149" s="4" t="s">
        <v>39</v>
      </c>
      <c r="D1149" s="6"/>
      <c r="E1149" s="3" t="str">
        <f t="shared" si="1"/>
        <v>現存</v>
      </c>
      <c r="F1149" s="3" t="s">
        <v>3058</v>
      </c>
      <c r="G1149" s="6"/>
      <c r="H1149" s="3" t="str">
        <f t="shared" si="2"/>
        <v>1,3,4,11</v>
      </c>
      <c r="I1149" s="3" t="s">
        <v>426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548</v>
      </c>
      <c r="Q1149" s="4" t="s">
        <v>1688</v>
      </c>
      <c r="R1149" s="3"/>
      <c r="S1149" s="6"/>
      <c r="T1149" s="6"/>
      <c r="U1149" s="6"/>
    </row>
    <row r="1150" ht="15.75" customHeight="1">
      <c r="A1150" s="4" t="s">
        <v>3059</v>
      </c>
      <c r="B1150" s="4" t="s">
        <v>3060</v>
      </c>
      <c r="C1150" s="4" t="s">
        <v>39</v>
      </c>
      <c r="D1150" s="6"/>
      <c r="E1150" s="3" t="str">
        <f t="shared" si="1"/>
        <v>現存</v>
      </c>
      <c r="F1150" s="3" t="s">
        <v>3061</v>
      </c>
      <c r="G1150" s="6"/>
      <c r="H1150" s="3" t="str">
        <f t="shared" si="2"/>
        <v>2,4,5,6,7,8</v>
      </c>
      <c r="I1150" s="3" t="s">
        <v>364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548</v>
      </c>
      <c r="Q1150" s="3"/>
      <c r="R1150" s="3"/>
      <c r="S1150" s="6"/>
      <c r="T1150" s="6"/>
      <c r="U1150" s="6"/>
    </row>
    <row r="1151" ht="15.75" customHeight="1">
      <c r="A1151" s="4" t="s">
        <v>3062</v>
      </c>
      <c r="B1151" s="4" t="s">
        <v>3063</v>
      </c>
      <c r="C1151" s="4" t="s">
        <v>39</v>
      </c>
      <c r="D1151" s="6"/>
      <c r="E1151" s="3" t="str">
        <f t="shared" si="1"/>
        <v>現存</v>
      </c>
      <c r="F1151" s="3" t="s">
        <v>221</v>
      </c>
      <c r="G1151" s="6"/>
      <c r="H1151" s="3" t="str">
        <f t="shared" si="2"/>
        <v>2,3,5</v>
      </c>
      <c r="I1151" s="3" t="s">
        <v>410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548</v>
      </c>
      <c r="Q1151" s="3"/>
      <c r="R1151" s="3"/>
      <c r="S1151" s="6"/>
      <c r="T1151" s="6"/>
      <c r="U1151" s="6"/>
    </row>
    <row r="1152" ht="15.75" customHeight="1">
      <c r="A1152" s="4" t="s">
        <v>3064</v>
      </c>
      <c r="B1152" s="4" t="s">
        <v>3065</v>
      </c>
      <c r="C1152" s="4" t="s">
        <v>39</v>
      </c>
      <c r="D1152" s="8" t="s">
        <v>381</v>
      </c>
      <c r="E1152" s="3" t="str">
        <f t="shared" si="1"/>
        <v>不收錄</v>
      </c>
      <c r="F1152" s="3" t="s">
        <v>3066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236</v>
      </c>
      <c r="N1152" s="3"/>
      <c r="O1152" s="3"/>
      <c r="P1152" s="4" t="s">
        <v>548</v>
      </c>
      <c r="Q1152" s="3"/>
      <c r="R1152" s="3"/>
      <c r="S1152" s="6"/>
      <c r="T1152" s="6"/>
      <c r="U1152" s="6"/>
    </row>
    <row r="1153" ht="15.75" customHeight="1">
      <c r="A1153" s="4" t="s">
        <v>3067</v>
      </c>
      <c r="B1153" s="4" t="s">
        <v>3068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548</v>
      </c>
      <c r="Q1153" s="3"/>
      <c r="R1153" s="3"/>
      <c r="S1153" s="6"/>
      <c r="T1153" s="6"/>
      <c r="U1153" s="6"/>
    </row>
    <row r="1154" ht="15.75" customHeight="1">
      <c r="A1154" s="4" t="s">
        <v>3069</v>
      </c>
      <c r="B1154" s="4" t="s">
        <v>3070</v>
      </c>
      <c r="C1154" s="4" t="s">
        <v>39</v>
      </c>
      <c r="D1154" s="6"/>
      <c r="E1154" s="3" t="str">
        <f t="shared" si="1"/>
        <v>現存</v>
      </c>
      <c r="F1154" s="3" t="s">
        <v>3071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3072</v>
      </c>
      <c r="O1154" s="3"/>
      <c r="P1154" s="4" t="s">
        <v>548</v>
      </c>
      <c r="Q1154" s="4" t="s">
        <v>1494</v>
      </c>
      <c r="R1154" s="3"/>
      <c r="S1154" s="6"/>
      <c r="T1154" s="6"/>
      <c r="U1154" s="6"/>
    </row>
    <row r="1155" ht="15.75" customHeight="1">
      <c r="A1155" s="4" t="s">
        <v>3073</v>
      </c>
      <c r="B1155" s="4" t="s">
        <v>3074</v>
      </c>
      <c r="C1155" s="4" t="s">
        <v>39</v>
      </c>
      <c r="D1155" s="6"/>
      <c r="E1155" s="3" t="str">
        <f t="shared" si="1"/>
        <v>現存</v>
      </c>
      <c r="F1155" s="3" t="s">
        <v>221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548</v>
      </c>
      <c r="Q1155" s="4" t="s">
        <v>3075</v>
      </c>
      <c r="R1155" s="3"/>
      <c r="S1155" s="6"/>
      <c r="T1155" s="6"/>
      <c r="U1155" s="6"/>
    </row>
    <row r="1156" ht="15.75" customHeight="1">
      <c r="A1156" s="4" t="s">
        <v>3076</v>
      </c>
      <c r="B1156" s="4" t="s">
        <v>3077</v>
      </c>
      <c r="C1156" s="4" t="s">
        <v>39</v>
      </c>
      <c r="D1156" s="6"/>
      <c r="E1156" s="3" t="str">
        <f t="shared" si="1"/>
        <v>現存</v>
      </c>
      <c r="F1156" s="3" t="s">
        <v>218</v>
      </c>
      <c r="G1156" s="6"/>
      <c r="H1156" s="3" t="str">
        <f t="shared" si="2"/>
        <v>2,3</v>
      </c>
      <c r="I1156" s="3" t="s">
        <v>248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548</v>
      </c>
      <c r="Q1156" s="3"/>
      <c r="R1156" s="3"/>
      <c r="S1156" s="6"/>
      <c r="T1156" s="6"/>
      <c r="U1156" s="6"/>
    </row>
    <row r="1157" ht="15.75" customHeight="1">
      <c r="A1157" s="4" t="s">
        <v>3078</v>
      </c>
      <c r="B1157" s="4" t="s">
        <v>3079</v>
      </c>
      <c r="C1157" s="4" t="s">
        <v>39</v>
      </c>
      <c r="D1157" s="6"/>
      <c r="E1157" s="3" t="str">
        <f t="shared" si="1"/>
        <v>現存</v>
      </c>
      <c r="F1157" s="3" t="s">
        <v>218</v>
      </c>
      <c r="G1157" s="6"/>
      <c r="H1157" s="3" t="str">
        <f t="shared" si="2"/>
        <v>2,3</v>
      </c>
      <c r="I1157" s="3" t="s">
        <v>198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548</v>
      </c>
      <c r="Q1157" s="3"/>
      <c r="R1157" s="3"/>
      <c r="S1157" s="6"/>
      <c r="T1157" s="6"/>
      <c r="U1157" s="6"/>
    </row>
    <row r="1158" ht="15.75" customHeight="1">
      <c r="A1158" s="4" t="s">
        <v>3080</v>
      </c>
      <c r="B1158" s="4" t="s">
        <v>3081</v>
      </c>
      <c r="C1158" s="4" t="s">
        <v>170</v>
      </c>
      <c r="D1158" s="8" t="s">
        <v>39</v>
      </c>
      <c r="E1158" s="3" t="str">
        <f t="shared" si="1"/>
        <v>現存</v>
      </c>
      <c r="F1158" s="3" t="s">
        <v>218</v>
      </c>
      <c r="G1158" s="6"/>
      <c r="H1158" s="3" t="str">
        <f t="shared" si="2"/>
        <v>2,3</v>
      </c>
      <c r="I1158" s="3" t="s">
        <v>3082</v>
      </c>
      <c r="J1158" s="3" t="s">
        <v>98</v>
      </c>
      <c r="K1158" s="3">
        <v>2.0</v>
      </c>
      <c r="L1158" s="3">
        <v>0.0</v>
      </c>
      <c r="M1158" s="4" t="s">
        <v>236</v>
      </c>
      <c r="N1158" s="3"/>
      <c r="O1158" s="3"/>
      <c r="P1158" s="4" t="s">
        <v>548</v>
      </c>
      <c r="Q1158" s="3"/>
      <c r="R1158" s="3"/>
      <c r="S1158" s="6"/>
      <c r="T1158" s="6"/>
      <c r="U1158" s="6"/>
    </row>
    <row r="1159" ht="15.75" customHeight="1">
      <c r="A1159" s="4" t="s">
        <v>3083</v>
      </c>
      <c r="B1159" s="4" t="s">
        <v>3084</v>
      </c>
      <c r="C1159" s="4" t="s">
        <v>39</v>
      </c>
      <c r="D1159" s="6"/>
      <c r="E1159" s="3" t="str">
        <f t="shared" si="1"/>
        <v>現存</v>
      </c>
      <c r="F1159" s="3" t="s">
        <v>935</v>
      </c>
      <c r="G1159" s="6"/>
      <c r="H1159" s="3" t="str">
        <f t="shared" si="2"/>
        <v>2,3,4</v>
      </c>
      <c r="I1159" s="3" t="s">
        <v>709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548</v>
      </c>
      <c r="Q1159" s="3"/>
      <c r="R1159" s="3"/>
      <c r="S1159" s="6"/>
      <c r="T1159" s="6"/>
      <c r="U1159" s="6"/>
    </row>
    <row r="1160" ht="15.75" customHeight="1">
      <c r="A1160" s="4" t="s">
        <v>3085</v>
      </c>
      <c r="B1160" s="4" t="s">
        <v>3086</v>
      </c>
      <c r="C1160" s="4" t="s">
        <v>39</v>
      </c>
      <c r="D1160" s="6"/>
      <c r="E1160" s="3" t="str">
        <f t="shared" si="1"/>
        <v>現存</v>
      </c>
      <c r="F1160" s="3" t="s">
        <v>935</v>
      </c>
      <c r="G1160" s="6"/>
      <c r="H1160" s="3" t="str">
        <f t="shared" si="2"/>
        <v>2,3,4</v>
      </c>
      <c r="I1160" s="3" t="s">
        <v>139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3087</v>
      </c>
      <c r="O1160" s="3"/>
      <c r="P1160" s="4" t="s">
        <v>548</v>
      </c>
      <c r="Q1160" s="3"/>
      <c r="R1160" s="3"/>
      <c r="S1160" s="6"/>
      <c r="T1160" s="6"/>
      <c r="U1160" s="6"/>
    </row>
    <row r="1161" ht="15.75" customHeight="1">
      <c r="A1161" s="4" t="s">
        <v>3088</v>
      </c>
      <c r="B1161" s="4" t="s">
        <v>3089</v>
      </c>
      <c r="C1161" s="4" t="s">
        <v>39</v>
      </c>
      <c r="D1161" s="6"/>
      <c r="E1161" s="3" t="str">
        <f t="shared" si="1"/>
        <v>現存</v>
      </c>
      <c r="F1161" s="3" t="s">
        <v>234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236</v>
      </c>
      <c r="N1161" s="3"/>
      <c r="O1161" s="3"/>
      <c r="P1161" s="4" t="s">
        <v>548</v>
      </c>
      <c r="Q1161" s="3"/>
      <c r="R1161" s="3"/>
      <c r="S1161" s="6"/>
      <c r="T1161" s="6"/>
      <c r="U1161" s="6"/>
    </row>
    <row r="1162" ht="15.75" customHeight="1">
      <c r="A1162" s="4" t="s">
        <v>3090</v>
      </c>
      <c r="B1162" s="4" t="s">
        <v>3091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391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548</v>
      </c>
      <c r="Q1162" s="3"/>
      <c r="R1162" s="3"/>
      <c r="S1162" s="6"/>
      <c r="T1162" s="6"/>
      <c r="U1162" s="6"/>
    </row>
    <row r="1163" ht="15.75" customHeight="1">
      <c r="A1163" s="4" t="s">
        <v>3092</v>
      </c>
      <c r="B1163" s="4" t="s">
        <v>3093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135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3094</v>
      </c>
      <c r="Q1163" s="3"/>
      <c r="R1163" s="3"/>
      <c r="S1163" s="6"/>
      <c r="T1163" s="6"/>
      <c r="U1163" s="6"/>
    </row>
    <row r="1164" ht="15.75" customHeight="1">
      <c r="A1164" s="4" t="s">
        <v>3095</v>
      </c>
      <c r="B1164" s="4" t="s">
        <v>3096</v>
      </c>
      <c r="C1164" s="4" t="s">
        <v>39</v>
      </c>
      <c r="D1164" s="6"/>
      <c r="E1164" s="3" t="str">
        <f t="shared" si="1"/>
        <v>現存</v>
      </c>
      <c r="F1164" s="3" t="s">
        <v>3097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548</v>
      </c>
      <c r="Q1164" s="3"/>
      <c r="R1164" s="3"/>
      <c r="S1164" s="6"/>
      <c r="T1164" s="6"/>
      <c r="U1164" s="6"/>
    </row>
    <row r="1165" ht="15.75" customHeight="1">
      <c r="A1165" s="4" t="s">
        <v>3098</v>
      </c>
      <c r="B1165" s="4" t="s">
        <v>3099</v>
      </c>
      <c r="C1165" s="4" t="s">
        <v>39</v>
      </c>
      <c r="D1165" s="6"/>
      <c r="E1165" s="3" t="str">
        <f t="shared" si="1"/>
        <v>現存</v>
      </c>
      <c r="F1165" s="3" t="s">
        <v>116</v>
      </c>
      <c r="G1165" s="6"/>
      <c r="H1165" s="3" t="str">
        <f t="shared" si="2"/>
        <v>3,4</v>
      </c>
      <c r="I1165" s="3" t="s">
        <v>563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548</v>
      </c>
      <c r="Q1165" s="3"/>
      <c r="R1165" s="3"/>
      <c r="S1165" s="6"/>
      <c r="T1165" s="6"/>
      <c r="U1165" s="6"/>
    </row>
    <row r="1166" ht="15.75" customHeight="1">
      <c r="A1166" s="4" t="s">
        <v>3100</v>
      </c>
      <c r="B1166" s="4" t="s">
        <v>3101</v>
      </c>
      <c r="C1166" s="4" t="s">
        <v>39</v>
      </c>
      <c r="D1166" s="6"/>
      <c r="E1166" s="3" t="str">
        <f t="shared" si="1"/>
        <v>現存</v>
      </c>
      <c r="F1166" s="3" t="s">
        <v>3102</v>
      </c>
      <c r="G1166" s="6"/>
      <c r="H1166" s="3" t="str">
        <f t="shared" si="2"/>
        <v>3,4,5,6,8,11</v>
      </c>
      <c r="I1166" s="3" t="s">
        <v>486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548</v>
      </c>
      <c r="Q1166" s="3"/>
      <c r="R1166" s="3"/>
      <c r="S1166" s="6"/>
      <c r="T1166" s="6"/>
      <c r="U1166" s="6"/>
    </row>
    <row r="1167" ht="15.75" customHeight="1">
      <c r="A1167" s="4" t="s">
        <v>3103</v>
      </c>
      <c r="B1167" s="4" t="s">
        <v>3104</v>
      </c>
      <c r="C1167" s="4" t="s">
        <v>39</v>
      </c>
      <c r="D1167" s="8" t="s">
        <v>381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699</v>
      </c>
      <c r="J1167" s="3" t="s">
        <v>42</v>
      </c>
      <c r="K1167" s="3">
        <v>1.0</v>
      </c>
      <c r="L1167" s="3">
        <v>1.0</v>
      </c>
      <c r="M1167" s="9" t="s">
        <v>236</v>
      </c>
      <c r="N1167" s="3" t="s">
        <v>44</v>
      </c>
      <c r="O1167" s="3"/>
      <c r="P1167" s="4" t="s">
        <v>548</v>
      </c>
      <c r="Q1167" s="3"/>
      <c r="R1167" s="3"/>
      <c r="S1167" s="6"/>
      <c r="T1167" s="6"/>
      <c r="U1167" s="6"/>
    </row>
    <row r="1168" ht="15.75" customHeight="1">
      <c r="A1168" s="4" t="s">
        <v>3105</v>
      </c>
      <c r="B1168" s="4" t="s">
        <v>3106</v>
      </c>
      <c r="C1168" s="4" t="s">
        <v>39</v>
      </c>
      <c r="D1168" s="6"/>
      <c r="E1168" s="3" t="str">
        <f t="shared" si="1"/>
        <v>現存</v>
      </c>
      <c r="F1168" s="3" t="s">
        <v>116</v>
      </c>
      <c r="G1168" s="6"/>
      <c r="H1168" s="3" t="str">
        <f t="shared" si="2"/>
        <v>3,4</v>
      </c>
      <c r="I1168" s="3" t="s">
        <v>426</v>
      </c>
      <c r="J1168" s="3" t="s">
        <v>135</v>
      </c>
      <c r="K1168" s="3">
        <v>3.0</v>
      </c>
      <c r="L1168" s="3">
        <v>2.0</v>
      </c>
      <c r="M1168" s="4" t="s">
        <v>43</v>
      </c>
      <c r="N1168" s="3" t="s">
        <v>3107</v>
      </c>
      <c r="O1168" s="3"/>
      <c r="P1168" s="4" t="s">
        <v>548</v>
      </c>
      <c r="Q1168" s="3"/>
      <c r="R1168" s="3"/>
      <c r="S1168" s="6"/>
      <c r="T1168" s="6"/>
      <c r="U1168" s="6"/>
    </row>
    <row r="1169" ht="15.75" customHeight="1">
      <c r="A1169" s="4" t="s">
        <v>3108</v>
      </c>
      <c r="B1169" s="4" t="s">
        <v>3109</v>
      </c>
      <c r="C1169" s="4" t="s">
        <v>39</v>
      </c>
      <c r="D1169" s="6"/>
      <c r="E1169" s="3" t="str">
        <f t="shared" si="1"/>
        <v>現存</v>
      </c>
      <c r="F1169" s="3" t="s">
        <v>116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548</v>
      </c>
      <c r="Q1169" s="3"/>
      <c r="R1169" s="3"/>
      <c r="S1169" s="6"/>
      <c r="T1169" s="6"/>
      <c r="U1169" s="6"/>
    </row>
    <row r="1170" ht="15.75" customHeight="1">
      <c r="A1170" s="4" t="s">
        <v>3110</v>
      </c>
      <c r="B1170" s="4" t="s">
        <v>3111</v>
      </c>
      <c r="C1170" s="4" t="s">
        <v>39</v>
      </c>
      <c r="D1170" s="6"/>
      <c r="E1170" s="3" t="str">
        <f t="shared" si="1"/>
        <v>現存</v>
      </c>
      <c r="F1170" s="3" t="s">
        <v>1524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3112</v>
      </c>
      <c r="O1170" s="3"/>
      <c r="P1170" s="4" t="s">
        <v>548</v>
      </c>
      <c r="Q1170" s="4" t="s">
        <v>1494</v>
      </c>
      <c r="R1170" s="3"/>
      <c r="S1170" s="6"/>
      <c r="T1170" s="6"/>
      <c r="U1170" s="6"/>
    </row>
    <row r="1171" ht="15.75" customHeight="1">
      <c r="A1171" s="4" t="s">
        <v>3113</v>
      </c>
      <c r="B1171" s="4" t="s">
        <v>3114</v>
      </c>
      <c r="C1171" s="4" t="s">
        <v>39</v>
      </c>
      <c r="D1171" s="6"/>
      <c r="E1171" s="3" t="str">
        <f t="shared" si="1"/>
        <v>現存</v>
      </c>
      <c r="F1171" s="3" t="s">
        <v>3115</v>
      </c>
      <c r="G1171" s="6"/>
      <c r="H1171" s="3" t="str">
        <f t="shared" si="2"/>
        <v>3,4,8,10,12</v>
      </c>
      <c r="I1171" s="3" t="s">
        <v>660</v>
      </c>
      <c r="J1171" s="3" t="s">
        <v>193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548</v>
      </c>
      <c r="Q1171" s="3"/>
      <c r="R1171" s="3"/>
      <c r="S1171" s="6"/>
      <c r="T1171" s="6"/>
      <c r="U1171" s="6"/>
    </row>
    <row r="1172" ht="15.75" customHeight="1">
      <c r="A1172" s="4" t="s">
        <v>3116</v>
      </c>
      <c r="B1172" s="4" t="s">
        <v>3117</v>
      </c>
      <c r="C1172" s="4" t="s">
        <v>39</v>
      </c>
      <c r="D1172" s="6"/>
      <c r="E1172" s="3" t="str">
        <f t="shared" si="1"/>
        <v>現存</v>
      </c>
      <c r="F1172" s="3" t="s">
        <v>3118</v>
      </c>
      <c r="G1172" s="6"/>
      <c r="H1172" s="3" t="str">
        <f t="shared" si="2"/>
        <v>3,4,5,6,7,8,9,10,11,12</v>
      </c>
      <c r="I1172" s="3" t="s">
        <v>142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548</v>
      </c>
      <c r="Q1172" s="3"/>
      <c r="R1172" s="3"/>
      <c r="S1172" s="6"/>
      <c r="T1172" s="6"/>
      <c r="U1172" s="6"/>
    </row>
    <row r="1173" ht="15.75" customHeight="1">
      <c r="A1173" s="4" t="s">
        <v>3119</v>
      </c>
      <c r="B1173" s="4" t="s">
        <v>3120</v>
      </c>
      <c r="C1173" s="4" t="s">
        <v>39</v>
      </c>
      <c r="D1173" s="6"/>
      <c r="E1173" s="3" t="str">
        <f t="shared" si="1"/>
        <v>現存</v>
      </c>
      <c r="F1173" s="3" t="s">
        <v>3121</v>
      </c>
      <c r="G1173" s="6"/>
      <c r="H1173" s="3" t="str">
        <f t="shared" si="2"/>
        <v>3,4,5,11,12</v>
      </c>
      <c r="I1173" s="3" t="s">
        <v>426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548</v>
      </c>
      <c r="Q1173" s="3"/>
      <c r="R1173" s="3"/>
      <c r="S1173" s="6"/>
      <c r="T1173" s="6"/>
      <c r="U1173" s="6"/>
    </row>
    <row r="1174" ht="15.75" customHeight="1">
      <c r="A1174" s="4" t="s">
        <v>3122</v>
      </c>
      <c r="B1174" s="4" t="s">
        <v>3123</v>
      </c>
      <c r="C1174" s="4" t="s">
        <v>170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553</v>
      </c>
      <c r="J1174" s="3" t="s">
        <v>98</v>
      </c>
      <c r="K1174" s="3">
        <v>2.0</v>
      </c>
      <c r="L1174" s="3">
        <v>0.0</v>
      </c>
      <c r="M1174" s="4" t="s">
        <v>236</v>
      </c>
      <c r="N1174" s="3"/>
      <c r="O1174" s="3"/>
      <c r="P1174" s="4" t="s">
        <v>548</v>
      </c>
      <c r="Q1174" s="3"/>
      <c r="R1174" s="3"/>
      <c r="S1174" s="6"/>
      <c r="T1174" s="6"/>
      <c r="U1174" s="6"/>
    </row>
    <row r="1175" ht="15.75" customHeight="1">
      <c r="A1175" s="4" t="s">
        <v>3124</v>
      </c>
      <c r="B1175" s="9" t="s">
        <v>3125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2882</v>
      </c>
      <c r="G1175" s="6"/>
      <c r="H1175" s="3" t="str">
        <f t="shared" si="2"/>
        <v>3,6,9</v>
      </c>
      <c r="I1175" s="3" t="s">
        <v>773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548</v>
      </c>
      <c r="Q1175" s="3"/>
      <c r="R1175" s="3"/>
      <c r="S1175" s="6"/>
      <c r="T1175" s="6"/>
      <c r="U1175" s="6"/>
    </row>
    <row r="1176" ht="15.75" customHeight="1">
      <c r="A1176" s="4" t="s">
        <v>3126</v>
      </c>
      <c r="B1176" s="4" t="s">
        <v>3125</v>
      </c>
      <c r="C1176" s="4" t="s">
        <v>39</v>
      </c>
      <c r="D1176" s="6"/>
      <c r="E1176" s="3" t="str">
        <f t="shared" si="1"/>
        <v>現存</v>
      </c>
      <c r="F1176" s="3" t="s">
        <v>3127</v>
      </c>
      <c r="G1176" s="6"/>
      <c r="H1176" s="3" t="str">
        <f t="shared" si="2"/>
        <v>3,4,6,8,10</v>
      </c>
      <c r="I1176" s="3" t="s">
        <v>660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548</v>
      </c>
      <c r="Q1176" s="3"/>
      <c r="R1176" s="3"/>
      <c r="S1176" s="6"/>
      <c r="T1176" s="6"/>
      <c r="U1176" s="6"/>
    </row>
    <row r="1177" ht="15.75" customHeight="1">
      <c r="A1177" s="4" t="s">
        <v>3128</v>
      </c>
      <c r="B1177" s="4" t="s">
        <v>3129</v>
      </c>
      <c r="C1177" s="4" t="s">
        <v>39</v>
      </c>
      <c r="D1177" s="6"/>
      <c r="E1177" s="3" t="str">
        <f t="shared" si="1"/>
        <v>現存</v>
      </c>
      <c r="F1177" s="3" t="s">
        <v>3130</v>
      </c>
      <c r="G1177" s="6"/>
      <c r="H1177" s="3" t="str">
        <f t="shared" si="2"/>
        <v>3,4,5,7,8,10</v>
      </c>
      <c r="I1177" s="3" t="s">
        <v>107</v>
      </c>
      <c r="J1177" s="3" t="s">
        <v>912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548</v>
      </c>
      <c r="Q1177" s="3"/>
      <c r="R1177" s="3"/>
      <c r="S1177" s="6"/>
      <c r="T1177" s="6"/>
      <c r="U1177" s="6"/>
    </row>
    <row r="1178" ht="15.75" customHeight="1">
      <c r="A1178" s="4" t="s">
        <v>3131</v>
      </c>
      <c r="B1178" s="4" t="s">
        <v>3132</v>
      </c>
      <c r="C1178" s="4" t="s">
        <v>39</v>
      </c>
      <c r="D1178" s="6"/>
      <c r="E1178" s="3" t="str">
        <f t="shared" si="1"/>
        <v>現存</v>
      </c>
      <c r="F1178" s="3" t="s">
        <v>2108</v>
      </c>
      <c r="G1178" s="6"/>
      <c r="H1178" s="3" t="str">
        <f t="shared" si="2"/>
        <v>3,8</v>
      </c>
      <c r="I1178" s="3" t="s">
        <v>319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548</v>
      </c>
      <c r="Q1178" s="3"/>
      <c r="R1178" s="3"/>
      <c r="S1178" s="6"/>
      <c r="T1178" s="6"/>
      <c r="U1178" s="6"/>
    </row>
    <row r="1179" ht="15.75" customHeight="1">
      <c r="A1179" s="4" t="s">
        <v>3133</v>
      </c>
      <c r="B1179" s="4" t="s">
        <v>3134</v>
      </c>
      <c r="C1179" s="4" t="s">
        <v>39</v>
      </c>
      <c r="D1179" s="6"/>
      <c r="E1179" s="3" t="str">
        <f t="shared" si="1"/>
        <v>現存</v>
      </c>
      <c r="F1179" s="3" t="s">
        <v>3135</v>
      </c>
      <c r="G1179" s="6"/>
      <c r="H1179" s="3" t="str">
        <f t="shared" si="2"/>
        <v>3,4,8,11</v>
      </c>
      <c r="I1179" s="3" t="s">
        <v>303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548</v>
      </c>
      <c r="Q1179" s="3"/>
      <c r="R1179" s="3"/>
      <c r="S1179" s="6"/>
      <c r="T1179" s="6"/>
      <c r="U1179" s="6"/>
    </row>
    <row r="1180" ht="15.75" customHeight="1">
      <c r="A1180" s="4" t="s">
        <v>3136</v>
      </c>
      <c r="B1180" s="4" t="s">
        <v>3137</v>
      </c>
      <c r="C1180" s="4" t="s">
        <v>39</v>
      </c>
      <c r="D1180" s="6"/>
      <c r="E1180" s="3" t="str">
        <f t="shared" si="1"/>
        <v>現存</v>
      </c>
      <c r="F1180" s="3" t="s">
        <v>1037</v>
      </c>
      <c r="G1180" s="6"/>
      <c r="H1180" s="3" t="str">
        <f t="shared" si="2"/>
        <v>3,4,5,6</v>
      </c>
      <c r="I1180" s="3" t="s">
        <v>145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3138</v>
      </c>
      <c r="O1180" s="3"/>
      <c r="P1180" s="4" t="s">
        <v>548</v>
      </c>
      <c r="Q1180" s="3"/>
      <c r="R1180" s="3"/>
      <c r="S1180" s="6"/>
      <c r="T1180" s="6"/>
      <c r="U1180" s="6"/>
    </row>
    <row r="1181" ht="15.75" customHeight="1">
      <c r="A1181" s="4" t="s">
        <v>3139</v>
      </c>
      <c r="B1181" s="4" t="s">
        <v>3140</v>
      </c>
      <c r="C1181" s="4" t="s">
        <v>39</v>
      </c>
      <c r="D1181" s="6"/>
      <c r="E1181" s="3" t="str">
        <f t="shared" si="1"/>
        <v>現存</v>
      </c>
      <c r="F1181" s="3" t="s">
        <v>3141</v>
      </c>
      <c r="G1181" s="8" t="s">
        <v>2978</v>
      </c>
      <c r="H1181" s="3" t="str">
        <f t="shared" si="2"/>
        <v>1,2,3,4,5,6,7,8,9,10,11,12</v>
      </c>
      <c r="I1181" s="3" t="s">
        <v>303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548</v>
      </c>
      <c r="Q1181" s="3"/>
      <c r="R1181" s="3"/>
      <c r="S1181" s="6"/>
      <c r="T1181" s="6"/>
      <c r="U1181" s="6"/>
    </row>
    <row r="1182" ht="15.75" customHeight="1">
      <c r="A1182" s="4" t="s">
        <v>3142</v>
      </c>
      <c r="B1182" s="4" t="s">
        <v>3143</v>
      </c>
      <c r="C1182" s="4" t="s">
        <v>39</v>
      </c>
      <c r="D1182" s="8" t="s">
        <v>170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1735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548</v>
      </c>
      <c r="Q1182" s="3"/>
      <c r="R1182" s="3"/>
      <c r="S1182" s="6"/>
      <c r="T1182" s="6"/>
      <c r="U1182" s="6"/>
    </row>
    <row r="1183" ht="15.75" customHeight="1">
      <c r="A1183" s="4" t="s">
        <v>3144</v>
      </c>
      <c r="B1183" s="4" t="s">
        <v>3145</v>
      </c>
      <c r="C1183" s="4" t="s">
        <v>39</v>
      </c>
      <c r="D1183" s="8" t="s">
        <v>381</v>
      </c>
      <c r="E1183" s="3" t="str">
        <f t="shared" si="1"/>
        <v>不收錄</v>
      </c>
      <c r="F1183" s="3" t="s">
        <v>3146</v>
      </c>
      <c r="G1183" s="6"/>
      <c r="H1183" s="3" t="str">
        <f t="shared" si="2"/>
        <v>3,10</v>
      </c>
      <c r="I1183" s="3" t="s">
        <v>553</v>
      </c>
      <c r="J1183" s="3" t="s">
        <v>98</v>
      </c>
      <c r="K1183" s="3">
        <v>2.0</v>
      </c>
      <c r="L1183" s="3">
        <v>1.0</v>
      </c>
      <c r="M1183" s="9" t="s">
        <v>236</v>
      </c>
      <c r="N1183" s="3" t="s">
        <v>44</v>
      </c>
      <c r="O1183" s="3"/>
      <c r="P1183" s="4" t="s">
        <v>548</v>
      </c>
      <c r="Q1183" s="3"/>
      <c r="R1183" s="3"/>
      <c r="S1183" s="6"/>
      <c r="T1183" s="6"/>
      <c r="U1183" s="6"/>
    </row>
    <row r="1184" ht="15.75" customHeight="1">
      <c r="A1184" s="4" t="s">
        <v>3147</v>
      </c>
      <c r="B1184" s="4" t="s">
        <v>3148</v>
      </c>
      <c r="C1184" s="4" t="s">
        <v>39</v>
      </c>
      <c r="D1184" s="6"/>
      <c r="E1184" s="3" t="str">
        <f t="shared" si="1"/>
        <v>現存</v>
      </c>
      <c r="F1184" s="3" t="s">
        <v>116</v>
      </c>
      <c r="G1184" s="6"/>
      <c r="H1184" s="3" t="str">
        <f t="shared" si="2"/>
        <v>3,4</v>
      </c>
      <c r="I1184" s="3" t="s">
        <v>69</v>
      </c>
      <c r="J1184" s="3" t="s">
        <v>1066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548</v>
      </c>
      <c r="Q1184" s="3"/>
      <c r="R1184" s="3"/>
      <c r="S1184" s="6"/>
      <c r="T1184" s="6"/>
      <c r="U1184" s="6"/>
    </row>
    <row r="1185" ht="15.75" customHeight="1">
      <c r="A1185" s="4" t="s">
        <v>3149</v>
      </c>
      <c r="B1185" s="4" t="s">
        <v>3150</v>
      </c>
      <c r="C1185" s="4" t="s">
        <v>39</v>
      </c>
      <c r="D1185" s="6"/>
      <c r="E1185" s="3" t="str">
        <f t="shared" si="1"/>
        <v>現存</v>
      </c>
      <c r="F1185" s="3" t="s">
        <v>3151</v>
      </c>
      <c r="G1185" s="6"/>
      <c r="H1185" s="3" t="str">
        <f t="shared" si="2"/>
        <v>3,6,10</v>
      </c>
      <c r="I1185" s="3" t="s">
        <v>117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548</v>
      </c>
      <c r="Q1185" s="3"/>
      <c r="R1185" s="3"/>
      <c r="S1185" s="6"/>
      <c r="T1185" s="6"/>
      <c r="U1185" s="6"/>
    </row>
    <row r="1186" ht="15.75" customHeight="1">
      <c r="A1186" s="4" t="s">
        <v>3152</v>
      </c>
      <c r="B1186" s="4" t="s">
        <v>3153</v>
      </c>
      <c r="C1186" s="4" t="s">
        <v>39</v>
      </c>
      <c r="D1186" s="8" t="s">
        <v>170</v>
      </c>
      <c r="E1186" s="3" t="str">
        <f t="shared" si="1"/>
        <v>近年未見</v>
      </c>
      <c r="F1186" s="3" t="s">
        <v>156</v>
      </c>
      <c r="G1186" s="6"/>
      <c r="H1186" s="3" t="str">
        <f t="shared" si="2"/>
        <v>4</v>
      </c>
      <c r="I1186" s="3" t="s">
        <v>3154</v>
      </c>
      <c r="J1186" s="3" t="s">
        <v>181</v>
      </c>
      <c r="K1186" s="3">
        <v>2.0</v>
      </c>
      <c r="L1186" s="3">
        <v>1.0</v>
      </c>
      <c r="M1186" s="9" t="s">
        <v>236</v>
      </c>
      <c r="N1186" s="3" t="s">
        <v>44</v>
      </c>
      <c r="O1186" s="3"/>
      <c r="P1186" s="4" t="s">
        <v>548</v>
      </c>
      <c r="Q1186" s="3"/>
      <c r="R1186" s="3"/>
      <c r="S1186" s="6"/>
      <c r="T1186" s="6"/>
      <c r="U1186" s="6"/>
    </row>
    <row r="1187" ht="15.75" customHeight="1">
      <c r="A1187" s="4" t="s">
        <v>3155</v>
      </c>
      <c r="B1187" s="4" t="s">
        <v>3156</v>
      </c>
      <c r="C1187" s="4" t="s">
        <v>39</v>
      </c>
      <c r="D1187" s="8" t="s">
        <v>170</v>
      </c>
      <c r="E1187" s="3" t="str">
        <f t="shared" si="1"/>
        <v>近年未見</v>
      </c>
      <c r="F1187" s="3" t="s">
        <v>156</v>
      </c>
      <c r="G1187" s="6"/>
      <c r="H1187" s="3" t="str">
        <f t="shared" si="2"/>
        <v>4</v>
      </c>
      <c r="I1187" s="3" t="s">
        <v>3154</v>
      </c>
      <c r="J1187" s="3" t="s">
        <v>181</v>
      </c>
      <c r="K1187" s="3">
        <v>1.0</v>
      </c>
      <c r="L1187" s="3">
        <v>1.0</v>
      </c>
      <c r="M1187" s="9" t="s">
        <v>236</v>
      </c>
      <c r="N1187" s="3" t="s">
        <v>44</v>
      </c>
      <c r="O1187" s="3"/>
      <c r="P1187" s="4" t="s">
        <v>548</v>
      </c>
      <c r="Q1187" s="3"/>
      <c r="R1187" s="3"/>
      <c r="S1187" s="6"/>
      <c r="T1187" s="6"/>
      <c r="U1187" s="6"/>
    </row>
    <row r="1188" ht="15.75" customHeight="1">
      <c r="A1188" s="4" t="s">
        <v>3157</v>
      </c>
      <c r="B1188" s="4" t="s">
        <v>3158</v>
      </c>
      <c r="C1188" s="4" t="s">
        <v>39</v>
      </c>
      <c r="D1188" s="6"/>
      <c r="E1188" s="3" t="str">
        <f t="shared" si="1"/>
        <v>現存</v>
      </c>
      <c r="F1188" s="3" t="s">
        <v>156</v>
      </c>
      <c r="G1188" s="6"/>
      <c r="H1188" s="3" t="str">
        <f t="shared" si="2"/>
        <v>4</v>
      </c>
      <c r="I1188" s="3" t="s">
        <v>2739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548</v>
      </c>
      <c r="Q1188" s="3"/>
      <c r="R1188" s="3"/>
      <c r="S1188" s="6"/>
      <c r="T1188" s="6"/>
      <c r="U1188" s="6"/>
    </row>
    <row r="1189" ht="15.75" customHeight="1">
      <c r="A1189" s="4" t="s">
        <v>3159</v>
      </c>
      <c r="B1189" s="4" t="s">
        <v>3160</v>
      </c>
      <c r="C1189" s="4" t="s">
        <v>39</v>
      </c>
      <c r="D1189" s="6"/>
      <c r="E1189" s="3" t="str">
        <f t="shared" si="1"/>
        <v>現存</v>
      </c>
      <c r="F1189" s="3" t="s">
        <v>418</v>
      </c>
      <c r="G1189" s="6"/>
      <c r="H1189" s="3" t="str">
        <f t="shared" si="2"/>
        <v>4,6</v>
      </c>
      <c r="I1189" s="3" t="s">
        <v>3161</v>
      </c>
      <c r="J1189" s="3" t="s">
        <v>125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548</v>
      </c>
      <c r="Q1189" s="3"/>
      <c r="R1189" s="3"/>
      <c r="S1189" s="6"/>
      <c r="T1189" s="6"/>
      <c r="U1189" s="6"/>
    </row>
    <row r="1190" ht="15.75" customHeight="1">
      <c r="A1190" s="4" t="s">
        <v>3162</v>
      </c>
      <c r="B1190" s="4" t="s">
        <v>2993</v>
      </c>
      <c r="C1190" s="4" t="s">
        <v>39</v>
      </c>
      <c r="D1190" s="6"/>
      <c r="E1190" s="3" t="str">
        <f t="shared" si="1"/>
        <v>現存</v>
      </c>
      <c r="F1190" s="3" t="s">
        <v>566</v>
      </c>
      <c r="G1190" s="6"/>
      <c r="H1190" s="3" t="str">
        <f t="shared" si="2"/>
        <v>4,8</v>
      </c>
      <c r="I1190" s="3" t="s">
        <v>335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548</v>
      </c>
      <c r="Q1190" s="3"/>
      <c r="R1190" s="3"/>
      <c r="S1190" s="6"/>
      <c r="T1190" s="6"/>
      <c r="U1190" s="6"/>
    </row>
    <row r="1191" ht="15.75" customHeight="1">
      <c r="A1191" s="4" t="s">
        <v>3163</v>
      </c>
      <c r="B1191" s="4" t="s">
        <v>3164</v>
      </c>
      <c r="C1191" s="4" t="s">
        <v>39</v>
      </c>
      <c r="D1191" s="6"/>
      <c r="E1191" s="3" t="str">
        <f t="shared" si="1"/>
        <v>現存</v>
      </c>
      <c r="F1191" s="3" t="s">
        <v>148</v>
      </c>
      <c r="G1191" s="6"/>
      <c r="H1191" s="3" t="str">
        <f t="shared" si="2"/>
        <v>4,5</v>
      </c>
      <c r="I1191" s="3" t="s">
        <v>149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548</v>
      </c>
      <c r="Q1191" s="3"/>
      <c r="R1191" s="3"/>
      <c r="S1191" s="6"/>
      <c r="T1191" s="6"/>
      <c r="U1191" s="6"/>
    </row>
    <row r="1192" ht="15.75" customHeight="1">
      <c r="A1192" s="4" t="s">
        <v>3165</v>
      </c>
      <c r="B1192" s="4" t="s">
        <v>3166</v>
      </c>
      <c r="C1192" s="4" t="s">
        <v>39</v>
      </c>
      <c r="D1192" s="6"/>
      <c r="E1192" s="3" t="str">
        <f t="shared" si="1"/>
        <v>現存</v>
      </c>
      <c r="F1192" s="3" t="s">
        <v>3167</v>
      </c>
      <c r="G1192" s="6"/>
      <c r="H1192" s="3" t="str">
        <f t="shared" si="2"/>
        <v>4,5,6,8,9,11</v>
      </c>
      <c r="I1192" s="3" t="s">
        <v>303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548</v>
      </c>
      <c r="Q1192" s="3"/>
      <c r="R1192" s="3"/>
      <c r="S1192" s="6"/>
      <c r="T1192" s="6"/>
      <c r="U1192" s="6"/>
    </row>
    <row r="1193" ht="15.75" customHeight="1">
      <c r="A1193" s="4" t="s">
        <v>3168</v>
      </c>
      <c r="B1193" s="4" t="s">
        <v>3169</v>
      </c>
      <c r="C1193" s="4" t="s">
        <v>39</v>
      </c>
      <c r="D1193" s="6"/>
      <c r="E1193" s="3" t="str">
        <f t="shared" si="1"/>
        <v>現存</v>
      </c>
      <c r="F1193" s="3" t="s">
        <v>148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548</v>
      </c>
      <c r="Q1193" s="3"/>
      <c r="R1193" s="3"/>
      <c r="S1193" s="6"/>
      <c r="T1193" s="6"/>
      <c r="U1193" s="6"/>
    </row>
    <row r="1194" ht="15.75" customHeight="1">
      <c r="A1194" s="4" t="s">
        <v>3170</v>
      </c>
      <c r="B1194" s="4" t="s">
        <v>3171</v>
      </c>
      <c r="C1194" s="4" t="s">
        <v>39</v>
      </c>
      <c r="D1194" s="6"/>
      <c r="E1194" s="3" t="str">
        <f t="shared" si="1"/>
        <v>現存</v>
      </c>
      <c r="F1194" s="3" t="s">
        <v>3172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548</v>
      </c>
      <c r="Q1194" s="3"/>
      <c r="R1194" s="3"/>
      <c r="S1194" s="6"/>
      <c r="T1194" s="6"/>
      <c r="U1194" s="6"/>
    </row>
    <row r="1195" ht="15.75" customHeight="1">
      <c r="A1195" s="4" t="s">
        <v>3173</v>
      </c>
      <c r="B1195" s="4" t="s">
        <v>3174</v>
      </c>
      <c r="C1195" s="4" t="s">
        <v>39</v>
      </c>
      <c r="D1195" s="6"/>
      <c r="E1195" s="3" t="str">
        <f t="shared" si="1"/>
        <v>現存</v>
      </c>
      <c r="F1195" s="3" t="s">
        <v>3175</v>
      </c>
      <c r="G1195" s="6"/>
      <c r="H1195" s="3" t="str">
        <f t="shared" si="2"/>
        <v>4,5,6,7,8,9</v>
      </c>
      <c r="I1195" s="3" t="s">
        <v>303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548</v>
      </c>
      <c r="Q1195" s="3"/>
      <c r="R1195" s="3"/>
      <c r="S1195" s="6"/>
      <c r="T1195" s="6"/>
      <c r="U1195" s="6"/>
    </row>
    <row r="1196" ht="15.75" customHeight="1">
      <c r="A1196" s="4" t="s">
        <v>3176</v>
      </c>
      <c r="B1196" s="4" t="s">
        <v>3177</v>
      </c>
      <c r="C1196" s="4" t="s">
        <v>39</v>
      </c>
      <c r="D1196" s="6"/>
      <c r="E1196" s="3" t="str">
        <f t="shared" si="1"/>
        <v>現存</v>
      </c>
      <c r="F1196" s="3" t="s">
        <v>3178</v>
      </c>
      <c r="G1196" s="6"/>
      <c r="H1196" s="3" t="str">
        <f t="shared" si="2"/>
        <v>4,10,11,12</v>
      </c>
      <c r="I1196" s="3" t="s">
        <v>635</v>
      </c>
      <c r="J1196" s="3" t="s">
        <v>98</v>
      </c>
      <c r="K1196" s="3">
        <v>5.0</v>
      </c>
      <c r="L1196" s="3">
        <v>1.0</v>
      </c>
      <c r="M1196" s="9" t="s">
        <v>236</v>
      </c>
      <c r="N1196" s="3" t="s">
        <v>44</v>
      </c>
      <c r="O1196" s="3"/>
      <c r="P1196" s="4" t="s">
        <v>548</v>
      </c>
      <c r="Q1196" s="3"/>
      <c r="R1196" s="3"/>
      <c r="S1196" s="6"/>
      <c r="T1196" s="6"/>
      <c r="U1196" s="6"/>
    </row>
    <row r="1197" ht="15.75" customHeight="1">
      <c r="A1197" s="4" t="s">
        <v>3179</v>
      </c>
      <c r="B1197" s="4" t="s">
        <v>3180</v>
      </c>
      <c r="C1197" s="4" t="s">
        <v>39</v>
      </c>
      <c r="D1197" s="8" t="s">
        <v>170</v>
      </c>
      <c r="E1197" s="3" t="str">
        <f t="shared" si="1"/>
        <v>近年未見</v>
      </c>
      <c r="F1197" s="3" t="s">
        <v>1543</v>
      </c>
      <c r="G1197" s="6"/>
      <c r="H1197" s="3" t="str">
        <f t="shared" si="2"/>
        <v>4,5,6,7</v>
      </c>
      <c r="I1197" s="3" t="s">
        <v>797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548</v>
      </c>
      <c r="Q1197" s="3"/>
      <c r="R1197" s="3"/>
      <c r="S1197" s="6"/>
      <c r="T1197" s="6"/>
      <c r="U1197" s="6"/>
    </row>
    <row r="1198" ht="15.75" customHeight="1">
      <c r="A1198" s="4" t="s">
        <v>3181</v>
      </c>
      <c r="B1198" s="4" t="s">
        <v>3182</v>
      </c>
      <c r="C1198" s="4" t="s">
        <v>39</v>
      </c>
      <c r="D1198" s="6"/>
      <c r="E1198" s="3" t="str">
        <f t="shared" si="1"/>
        <v>現存</v>
      </c>
      <c r="F1198" s="3" t="s">
        <v>3183</v>
      </c>
      <c r="G1198" s="6"/>
      <c r="H1198" s="3" t="str">
        <f t="shared" si="2"/>
        <v>4,9,10</v>
      </c>
      <c r="I1198" s="3" t="s">
        <v>990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548</v>
      </c>
      <c r="Q1198" s="3"/>
      <c r="R1198" s="3"/>
      <c r="S1198" s="6"/>
      <c r="T1198" s="6"/>
      <c r="U1198" s="6"/>
    </row>
    <row r="1199" ht="15.75" customHeight="1">
      <c r="A1199" s="4" t="s">
        <v>3184</v>
      </c>
      <c r="B1199" s="4" t="s">
        <v>3185</v>
      </c>
      <c r="C1199" s="4" t="s">
        <v>39</v>
      </c>
      <c r="D1199" s="6"/>
      <c r="E1199" s="3" t="str">
        <f t="shared" si="1"/>
        <v>現存</v>
      </c>
      <c r="F1199" s="3" t="s">
        <v>156</v>
      </c>
      <c r="G1199" s="6"/>
      <c r="H1199" s="3" t="str">
        <f t="shared" si="2"/>
        <v>4</v>
      </c>
      <c r="I1199" s="3" t="s">
        <v>139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548</v>
      </c>
      <c r="Q1199" s="3"/>
      <c r="R1199" s="3"/>
      <c r="S1199" s="6"/>
      <c r="T1199" s="6"/>
      <c r="U1199" s="6"/>
    </row>
    <row r="1200" ht="15.75" customHeight="1">
      <c r="A1200" s="4" t="s">
        <v>3186</v>
      </c>
      <c r="B1200" s="4" t="s">
        <v>3187</v>
      </c>
      <c r="C1200" s="4" t="s">
        <v>39</v>
      </c>
      <c r="D1200" s="6"/>
      <c r="E1200" s="3" t="str">
        <f t="shared" si="1"/>
        <v>現存</v>
      </c>
      <c r="F1200" s="3" t="s">
        <v>163</v>
      </c>
      <c r="G1200" s="6"/>
      <c r="H1200" s="3" t="str">
        <f t="shared" si="2"/>
        <v>4,5,8</v>
      </c>
      <c r="I1200" s="3" t="s">
        <v>145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548</v>
      </c>
      <c r="Q1200" s="3"/>
      <c r="R1200" s="3"/>
      <c r="S1200" s="6"/>
      <c r="T1200" s="6"/>
      <c r="U1200" s="6"/>
    </row>
    <row r="1201" ht="15.75" customHeight="1">
      <c r="A1201" s="4" t="s">
        <v>3188</v>
      </c>
      <c r="B1201" s="4" t="s">
        <v>3189</v>
      </c>
      <c r="C1201" s="4" t="s">
        <v>170</v>
      </c>
      <c r="D1201" s="8" t="s">
        <v>381</v>
      </c>
      <c r="E1201" s="3" t="str">
        <f t="shared" si="1"/>
        <v>不收錄</v>
      </c>
      <c r="F1201" s="3" t="s">
        <v>156</v>
      </c>
      <c r="G1201" s="6"/>
      <c r="H1201" s="3" t="str">
        <f t="shared" si="2"/>
        <v>4</v>
      </c>
      <c r="I1201" s="3" t="s">
        <v>2319</v>
      </c>
      <c r="J1201" s="3" t="s">
        <v>42</v>
      </c>
      <c r="K1201" s="3">
        <v>1.0</v>
      </c>
      <c r="L1201" s="3">
        <v>0.0</v>
      </c>
      <c r="M1201" s="4" t="s">
        <v>236</v>
      </c>
      <c r="N1201" s="3"/>
      <c r="O1201" s="3"/>
      <c r="P1201" s="4" t="s">
        <v>548</v>
      </c>
      <c r="Q1201" s="3"/>
      <c r="R1201" s="3"/>
      <c r="S1201" s="6"/>
      <c r="T1201" s="6"/>
      <c r="U1201" s="6"/>
    </row>
    <row r="1202" ht="15.75" customHeight="1">
      <c r="A1202" s="4" t="s">
        <v>3190</v>
      </c>
      <c r="B1202" s="4" t="s">
        <v>3191</v>
      </c>
      <c r="C1202" s="4" t="s">
        <v>39</v>
      </c>
      <c r="D1202" s="6"/>
      <c r="E1202" s="3" t="str">
        <f t="shared" si="1"/>
        <v>現存</v>
      </c>
      <c r="F1202" s="3" t="s">
        <v>3192</v>
      </c>
      <c r="G1202" s="6"/>
      <c r="H1202" s="3" t="str">
        <f t="shared" si="2"/>
        <v>4,6,7,8,11</v>
      </c>
      <c r="I1202" s="3" t="s">
        <v>303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548</v>
      </c>
      <c r="Q1202" s="3"/>
      <c r="R1202" s="3"/>
      <c r="S1202" s="6"/>
      <c r="T1202" s="6"/>
      <c r="U1202" s="6"/>
    </row>
    <row r="1203" ht="15.75" customHeight="1">
      <c r="A1203" s="4" t="s">
        <v>3193</v>
      </c>
      <c r="B1203" s="4" t="s">
        <v>3194</v>
      </c>
      <c r="C1203" s="4" t="s">
        <v>39</v>
      </c>
      <c r="D1203" s="6"/>
      <c r="E1203" s="3" t="str">
        <f t="shared" si="1"/>
        <v>現存</v>
      </c>
      <c r="F1203" s="3" t="s">
        <v>2206</v>
      </c>
      <c r="G1203" s="6"/>
      <c r="H1203" s="3" t="str">
        <f t="shared" si="2"/>
        <v>5,7,9</v>
      </c>
      <c r="I1203" s="3" t="s">
        <v>112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548</v>
      </c>
      <c r="Q1203" s="3"/>
      <c r="R1203" s="3"/>
      <c r="S1203" s="6"/>
      <c r="T1203" s="6"/>
      <c r="U1203" s="6"/>
    </row>
    <row r="1204" ht="15.75" customHeight="1">
      <c r="A1204" s="4" t="s">
        <v>3195</v>
      </c>
      <c r="B1204" s="4" t="s">
        <v>3196</v>
      </c>
      <c r="C1204" s="4" t="s">
        <v>39</v>
      </c>
      <c r="D1204" s="6"/>
      <c r="E1204" s="3" t="str">
        <f t="shared" si="1"/>
        <v>現存</v>
      </c>
      <c r="F1204" s="3" t="s">
        <v>1348</v>
      </c>
      <c r="G1204" s="6"/>
      <c r="H1204" s="3" t="str">
        <f t="shared" si="2"/>
        <v>5,8,9</v>
      </c>
      <c r="I1204" s="3" t="s">
        <v>149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548</v>
      </c>
      <c r="Q1204" s="3"/>
      <c r="R1204" s="3"/>
      <c r="S1204" s="6"/>
      <c r="T1204" s="6"/>
      <c r="U1204" s="6"/>
    </row>
    <row r="1205" ht="15.75" customHeight="1">
      <c r="A1205" s="4" t="s">
        <v>3197</v>
      </c>
      <c r="B1205" s="4" t="s">
        <v>3198</v>
      </c>
      <c r="C1205" s="4" t="s">
        <v>39</v>
      </c>
      <c r="D1205" s="6"/>
      <c r="E1205" s="3" t="str">
        <f t="shared" si="1"/>
        <v>現存</v>
      </c>
      <c r="F1205" s="3" t="s">
        <v>302</v>
      </c>
      <c r="G1205" s="6"/>
      <c r="H1205" s="3" t="str">
        <f t="shared" si="2"/>
        <v>5,7,8</v>
      </c>
      <c r="I1205" s="3" t="s">
        <v>486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548</v>
      </c>
      <c r="Q1205" s="3"/>
      <c r="R1205" s="3"/>
      <c r="S1205" s="6"/>
      <c r="T1205" s="6"/>
      <c r="U1205" s="6"/>
    </row>
    <row r="1206" ht="15.75" customHeight="1">
      <c r="A1206" s="4" t="s">
        <v>3199</v>
      </c>
      <c r="B1206" s="4" t="s">
        <v>3200</v>
      </c>
      <c r="C1206" s="4" t="s">
        <v>39</v>
      </c>
      <c r="D1206" s="6"/>
      <c r="E1206" s="3" t="str">
        <f t="shared" si="1"/>
        <v>現存</v>
      </c>
      <c r="F1206" s="3" t="s">
        <v>450</v>
      </c>
      <c r="G1206" s="6"/>
      <c r="H1206" s="3" t="str">
        <f t="shared" si="2"/>
        <v>5</v>
      </c>
      <c r="I1206" s="3" t="s">
        <v>107</v>
      </c>
      <c r="J1206" s="3" t="s">
        <v>135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548</v>
      </c>
      <c r="Q1206" s="3"/>
      <c r="R1206" s="3"/>
      <c r="S1206" s="6"/>
      <c r="T1206" s="6"/>
      <c r="U1206" s="6"/>
    </row>
    <row r="1207" ht="15.75" customHeight="1">
      <c r="A1207" s="4" t="s">
        <v>3201</v>
      </c>
      <c r="B1207" s="4" t="s">
        <v>2828</v>
      </c>
      <c r="C1207" s="4" t="s">
        <v>39</v>
      </c>
      <c r="D1207" s="6"/>
      <c r="E1207" s="3" t="str">
        <f t="shared" si="1"/>
        <v>現存</v>
      </c>
      <c r="F1207" s="3" t="s">
        <v>3202</v>
      </c>
      <c r="G1207" s="6"/>
      <c r="H1207" s="3" t="str">
        <f t="shared" si="2"/>
        <v>5,6,7,8,10</v>
      </c>
      <c r="I1207" s="3" t="s">
        <v>271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130</v>
      </c>
      <c r="O1207" s="3"/>
      <c r="P1207" s="4" t="s">
        <v>548</v>
      </c>
      <c r="Q1207" s="3"/>
      <c r="R1207" s="3"/>
      <c r="S1207" s="6"/>
      <c r="T1207" s="6"/>
      <c r="U1207" s="6"/>
    </row>
    <row r="1208" ht="15.75" customHeight="1">
      <c r="A1208" s="4" t="s">
        <v>3203</v>
      </c>
      <c r="B1208" s="4" t="s">
        <v>3204</v>
      </c>
      <c r="C1208" s="4" t="s">
        <v>39</v>
      </c>
      <c r="D1208" s="6"/>
      <c r="E1208" s="3" t="str">
        <f t="shared" si="1"/>
        <v>現存</v>
      </c>
      <c r="F1208" s="3" t="s">
        <v>443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3205</v>
      </c>
      <c r="O1208" s="3"/>
      <c r="P1208" s="4" t="s">
        <v>548</v>
      </c>
      <c r="Q1208" s="3"/>
      <c r="R1208" s="3"/>
      <c r="S1208" s="6"/>
      <c r="T1208" s="6"/>
      <c r="U1208" s="6"/>
    </row>
    <row r="1209" ht="15.75" customHeight="1">
      <c r="A1209" s="4" t="s">
        <v>3206</v>
      </c>
      <c r="B1209" s="4" t="s">
        <v>3207</v>
      </c>
      <c r="C1209" s="4" t="s">
        <v>39</v>
      </c>
      <c r="D1209" s="6"/>
      <c r="E1209" s="3" t="str">
        <f t="shared" si="1"/>
        <v>現存</v>
      </c>
      <c r="F1209" s="3" t="s">
        <v>450</v>
      </c>
      <c r="G1209" s="6"/>
      <c r="H1209" s="3" t="str">
        <f t="shared" si="2"/>
        <v>5</v>
      </c>
      <c r="I1209" s="3" t="s">
        <v>2548</v>
      </c>
      <c r="J1209" s="3" t="s">
        <v>181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548</v>
      </c>
      <c r="Q1209" s="3"/>
      <c r="R1209" s="3"/>
      <c r="S1209" s="6"/>
      <c r="T1209" s="6"/>
      <c r="U1209" s="6"/>
    </row>
    <row r="1210" ht="15.75" customHeight="1">
      <c r="A1210" s="4" t="s">
        <v>3208</v>
      </c>
      <c r="B1210" s="4" t="s">
        <v>3209</v>
      </c>
      <c r="C1210" s="4" t="s">
        <v>39</v>
      </c>
      <c r="D1210" s="6"/>
      <c r="E1210" s="3" t="str">
        <f t="shared" si="1"/>
        <v>現存</v>
      </c>
      <c r="F1210" s="3" t="s">
        <v>2917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130</v>
      </c>
      <c r="O1210" s="3"/>
      <c r="P1210" s="4" t="s">
        <v>548</v>
      </c>
      <c r="Q1210" s="3"/>
      <c r="R1210" s="3"/>
      <c r="S1210" s="6"/>
      <c r="T1210" s="6"/>
      <c r="U1210" s="6"/>
    </row>
    <row r="1211" ht="15.75" customHeight="1">
      <c r="A1211" s="4" t="s">
        <v>3210</v>
      </c>
      <c r="B1211" s="4" t="s">
        <v>3211</v>
      </c>
      <c r="C1211" s="4" t="s">
        <v>39</v>
      </c>
      <c r="D1211" s="6"/>
      <c r="E1211" s="3" t="str">
        <f t="shared" si="1"/>
        <v>現存</v>
      </c>
      <c r="F1211" s="3" t="s">
        <v>3212</v>
      </c>
      <c r="G1211" s="6"/>
      <c r="H1211" s="3" t="str">
        <f t="shared" si="2"/>
        <v>5,7,8,9,10</v>
      </c>
      <c r="I1211" s="3" t="s">
        <v>107</v>
      </c>
      <c r="J1211" s="3" t="s">
        <v>912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548</v>
      </c>
      <c r="Q1211" s="3"/>
      <c r="R1211" s="3"/>
      <c r="S1211" s="6"/>
      <c r="T1211" s="6"/>
      <c r="U1211" s="6"/>
    </row>
    <row r="1212" ht="15.75" customHeight="1">
      <c r="A1212" s="4" t="s">
        <v>3213</v>
      </c>
      <c r="B1212" s="4" t="s">
        <v>3214</v>
      </c>
      <c r="C1212" s="4" t="s">
        <v>39</v>
      </c>
      <c r="D1212" s="6"/>
      <c r="E1212" s="3" t="str">
        <f t="shared" si="1"/>
        <v>現存</v>
      </c>
      <c r="F1212" s="3" t="s">
        <v>450</v>
      </c>
      <c r="G1212" s="6"/>
      <c r="H1212" s="3" t="str">
        <f t="shared" si="2"/>
        <v>5</v>
      </c>
      <c r="I1212" s="3" t="s">
        <v>107</v>
      </c>
      <c r="J1212" s="3" t="s">
        <v>135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548</v>
      </c>
      <c r="Q1212" s="3"/>
      <c r="R1212" s="3"/>
      <c r="S1212" s="6"/>
      <c r="T1212" s="6"/>
      <c r="U1212" s="6"/>
    </row>
    <row r="1213" ht="15.75" customHeight="1">
      <c r="A1213" s="4" t="s">
        <v>3215</v>
      </c>
      <c r="B1213" s="4" t="s">
        <v>3216</v>
      </c>
      <c r="C1213" s="4" t="s">
        <v>39</v>
      </c>
      <c r="D1213" s="6"/>
      <c r="E1213" s="3" t="str">
        <f t="shared" si="1"/>
        <v>現存</v>
      </c>
      <c r="F1213" s="3" t="s">
        <v>3217</v>
      </c>
      <c r="G1213" s="6"/>
      <c r="H1213" s="3" t="str">
        <f t="shared" si="2"/>
        <v>5,6,9,10,11</v>
      </c>
      <c r="I1213" s="3" t="s">
        <v>1845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548</v>
      </c>
      <c r="Q1213" s="3"/>
      <c r="R1213" s="3"/>
      <c r="S1213" s="6"/>
      <c r="T1213" s="6"/>
      <c r="U1213" s="6"/>
    </row>
    <row r="1214" ht="15.75" customHeight="1">
      <c r="A1214" s="4" t="s">
        <v>3218</v>
      </c>
      <c r="B1214" s="4" t="s">
        <v>3219</v>
      </c>
      <c r="C1214" s="4" t="s">
        <v>39</v>
      </c>
      <c r="D1214" s="6"/>
      <c r="E1214" s="3" t="str">
        <f t="shared" si="1"/>
        <v>現存</v>
      </c>
      <c r="F1214" s="3" t="s">
        <v>450</v>
      </c>
      <c r="G1214" s="6"/>
      <c r="H1214" s="3" t="str">
        <f t="shared" si="2"/>
        <v>5</v>
      </c>
      <c r="I1214" s="3" t="s">
        <v>3220</v>
      </c>
      <c r="J1214" s="3" t="s">
        <v>181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548</v>
      </c>
      <c r="Q1214" s="3"/>
      <c r="R1214" s="3"/>
      <c r="S1214" s="6"/>
      <c r="T1214" s="6"/>
      <c r="U1214" s="6"/>
    </row>
    <row r="1215" ht="15.75" customHeight="1">
      <c r="A1215" s="4" t="s">
        <v>3221</v>
      </c>
      <c r="B1215" s="4" t="s">
        <v>3222</v>
      </c>
      <c r="C1215" s="4" t="s">
        <v>39</v>
      </c>
      <c r="D1215" s="6"/>
      <c r="E1215" s="3" t="str">
        <f t="shared" si="1"/>
        <v>現存</v>
      </c>
      <c r="F1215" s="3" t="s">
        <v>443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548</v>
      </c>
      <c r="Q1215" s="3"/>
      <c r="R1215" s="3"/>
      <c r="S1215" s="6"/>
      <c r="T1215" s="6"/>
      <c r="U1215" s="6"/>
    </row>
    <row r="1216" ht="15.75" customHeight="1">
      <c r="A1216" s="4" t="s">
        <v>3223</v>
      </c>
      <c r="B1216" s="4" t="s">
        <v>3224</v>
      </c>
      <c r="C1216" s="4" t="s">
        <v>39</v>
      </c>
      <c r="D1216" s="6"/>
      <c r="E1216" s="3" t="str">
        <f t="shared" si="1"/>
        <v>現存</v>
      </c>
      <c r="F1216" s="3" t="s">
        <v>450</v>
      </c>
      <c r="G1216" s="6"/>
      <c r="H1216" s="3" t="str">
        <f t="shared" si="2"/>
        <v>5</v>
      </c>
      <c r="I1216" s="3" t="s">
        <v>107</v>
      </c>
      <c r="J1216" s="3" t="s">
        <v>135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548</v>
      </c>
      <c r="Q1216" s="3"/>
      <c r="R1216" s="3"/>
      <c r="S1216" s="6"/>
      <c r="T1216" s="6"/>
      <c r="U1216" s="6"/>
    </row>
    <row r="1217" ht="15.75" customHeight="1">
      <c r="A1217" s="4" t="s">
        <v>3225</v>
      </c>
      <c r="B1217" s="9" t="s">
        <v>1367</v>
      </c>
      <c r="C1217" s="4" t="s">
        <v>39</v>
      </c>
      <c r="D1217" s="6"/>
      <c r="E1217" s="3" t="str">
        <f t="shared" si="1"/>
        <v>現存</v>
      </c>
      <c r="F1217" s="3" t="s">
        <v>960</v>
      </c>
      <c r="G1217" s="6"/>
      <c r="H1217" s="3" t="str">
        <f t="shared" si="2"/>
        <v>5,12</v>
      </c>
      <c r="I1217" s="3" t="s">
        <v>149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548</v>
      </c>
      <c r="Q1217" s="3"/>
      <c r="R1217" s="3"/>
      <c r="S1217" s="6"/>
      <c r="T1217" s="6"/>
      <c r="U1217" s="6"/>
    </row>
    <row r="1218" ht="15.75" customHeight="1">
      <c r="A1218" s="4" t="s">
        <v>3226</v>
      </c>
      <c r="B1218" s="4" t="s">
        <v>3227</v>
      </c>
      <c r="C1218" s="4" t="s">
        <v>39</v>
      </c>
      <c r="D1218" s="6"/>
      <c r="E1218" s="3" t="str">
        <f t="shared" si="1"/>
        <v>現存</v>
      </c>
      <c r="F1218" s="3" t="s">
        <v>171</v>
      </c>
      <c r="G1218" s="6"/>
      <c r="H1218" s="3" t="str">
        <f t="shared" si="2"/>
        <v>5,6</v>
      </c>
      <c r="I1218" s="3" t="s">
        <v>857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548</v>
      </c>
      <c r="Q1218" s="3"/>
      <c r="R1218" s="3"/>
      <c r="S1218" s="6"/>
      <c r="T1218" s="6"/>
      <c r="U1218" s="8" t="s">
        <v>3228</v>
      </c>
    </row>
    <row r="1219" ht="15.75" customHeight="1">
      <c r="A1219" s="4" t="s">
        <v>3229</v>
      </c>
      <c r="B1219" s="4" t="s">
        <v>3230</v>
      </c>
      <c r="C1219" s="4" t="s">
        <v>39</v>
      </c>
      <c r="D1219" s="6"/>
      <c r="E1219" s="3" t="str">
        <f t="shared" si="1"/>
        <v>現存</v>
      </c>
      <c r="F1219" s="3" t="s">
        <v>450</v>
      </c>
      <c r="G1219" s="6"/>
      <c r="H1219" s="3" t="str">
        <f t="shared" si="2"/>
        <v>5</v>
      </c>
      <c r="I1219" s="3" t="s">
        <v>3231</v>
      </c>
      <c r="J1219" s="3" t="s">
        <v>181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548</v>
      </c>
      <c r="Q1219" s="3"/>
      <c r="R1219" s="3"/>
      <c r="S1219" s="6"/>
      <c r="T1219" s="6"/>
      <c r="U1219" s="6"/>
    </row>
    <row r="1220" ht="15.75" customHeight="1">
      <c r="A1220" s="4" t="s">
        <v>3232</v>
      </c>
      <c r="B1220" s="4" t="s">
        <v>3233</v>
      </c>
      <c r="C1220" s="4" t="s">
        <v>39</v>
      </c>
      <c r="D1220" s="6"/>
      <c r="E1220" s="3" t="str">
        <f t="shared" si="1"/>
        <v>現存</v>
      </c>
      <c r="F1220" s="3" t="s">
        <v>299</v>
      </c>
      <c r="G1220" s="6"/>
      <c r="H1220" s="3" t="str">
        <f t="shared" si="2"/>
        <v>5,6,7,8,11</v>
      </c>
      <c r="I1220" s="3" t="s">
        <v>589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548</v>
      </c>
      <c r="Q1220" s="3"/>
      <c r="R1220" s="3"/>
      <c r="S1220" s="6"/>
      <c r="T1220" s="6"/>
      <c r="U1220" s="6"/>
    </row>
    <row r="1221" ht="15.75" customHeight="1">
      <c r="A1221" s="4" t="s">
        <v>3234</v>
      </c>
      <c r="B1221" s="4" t="s">
        <v>3235</v>
      </c>
      <c r="C1221" s="4" t="s">
        <v>39</v>
      </c>
      <c r="D1221" s="6"/>
      <c r="E1221" s="3" t="str">
        <f t="shared" si="1"/>
        <v>現存</v>
      </c>
      <c r="F1221" s="3" t="s">
        <v>171</v>
      </c>
      <c r="G1221" s="6"/>
      <c r="H1221" s="3" t="str">
        <f t="shared" si="2"/>
        <v>5,6</v>
      </c>
      <c r="I1221" s="3" t="s">
        <v>145</v>
      </c>
      <c r="J1221" s="3" t="s">
        <v>1066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548</v>
      </c>
      <c r="Q1221" s="3"/>
      <c r="R1221" s="3"/>
      <c r="S1221" s="6"/>
      <c r="T1221" s="6"/>
      <c r="U1221" s="8" t="s">
        <v>3236</v>
      </c>
    </row>
    <row r="1222" ht="15.75" customHeight="1">
      <c r="A1222" s="4" t="s">
        <v>3237</v>
      </c>
      <c r="B1222" s="4" t="s">
        <v>3238</v>
      </c>
      <c r="C1222" s="4" t="s">
        <v>39</v>
      </c>
      <c r="D1222" s="6"/>
      <c r="E1222" s="3" t="str">
        <f t="shared" si="1"/>
        <v>現存</v>
      </c>
      <c r="F1222" s="3" t="s">
        <v>171</v>
      </c>
      <c r="G1222" s="6"/>
      <c r="H1222" s="3" t="str">
        <f t="shared" si="2"/>
        <v>5,6</v>
      </c>
      <c r="I1222" s="3" t="s">
        <v>145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548</v>
      </c>
      <c r="Q1222" s="3"/>
      <c r="R1222" s="3"/>
      <c r="S1222" s="6"/>
      <c r="T1222" s="6"/>
      <c r="U1222" s="6"/>
    </row>
    <row r="1223" ht="15.75" customHeight="1">
      <c r="A1223" s="4" t="s">
        <v>3239</v>
      </c>
      <c r="B1223" s="4" t="s">
        <v>3240</v>
      </c>
      <c r="C1223" s="4" t="s">
        <v>39</v>
      </c>
      <c r="D1223" s="6"/>
      <c r="E1223" s="3" t="str">
        <f t="shared" si="1"/>
        <v>現存</v>
      </c>
      <c r="F1223" s="3" t="s">
        <v>3241</v>
      </c>
      <c r="G1223" s="6"/>
      <c r="H1223" s="3" t="str">
        <f t="shared" si="2"/>
        <v>5,8,11</v>
      </c>
      <c r="I1223" s="3" t="s">
        <v>160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548</v>
      </c>
      <c r="Q1223" s="3"/>
      <c r="R1223" s="3"/>
      <c r="S1223" s="6"/>
      <c r="T1223" s="6"/>
      <c r="U1223" s="6"/>
    </row>
    <row r="1224" ht="15.75" customHeight="1">
      <c r="A1224" s="4" t="s">
        <v>3242</v>
      </c>
      <c r="B1224" s="4" t="s">
        <v>3243</v>
      </c>
      <c r="C1224" s="4" t="s">
        <v>39</v>
      </c>
      <c r="D1224" s="6"/>
      <c r="E1224" s="3" t="str">
        <f t="shared" si="1"/>
        <v>現存</v>
      </c>
      <c r="F1224" s="3" t="s">
        <v>2211</v>
      </c>
      <c r="G1224" s="6"/>
      <c r="H1224" s="3" t="str">
        <f t="shared" si="2"/>
        <v>5,7</v>
      </c>
      <c r="I1224" s="3" t="s">
        <v>738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3094</v>
      </c>
      <c r="Q1224" s="3"/>
      <c r="R1224" s="3"/>
      <c r="S1224" s="6"/>
      <c r="T1224" s="6"/>
      <c r="U1224" s="6"/>
    </row>
    <row r="1225" ht="15.75" customHeight="1">
      <c r="A1225" s="4" t="s">
        <v>3244</v>
      </c>
      <c r="B1225" s="4" t="s">
        <v>3245</v>
      </c>
      <c r="C1225" s="4" t="s">
        <v>39</v>
      </c>
      <c r="D1225" s="6"/>
      <c r="E1225" s="3" t="str">
        <f t="shared" si="1"/>
        <v>現存</v>
      </c>
      <c r="F1225" s="3" t="s">
        <v>1358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548</v>
      </c>
      <c r="Q1225" s="3"/>
      <c r="R1225" s="3"/>
      <c r="S1225" s="6"/>
      <c r="T1225" s="6"/>
      <c r="U1225" s="6"/>
    </row>
    <row r="1226" ht="15.75" customHeight="1">
      <c r="A1226" s="4" t="s">
        <v>3246</v>
      </c>
      <c r="B1226" s="4" t="s">
        <v>3247</v>
      </c>
      <c r="C1226" s="4" t="s">
        <v>39</v>
      </c>
      <c r="D1226" s="6"/>
      <c r="E1226" s="3" t="str">
        <f t="shared" si="1"/>
        <v>現存</v>
      </c>
      <c r="F1226" s="3" t="s">
        <v>3248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548</v>
      </c>
      <c r="Q1226" s="3"/>
      <c r="R1226" s="3"/>
      <c r="S1226" s="6"/>
      <c r="T1226" s="6"/>
      <c r="U1226" s="6"/>
    </row>
    <row r="1227" ht="15.75" customHeight="1">
      <c r="A1227" s="4" t="s">
        <v>3249</v>
      </c>
      <c r="B1227" s="4" t="s">
        <v>3250</v>
      </c>
      <c r="C1227" s="4" t="s">
        <v>39</v>
      </c>
      <c r="D1227" s="6"/>
      <c r="E1227" s="3" t="str">
        <f t="shared" si="1"/>
        <v>現存</v>
      </c>
      <c r="F1227" s="3" t="s">
        <v>2240</v>
      </c>
      <c r="G1227" s="6"/>
      <c r="H1227" s="3" t="str">
        <f t="shared" si="2"/>
        <v>6,7,10,11</v>
      </c>
      <c r="I1227" s="3" t="s">
        <v>589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548</v>
      </c>
      <c r="Q1227" s="3"/>
      <c r="R1227" s="3"/>
      <c r="S1227" s="6"/>
      <c r="T1227" s="6"/>
      <c r="U1227" s="6"/>
    </row>
    <row r="1228" ht="15.75" customHeight="1">
      <c r="A1228" s="4" t="s">
        <v>3251</v>
      </c>
      <c r="B1228" s="4" t="s">
        <v>3252</v>
      </c>
      <c r="C1228" s="4" t="s">
        <v>39</v>
      </c>
      <c r="D1228" s="6"/>
      <c r="E1228" s="3" t="str">
        <f t="shared" si="1"/>
        <v>現存</v>
      </c>
      <c r="F1228" s="3" t="s">
        <v>3253</v>
      </c>
      <c r="G1228" s="6"/>
      <c r="H1228" s="3" t="str">
        <f t="shared" si="2"/>
        <v>6,10</v>
      </c>
      <c r="I1228" s="3" t="s">
        <v>444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548</v>
      </c>
      <c r="Q1228" s="3"/>
      <c r="R1228" s="3"/>
      <c r="S1228" s="6"/>
      <c r="T1228" s="6"/>
      <c r="U1228" s="6"/>
    </row>
    <row r="1229" ht="15.75" customHeight="1">
      <c r="A1229" s="4" t="s">
        <v>3254</v>
      </c>
      <c r="B1229" s="4" t="s">
        <v>3255</v>
      </c>
      <c r="C1229" s="4" t="s">
        <v>39</v>
      </c>
      <c r="D1229" s="6"/>
      <c r="E1229" s="3" t="str">
        <f t="shared" si="1"/>
        <v>現存</v>
      </c>
      <c r="F1229" s="3" t="s">
        <v>588</v>
      </c>
      <c r="G1229" s="6"/>
      <c r="H1229" s="3" t="str">
        <f t="shared" si="2"/>
        <v>6,7</v>
      </c>
      <c r="I1229" s="3" t="s">
        <v>1225</v>
      </c>
      <c r="J1229" s="3" t="s">
        <v>125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548</v>
      </c>
      <c r="Q1229" s="3"/>
      <c r="R1229" s="3"/>
      <c r="S1229" s="6"/>
      <c r="T1229" s="6"/>
      <c r="U1229" s="6"/>
    </row>
    <row r="1230" ht="15.75" customHeight="1">
      <c r="A1230" s="4" t="s">
        <v>3256</v>
      </c>
      <c r="B1230" s="4" t="s">
        <v>3257</v>
      </c>
      <c r="C1230" s="4" t="s">
        <v>39</v>
      </c>
      <c r="D1230" s="6"/>
      <c r="E1230" s="3" t="str">
        <f t="shared" si="1"/>
        <v>現存</v>
      </c>
      <c r="F1230" s="3" t="s">
        <v>3258</v>
      </c>
      <c r="G1230" s="6"/>
      <c r="H1230" s="3" t="str">
        <f t="shared" si="2"/>
        <v>1,3,6,8,11</v>
      </c>
      <c r="I1230" s="3" t="s">
        <v>857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3259</v>
      </c>
      <c r="O1230" s="3"/>
      <c r="P1230" s="4" t="s">
        <v>3260</v>
      </c>
      <c r="Q1230" s="3"/>
      <c r="R1230" s="3"/>
      <c r="S1230" s="6"/>
      <c r="T1230" s="6"/>
      <c r="U1230" s="6"/>
    </row>
    <row r="1231" ht="15.75" customHeight="1">
      <c r="A1231" s="4" t="s">
        <v>3261</v>
      </c>
      <c r="B1231" s="4" t="s">
        <v>3262</v>
      </c>
      <c r="C1231" s="4" t="s">
        <v>39</v>
      </c>
      <c r="D1231" s="6"/>
      <c r="E1231" s="3" t="str">
        <f t="shared" si="1"/>
        <v>現存</v>
      </c>
      <c r="F1231" s="3" t="s">
        <v>3263</v>
      </c>
      <c r="G1231" s="6"/>
      <c r="H1231" s="3" t="str">
        <f t="shared" si="2"/>
        <v>1,2,3,4,7,10</v>
      </c>
      <c r="I1231" s="3" t="s">
        <v>74</v>
      </c>
      <c r="J1231" s="3" t="s">
        <v>193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3260</v>
      </c>
      <c r="Q1231" s="3"/>
      <c r="R1231" s="3"/>
      <c r="S1231" s="6"/>
      <c r="T1231" s="6"/>
      <c r="U1231" s="6"/>
    </row>
    <row r="1232" ht="15.75" customHeight="1">
      <c r="A1232" s="4" t="s">
        <v>3264</v>
      </c>
      <c r="B1232" s="4" t="s">
        <v>3265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709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3260</v>
      </c>
      <c r="Q1232" s="3"/>
      <c r="R1232" s="3"/>
      <c r="S1232" s="6"/>
      <c r="T1232" s="6"/>
      <c r="U1232" s="6"/>
    </row>
    <row r="1233" ht="15.75" customHeight="1">
      <c r="A1233" s="4" t="s">
        <v>3266</v>
      </c>
      <c r="B1233" s="4" t="s">
        <v>3267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3260</v>
      </c>
      <c r="Q1233" s="3"/>
      <c r="R1233" s="3"/>
      <c r="S1233" s="6"/>
      <c r="T1233" s="6"/>
      <c r="U1233" s="6"/>
    </row>
    <row r="1234" ht="15.75" customHeight="1">
      <c r="A1234" s="4" t="s">
        <v>3268</v>
      </c>
      <c r="B1234" s="4" t="s">
        <v>3269</v>
      </c>
      <c r="C1234" s="4" t="s">
        <v>39</v>
      </c>
      <c r="D1234" s="6"/>
      <c r="E1234" s="3" t="str">
        <f t="shared" si="1"/>
        <v>現存</v>
      </c>
      <c r="F1234" s="3" t="s">
        <v>935</v>
      </c>
      <c r="G1234" s="6"/>
      <c r="H1234" s="3" t="str">
        <f t="shared" si="2"/>
        <v>2,3,4</v>
      </c>
      <c r="I1234" s="3" t="s">
        <v>142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3260</v>
      </c>
      <c r="Q1234" s="3"/>
      <c r="R1234" s="3"/>
      <c r="S1234" s="6"/>
      <c r="T1234" s="6"/>
      <c r="U1234" s="6"/>
    </row>
    <row r="1235" ht="15.75" customHeight="1">
      <c r="A1235" s="4" t="s">
        <v>3270</v>
      </c>
      <c r="B1235" s="4" t="s">
        <v>3271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212</v>
      </c>
      <c r="J1235" s="3" t="s">
        <v>135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3260</v>
      </c>
      <c r="Q1235" s="3"/>
      <c r="R1235" s="3"/>
      <c r="S1235" s="6"/>
      <c r="T1235" s="6"/>
      <c r="U1235" s="6"/>
    </row>
    <row r="1236" ht="15.75" customHeight="1">
      <c r="A1236" s="4" t="s">
        <v>3272</v>
      </c>
      <c r="B1236" s="4" t="s">
        <v>3273</v>
      </c>
      <c r="C1236" s="4" t="s">
        <v>39</v>
      </c>
      <c r="D1236" s="8" t="s">
        <v>170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766</v>
      </c>
      <c r="J1236" s="3" t="s">
        <v>181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3260</v>
      </c>
      <c r="Q1236" s="3"/>
      <c r="R1236" s="3"/>
      <c r="S1236" s="6"/>
      <c r="T1236" s="6"/>
      <c r="U1236" s="6"/>
    </row>
    <row r="1237" ht="15.75" customHeight="1">
      <c r="A1237" s="4" t="s">
        <v>3274</v>
      </c>
      <c r="B1237" s="4" t="s">
        <v>3275</v>
      </c>
      <c r="C1237" s="4" t="s">
        <v>39</v>
      </c>
      <c r="D1237" s="6"/>
      <c r="E1237" s="3" t="str">
        <f t="shared" si="1"/>
        <v>現存</v>
      </c>
      <c r="F1237" s="3" t="s">
        <v>218</v>
      </c>
      <c r="G1237" s="6"/>
      <c r="H1237" s="3" t="str">
        <f t="shared" si="2"/>
        <v>2,3</v>
      </c>
      <c r="I1237" s="3" t="s">
        <v>212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156</v>
      </c>
      <c r="O1237" s="3"/>
      <c r="P1237" s="4" t="s">
        <v>3260</v>
      </c>
      <c r="Q1237" s="3"/>
      <c r="R1237" s="3"/>
      <c r="S1237" s="6"/>
      <c r="T1237" s="6"/>
      <c r="U1237" s="6"/>
    </row>
    <row r="1238" ht="15.75" customHeight="1">
      <c r="A1238" s="4" t="s">
        <v>3276</v>
      </c>
      <c r="B1238" s="4" t="s">
        <v>3277</v>
      </c>
      <c r="C1238" s="4" t="s">
        <v>39</v>
      </c>
      <c r="D1238" s="6"/>
      <c r="E1238" s="3" t="str">
        <f t="shared" si="1"/>
        <v>現存</v>
      </c>
      <c r="F1238" s="3" t="s">
        <v>3278</v>
      </c>
      <c r="G1238" s="6"/>
      <c r="H1238" s="3" t="str">
        <f t="shared" si="2"/>
        <v>3,4,5,6,8</v>
      </c>
      <c r="I1238" s="3" t="s">
        <v>303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3260</v>
      </c>
      <c r="Q1238" s="3"/>
      <c r="R1238" s="3"/>
      <c r="S1238" s="6"/>
      <c r="T1238" s="6"/>
      <c r="U1238" s="6"/>
    </row>
    <row r="1239" ht="15.75" customHeight="1">
      <c r="A1239" s="4" t="s">
        <v>3279</v>
      </c>
      <c r="B1239" s="4" t="s">
        <v>3280</v>
      </c>
      <c r="C1239" s="4" t="s">
        <v>39</v>
      </c>
      <c r="D1239" s="6"/>
      <c r="E1239" s="3" t="str">
        <f t="shared" si="1"/>
        <v>現存</v>
      </c>
      <c r="F1239" s="3" t="s">
        <v>3281</v>
      </c>
      <c r="G1239" s="6"/>
      <c r="H1239" s="3" t="str">
        <f t="shared" si="2"/>
        <v>3,5,8,10</v>
      </c>
      <c r="I1239" s="3" t="s">
        <v>2575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3260</v>
      </c>
      <c r="Q1239" s="3"/>
      <c r="R1239" s="3"/>
      <c r="S1239" s="6"/>
      <c r="T1239" s="6"/>
      <c r="U1239" s="6"/>
    </row>
    <row r="1240" ht="15.75" customHeight="1">
      <c r="A1240" s="4" t="s">
        <v>3282</v>
      </c>
      <c r="B1240" s="4" t="s">
        <v>3283</v>
      </c>
      <c r="C1240" s="4" t="s">
        <v>39</v>
      </c>
      <c r="D1240" s="6"/>
      <c r="E1240" s="3" t="str">
        <f t="shared" si="1"/>
        <v>現存</v>
      </c>
      <c r="F1240" s="3" t="s">
        <v>3284</v>
      </c>
      <c r="G1240" s="6"/>
      <c r="H1240" s="3" t="str">
        <f t="shared" si="2"/>
        <v>3,5,6</v>
      </c>
      <c r="I1240" s="3" t="s">
        <v>1207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3260</v>
      </c>
      <c r="Q1240" s="3"/>
      <c r="R1240" s="3"/>
      <c r="S1240" s="6"/>
      <c r="T1240" s="6"/>
      <c r="U1240" s="6"/>
    </row>
    <row r="1241" ht="15.75" customHeight="1">
      <c r="A1241" s="4" t="s">
        <v>3285</v>
      </c>
      <c r="B1241" s="4" t="s">
        <v>3286</v>
      </c>
      <c r="C1241" s="4" t="s">
        <v>39</v>
      </c>
      <c r="D1241" s="6"/>
      <c r="E1241" s="3" t="str">
        <f t="shared" si="1"/>
        <v>現存</v>
      </c>
      <c r="F1241" s="3" t="s">
        <v>3287</v>
      </c>
      <c r="G1241" s="6"/>
      <c r="H1241" s="3" t="str">
        <f t="shared" si="2"/>
        <v>3,12</v>
      </c>
      <c r="I1241" s="3" t="s">
        <v>2113</v>
      </c>
      <c r="J1241" s="3" t="s">
        <v>125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3260</v>
      </c>
      <c r="Q1241" s="3"/>
      <c r="R1241" s="3"/>
      <c r="S1241" s="6"/>
      <c r="T1241" s="6"/>
      <c r="U1241" s="6"/>
    </row>
    <row r="1242" ht="15.75" customHeight="1">
      <c r="A1242" s="4" t="s">
        <v>3288</v>
      </c>
      <c r="B1242" s="4" t="s">
        <v>3289</v>
      </c>
      <c r="C1242" s="4" t="s">
        <v>39</v>
      </c>
      <c r="D1242" s="6"/>
      <c r="E1242" s="3" t="str">
        <f t="shared" si="1"/>
        <v>現存</v>
      </c>
      <c r="F1242" s="3" t="s">
        <v>116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3290</v>
      </c>
      <c r="O1242" s="3"/>
      <c r="P1242" s="4" t="s">
        <v>3260</v>
      </c>
      <c r="Q1242" s="3"/>
      <c r="R1242" s="3"/>
      <c r="S1242" s="6"/>
      <c r="T1242" s="6"/>
      <c r="U1242" s="6"/>
    </row>
    <row r="1243" ht="15.75" customHeight="1">
      <c r="A1243" s="4" t="s">
        <v>3291</v>
      </c>
      <c r="B1243" s="4" t="s">
        <v>3292</v>
      </c>
      <c r="C1243" s="4" t="s">
        <v>39</v>
      </c>
      <c r="D1243" s="6"/>
      <c r="E1243" s="3" t="str">
        <f t="shared" si="1"/>
        <v>現存</v>
      </c>
      <c r="F1243" s="3" t="s">
        <v>425</v>
      </c>
      <c r="G1243" s="6"/>
      <c r="H1243" s="3" t="str">
        <f t="shared" si="2"/>
        <v>4,5,6</v>
      </c>
      <c r="I1243" s="3" t="s">
        <v>145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3260</v>
      </c>
      <c r="Q1243" s="3"/>
      <c r="R1243" s="3"/>
      <c r="S1243" s="6"/>
      <c r="T1243" s="6"/>
      <c r="U1243" s="6"/>
    </row>
    <row r="1244" ht="15.75" customHeight="1">
      <c r="A1244" s="4" t="s">
        <v>3293</v>
      </c>
      <c r="B1244" s="4" t="s">
        <v>3294</v>
      </c>
      <c r="C1244" s="4" t="s">
        <v>39</v>
      </c>
      <c r="D1244" s="6"/>
      <c r="E1244" s="3" t="str">
        <f t="shared" si="1"/>
        <v>現存</v>
      </c>
      <c r="F1244" s="3" t="s">
        <v>418</v>
      </c>
      <c r="G1244" s="6"/>
      <c r="H1244" s="3" t="str">
        <f t="shared" si="2"/>
        <v>4,6</v>
      </c>
      <c r="I1244" s="3" t="s">
        <v>444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156</v>
      </c>
      <c r="O1244" s="3"/>
      <c r="P1244" s="4" t="s">
        <v>3260</v>
      </c>
      <c r="Q1244" s="3"/>
      <c r="R1244" s="3"/>
      <c r="S1244" s="6"/>
      <c r="T1244" s="6"/>
      <c r="U1244" s="6"/>
    </row>
    <row r="1245" ht="15.75" customHeight="1">
      <c r="A1245" s="4" t="s">
        <v>3295</v>
      </c>
      <c r="B1245" s="4" t="s">
        <v>3296</v>
      </c>
      <c r="C1245" s="4" t="s">
        <v>39</v>
      </c>
      <c r="D1245" s="8" t="s">
        <v>381</v>
      </c>
      <c r="E1245" s="3" t="str">
        <f t="shared" si="1"/>
        <v>不收錄</v>
      </c>
      <c r="F1245" s="3" t="s">
        <v>156</v>
      </c>
      <c r="G1245" s="6"/>
      <c r="H1245" s="3" t="str">
        <f t="shared" si="2"/>
        <v>4</v>
      </c>
      <c r="I1245" s="3" t="s">
        <v>139</v>
      </c>
      <c r="J1245" s="3" t="s">
        <v>135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3260</v>
      </c>
      <c r="Q1245" s="3"/>
      <c r="R1245" s="3"/>
      <c r="S1245" s="6"/>
      <c r="T1245" s="6"/>
      <c r="U1245" s="6"/>
    </row>
    <row r="1246" ht="15.75" customHeight="1">
      <c r="A1246" s="4" t="s">
        <v>3297</v>
      </c>
      <c r="B1246" s="4" t="s">
        <v>3298</v>
      </c>
      <c r="C1246" s="4" t="s">
        <v>39</v>
      </c>
      <c r="D1246" s="6"/>
      <c r="E1246" s="3" t="str">
        <f t="shared" si="1"/>
        <v>現存</v>
      </c>
      <c r="F1246" s="3" t="s">
        <v>3299</v>
      </c>
      <c r="G1246" s="6"/>
      <c r="H1246" s="3" t="str">
        <f t="shared" si="2"/>
        <v>4,5,8,9,12</v>
      </c>
      <c r="I1246" s="3" t="s">
        <v>160</v>
      </c>
      <c r="J1246" s="3" t="s">
        <v>193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3260</v>
      </c>
      <c r="Q1246" s="3"/>
      <c r="R1246" s="3"/>
      <c r="S1246" s="6"/>
      <c r="T1246" s="6"/>
      <c r="U1246" s="6"/>
    </row>
    <row r="1247" ht="15.75" customHeight="1">
      <c r="A1247" s="4" t="s">
        <v>3300</v>
      </c>
      <c r="B1247" s="4" t="s">
        <v>3301</v>
      </c>
      <c r="C1247" s="4" t="s">
        <v>39</v>
      </c>
      <c r="D1247" s="6"/>
      <c r="E1247" s="3" t="str">
        <f t="shared" si="1"/>
        <v>現存</v>
      </c>
      <c r="F1247" s="3" t="s">
        <v>156</v>
      </c>
      <c r="G1247" s="6"/>
      <c r="H1247" s="3" t="str">
        <f t="shared" si="2"/>
        <v>4</v>
      </c>
      <c r="I1247" s="3" t="s">
        <v>2178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3260</v>
      </c>
      <c r="Q1247" s="3"/>
      <c r="R1247" s="3"/>
      <c r="S1247" s="6"/>
      <c r="T1247" s="6"/>
      <c r="U1247" s="6"/>
    </row>
    <row r="1248" ht="15.75" customHeight="1">
      <c r="A1248" s="4" t="s">
        <v>3302</v>
      </c>
      <c r="B1248" s="4" t="s">
        <v>3303</v>
      </c>
      <c r="C1248" s="4" t="s">
        <v>170</v>
      </c>
      <c r="D1248" s="8" t="s">
        <v>381</v>
      </c>
      <c r="E1248" s="3" t="str">
        <f t="shared" si="1"/>
        <v>不收錄</v>
      </c>
      <c r="F1248" s="3" t="s">
        <v>156</v>
      </c>
      <c r="G1248" s="6"/>
      <c r="H1248" s="3" t="str">
        <f t="shared" si="2"/>
        <v>4</v>
      </c>
      <c r="I1248" s="3" t="s">
        <v>2140</v>
      </c>
      <c r="J1248" s="3" t="s">
        <v>181</v>
      </c>
      <c r="K1248" s="3">
        <v>1.0</v>
      </c>
      <c r="L1248" s="3">
        <v>0.0</v>
      </c>
      <c r="M1248" s="4" t="s">
        <v>236</v>
      </c>
      <c r="N1248" s="3"/>
      <c r="O1248" s="3"/>
      <c r="P1248" s="4" t="s">
        <v>3260</v>
      </c>
      <c r="Q1248" s="3"/>
      <c r="R1248" s="3"/>
      <c r="S1248" s="6"/>
      <c r="T1248" s="6"/>
      <c r="U1248" s="6"/>
    </row>
    <row r="1249" ht="15.75" customHeight="1">
      <c r="A1249" s="4" t="s">
        <v>3304</v>
      </c>
      <c r="B1249" s="4" t="s">
        <v>3305</v>
      </c>
      <c r="C1249" s="4" t="s">
        <v>39</v>
      </c>
      <c r="D1249" s="6"/>
      <c r="E1249" s="3" t="str">
        <f t="shared" si="1"/>
        <v>現存</v>
      </c>
      <c r="F1249" s="3" t="s">
        <v>717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3260</v>
      </c>
      <c r="Q1249" s="3"/>
      <c r="R1249" s="3"/>
      <c r="S1249" s="6"/>
      <c r="T1249" s="6"/>
      <c r="U1249" s="6"/>
    </row>
    <row r="1250" ht="15.75" customHeight="1">
      <c r="A1250" s="4" t="s">
        <v>3306</v>
      </c>
      <c r="B1250" s="4" t="s">
        <v>3307</v>
      </c>
      <c r="C1250" s="4" t="s">
        <v>39</v>
      </c>
      <c r="D1250" s="6"/>
      <c r="E1250" s="3" t="str">
        <f t="shared" si="1"/>
        <v>現存</v>
      </c>
      <c r="F1250" s="3" t="s">
        <v>418</v>
      </c>
      <c r="G1250" s="6"/>
      <c r="H1250" s="3" t="str">
        <f t="shared" si="2"/>
        <v>4,6</v>
      </c>
      <c r="I1250" s="3" t="s">
        <v>139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3260</v>
      </c>
      <c r="Q1250" s="3"/>
      <c r="R1250" s="3"/>
      <c r="S1250" s="6"/>
      <c r="T1250" s="6"/>
      <c r="U1250" s="6"/>
    </row>
    <row r="1251" ht="15.75" customHeight="1">
      <c r="A1251" s="4" t="s">
        <v>3308</v>
      </c>
      <c r="B1251" s="4" t="s">
        <v>3309</v>
      </c>
      <c r="C1251" s="4" t="s">
        <v>39</v>
      </c>
      <c r="D1251" s="6"/>
      <c r="E1251" s="3" t="str">
        <f t="shared" si="1"/>
        <v>現存</v>
      </c>
      <c r="F1251" s="3" t="s">
        <v>3310</v>
      </c>
      <c r="G1251" s="6"/>
      <c r="H1251" s="3" t="str">
        <f t="shared" si="2"/>
        <v>4,6,9,10,11,12</v>
      </c>
      <c r="I1251" s="3" t="s">
        <v>139</v>
      </c>
      <c r="J1251" s="3" t="s">
        <v>193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3260</v>
      </c>
      <c r="Q1251" s="3"/>
      <c r="R1251" s="3"/>
      <c r="S1251" s="6"/>
      <c r="T1251" s="6"/>
      <c r="U1251" s="6"/>
    </row>
    <row r="1252" ht="15.75" customHeight="1">
      <c r="A1252" s="4" t="s">
        <v>3311</v>
      </c>
      <c r="B1252" s="4" t="s">
        <v>3312</v>
      </c>
      <c r="C1252" s="4" t="s">
        <v>39</v>
      </c>
      <c r="D1252" s="6"/>
      <c r="E1252" s="3" t="str">
        <f t="shared" si="1"/>
        <v>現存</v>
      </c>
      <c r="F1252" s="3" t="s">
        <v>156</v>
      </c>
      <c r="G1252" s="6"/>
      <c r="H1252" s="3" t="str">
        <f t="shared" si="2"/>
        <v>4</v>
      </c>
      <c r="I1252" s="3" t="s">
        <v>2178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3260</v>
      </c>
      <c r="Q1252" s="3"/>
      <c r="R1252" s="3"/>
      <c r="S1252" s="6"/>
      <c r="T1252" s="6"/>
      <c r="U1252" s="6"/>
    </row>
    <row r="1253" ht="15.75" customHeight="1">
      <c r="A1253" s="4" t="s">
        <v>3313</v>
      </c>
      <c r="B1253" s="4" t="s">
        <v>3314</v>
      </c>
      <c r="C1253" s="4" t="s">
        <v>39</v>
      </c>
      <c r="D1253" s="8" t="s">
        <v>170</v>
      </c>
      <c r="E1253" s="3" t="str">
        <f t="shared" si="1"/>
        <v>近年未見</v>
      </c>
      <c r="F1253" s="3" t="s">
        <v>156</v>
      </c>
      <c r="G1253" s="6"/>
      <c r="H1253" s="3" t="str">
        <f t="shared" si="2"/>
        <v>4</v>
      </c>
      <c r="I1253" s="3" t="s">
        <v>1548</v>
      </c>
      <c r="J1253" s="3" t="s">
        <v>181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3260</v>
      </c>
      <c r="Q1253" s="3"/>
      <c r="R1253" s="3"/>
      <c r="S1253" s="6"/>
      <c r="T1253" s="6"/>
      <c r="U1253" s="6"/>
    </row>
    <row r="1254" ht="15.75" customHeight="1">
      <c r="A1254" s="4" t="s">
        <v>3315</v>
      </c>
      <c r="B1254" s="4" t="s">
        <v>3316</v>
      </c>
      <c r="C1254" s="4" t="s">
        <v>39</v>
      </c>
      <c r="D1254" s="6"/>
      <c r="E1254" s="3" t="str">
        <f t="shared" si="1"/>
        <v>現存</v>
      </c>
      <c r="F1254" s="3" t="s">
        <v>3317</v>
      </c>
      <c r="G1254" s="6"/>
      <c r="H1254" s="3" t="str">
        <f t="shared" si="2"/>
        <v>5,10,11,12</v>
      </c>
      <c r="I1254" s="3" t="s">
        <v>160</v>
      </c>
      <c r="J1254" s="3" t="s">
        <v>193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3260</v>
      </c>
      <c r="Q1254" s="3"/>
      <c r="R1254" s="3"/>
      <c r="S1254" s="6"/>
      <c r="T1254" s="6"/>
      <c r="U1254" s="6"/>
    </row>
    <row r="1255" ht="15.75" customHeight="1">
      <c r="A1255" s="4" t="s">
        <v>3318</v>
      </c>
      <c r="B1255" s="4" t="s">
        <v>3319</v>
      </c>
      <c r="C1255" s="4" t="s">
        <v>39</v>
      </c>
      <c r="D1255" s="8" t="s">
        <v>381</v>
      </c>
      <c r="E1255" s="3" t="str">
        <f t="shared" si="1"/>
        <v>不收錄</v>
      </c>
      <c r="F1255" s="3" t="s">
        <v>1601</v>
      </c>
      <c r="G1255" s="6"/>
      <c r="H1255" s="3" t="str">
        <f t="shared" si="2"/>
        <v>5,11</v>
      </c>
      <c r="I1255" s="3" t="s">
        <v>3320</v>
      </c>
      <c r="J1255" s="3" t="s">
        <v>181</v>
      </c>
      <c r="K1255" s="3">
        <v>4.0</v>
      </c>
      <c r="L1255" s="3">
        <v>1.0</v>
      </c>
      <c r="M1255" s="4" t="s">
        <v>236</v>
      </c>
      <c r="N1255" s="3" t="s">
        <v>56</v>
      </c>
      <c r="O1255" s="3"/>
      <c r="P1255" s="4" t="s">
        <v>3260</v>
      </c>
      <c r="Q1255" s="3"/>
      <c r="R1255" s="3"/>
      <c r="S1255" s="6"/>
      <c r="T1255" s="6"/>
      <c r="U1255" s="6"/>
    </row>
    <row r="1256" ht="15.75" customHeight="1">
      <c r="A1256" s="4" t="s">
        <v>3321</v>
      </c>
      <c r="B1256" s="4" t="s">
        <v>3322</v>
      </c>
      <c r="C1256" s="4" t="s">
        <v>39</v>
      </c>
      <c r="D1256" s="6"/>
      <c r="E1256" s="3" t="str">
        <f t="shared" si="1"/>
        <v>現存</v>
      </c>
      <c r="F1256" s="3" t="s">
        <v>3323</v>
      </c>
      <c r="G1256" s="6"/>
      <c r="H1256" s="3" t="str">
        <f t="shared" si="2"/>
        <v>5,6,7,9,11</v>
      </c>
      <c r="I1256" s="3" t="s">
        <v>1845</v>
      </c>
      <c r="J1256" s="3" t="s">
        <v>50</v>
      </c>
      <c r="K1256" s="3">
        <v>8.0</v>
      </c>
      <c r="L1256" s="3">
        <v>1.0</v>
      </c>
      <c r="M1256" s="4" t="s">
        <v>236</v>
      </c>
      <c r="N1256" s="3" t="s">
        <v>56</v>
      </c>
      <c r="O1256" s="3"/>
      <c r="P1256" s="4" t="s">
        <v>3260</v>
      </c>
      <c r="Q1256" s="3"/>
      <c r="R1256" s="3"/>
      <c r="S1256" s="6"/>
      <c r="T1256" s="6"/>
      <c r="U1256" s="6"/>
    </row>
    <row r="1257" ht="15.75" customHeight="1">
      <c r="A1257" s="4" t="s">
        <v>3324</v>
      </c>
      <c r="B1257" s="4" t="s">
        <v>3325</v>
      </c>
      <c r="C1257" s="4" t="s">
        <v>39</v>
      </c>
      <c r="D1257" s="6"/>
      <c r="E1257" s="3" t="str">
        <f t="shared" si="1"/>
        <v>現存</v>
      </c>
      <c r="F1257" s="3" t="s">
        <v>450</v>
      </c>
      <c r="G1257" s="6"/>
      <c r="H1257" s="3" t="str">
        <f t="shared" si="2"/>
        <v>5</v>
      </c>
      <c r="I1257" s="3" t="s">
        <v>3326</v>
      </c>
      <c r="J1257" s="3" t="s">
        <v>181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3260</v>
      </c>
      <c r="Q1257" s="3"/>
      <c r="R1257" s="3"/>
      <c r="S1257" s="6"/>
      <c r="T1257" s="6"/>
      <c r="U1257" s="6"/>
    </row>
    <row r="1258" ht="15.75" customHeight="1">
      <c r="A1258" s="4" t="s">
        <v>3327</v>
      </c>
      <c r="B1258" s="4" t="s">
        <v>3328</v>
      </c>
      <c r="C1258" s="4" t="s">
        <v>39</v>
      </c>
      <c r="D1258" s="6"/>
      <c r="E1258" s="3" t="str">
        <f t="shared" si="1"/>
        <v>現存</v>
      </c>
      <c r="F1258" s="3" t="s">
        <v>171</v>
      </c>
      <c r="G1258" s="6"/>
      <c r="H1258" s="3" t="str">
        <f t="shared" si="2"/>
        <v>5,6</v>
      </c>
      <c r="I1258" s="3" t="s">
        <v>107</v>
      </c>
      <c r="J1258" s="3" t="s">
        <v>1410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3260</v>
      </c>
      <c r="Q1258" s="3"/>
      <c r="R1258" s="3"/>
      <c r="S1258" s="6"/>
      <c r="T1258" s="6"/>
      <c r="U1258" s="6"/>
    </row>
    <row r="1259" ht="15.75" customHeight="1">
      <c r="A1259" s="4" t="s">
        <v>3329</v>
      </c>
      <c r="B1259" s="4" t="s">
        <v>3330</v>
      </c>
      <c r="C1259" s="4" t="s">
        <v>39</v>
      </c>
      <c r="D1259" s="6"/>
      <c r="E1259" s="3" t="str">
        <f t="shared" si="1"/>
        <v>現存</v>
      </c>
      <c r="F1259" s="3" t="s">
        <v>469</v>
      </c>
      <c r="G1259" s="6"/>
      <c r="H1259" s="3" t="str">
        <f t="shared" si="2"/>
        <v>5,6,12</v>
      </c>
      <c r="I1259" s="3" t="s">
        <v>364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3260</v>
      </c>
      <c r="Q1259" s="3"/>
      <c r="R1259" s="3"/>
      <c r="S1259" s="6"/>
      <c r="T1259" s="6"/>
      <c r="U1259" s="6"/>
    </row>
    <row r="1260" ht="15.75" customHeight="1">
      <c r="A1260" s="4" t="s">
        <v>3331</v>
      </c>
      <c r="B1260" s="4" t="s">
        <v>3332</v>
      </c>
      <c r="C1260" s="4" t="s">
        <v>39</v>
      </c>
      <c r="D1260" s="6"/>
      <c r="E1260" s="3" t="str">
        <f t="shared" si="1"/>
        <v>現存</v>
      </c>
      <c r="F1260" s="3" t="s">
        <v>283</v>
      </c>
      <c r="G1260" s="6"/>
      <c r="H1260" s="3" t="str">
        <f t="shared" si="2"/>
        <v>5,6,8</v>
      </c>
      <c r="I1260" s="3" t="s">
        <v>1372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3260</v>
      </c>
      <c r="Q1260" s="3"/>
      <c r="R1260" s="3"/>
      <c r="S1260" s="6"/>
      <c r="T1260" s="6"/>
      <c r="U1260" s="6"/>
    </row>
    <row r="1261" ht="15.75" customHeight="1">
      <c r="A1261" s="4" t="s">
        <v>3333</v>
      </c>
      <c r="B1261" s="4" t="s">
        <v>3334</v>
      </c>
      <c r="C1261" s="4" t="s">
        <v>39</v>
      </c>
      <c r="D1261" s="8" t="s">
        <v>381</v>
      </c>
      <c r="E1261" s="3" t="str">
        <f t="shared" si="1"/>
        <v>不收錄</v>
      </c>
      <c r="F1261" s="3" t="s">
        <v>310</v>
      </c>
      <c r="G1261" s="6"/>
      <c r="H1261" s="3" t="str">
        <f t="shared" si="2"/>
        <v>6</v>
      </c>
      <c r="I1261" s="3" t="s">
        <v>3335</v>
      </c>
      <c r="J1261" s="3" t="s">
        <v>181</v>
      </c>
      <c r="K1261" s="3">
        <v>1.0</v>
      </c>
      <c r="L1261" s="3">
        <v>1.0</v>
      </c>
      <c r="M1261" s="4" t="s">
        <v>236</v>
      </c>
      <c r="N1261" s="3" t="s">
        <v>56</v>
      </c>
      <c r="O1261" s="3"/>
      <c r="P1261" s="4" t="s">
        <v>3260</v>
      </c>
      <c r="Q1261" s="3"/>
      <c r="R1261" s="3"/>
      <c r="S1261" s="6"/>
      <c r="T1261" s="6"/>
      <c r="U1261" s="6"/>
    </row>
    <row r="1262" ht="15.75" customHeight="1">
      <c r="A1262" s="4" t="s">
        <v>3336</v>
      </c>
      <c r="B1262" s="4" t="s">
        <v>3337</v>
      </c>
      <c r="C1262" s="4" t="s">
        <v>39</v>
      </c>
      <c r="D1262" s="6"/>
      <c r="E1262" s="3" t="str">
        <f t="shared" si="1"/>
        <v>現存</v>
      </c>
      <c r="F1262" s="3" t="s">
        <v>588</v>
      </c>
      <c r="G1262" s="6"/>
      <c r="H1262" s="3" t="str">
        <f t="shared" si="2"/>
        <v>6,7</v>
      </c>
      <c r="I1262" s="3" t="s">
        <v>857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3260</v>
      </c>
      <c r="Q1262" s="3"/>
      <c r="R1262" s="3"/>
      <c r="S1262" s="6"/>
      <c r="T1262" s="6"/>
      <c r="U1262" s="6"/>
    </row>
    <row r="1263" ht="15.75" customHeight="1">
      <c r="A1263" s="4" t="s">
        <v>3338</v>
      </c>
      <c r="B1263" s="4" t="s">
        <v>3339</v>
      </c>
      <c r="C1263" s="4" t="s">
        <v>39</v>
      </c>
      <c r="D1263" s="6"/>
      <c r="E1263" s="3" t="str">
        <f t="shared" si="1"/>
        <v>現存</v>
      </c>
      <c r="F1263" s="3" t="s">
        <v>972</v>
      </c>
      <c r="G1263" s="6"/>
      <c r="H1263" s="3" t="str">
        <f t="shared" si="2"/>
        <v>6,9</v>
      </c>
      <c r="I1263" s="3" t="s">
        <v>447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3260</v>
      </c>
      <c r="Q1263" s="3"/>
      <c r="R1263" s="3"/>
      <c r="S1263" s="6"/>
      <c r="T1263" s="6"/>
      <c r="U1263" s="6"/>
    </row>
    <row r="1264" ht="15.75" customHeight="1">
      <c r="A1264" s="4" t="s">
        <v>3340</v>
      </c>
      <c r="B1264" s="4" t="s">
        <v>3341</v>
      </c>
      <c r="C1264" s="4" t="s">
        <v>170</v>
      </c>
      <c r="D1264" s="8" t="s">
        <v>381</v>
      </c>
      <c r="E1264" s="3" t="str">
        <f t="shared" si="1"/>
        <v>不收錄</v>
      </c>
      <c r="F1264" s="3" t="s">
        <v>310</v>
      </c>
      <c r="G1264" s="6"/>
      <c r="H1264" s="3" t="str">
        <f t="shared" si="2"/>
        <v>6</v>
      </c>
      <c r="I1264" s="3" t="s">
        <v>3335</v>
      </c>
      <c r="J1264" s="3" t="s">
        <v>181</v>
      </c>
      <c r="K1264" s="3">
        <v>1.0</v>
      </c>
      <c r="L1264" s="3">
        <v>0.0</v>
      </c>
      <c r="M1264" s="4" t="s">
        <v>236</v>
      </c>
      <c r="N1264" s="3"/>
      <c r="O1264" s="3"/>
      <c r="P1264" s="4" t="s">
        <v>3260</v>
      </c>
      <c r="Q1264" s="3"/>
      <c r="R1264" s="3"/>
      <c r="S1264" s="6"/>
      <c r="T1264" s="6"/>
      <c r="U1264" s="6"/>
    </row>
    <row r="1265" ht="15.75" customHeight="1">
      <c r="A1265" s="4" t="s">
        <v>3342</v>
      </c>
      <c r="B1265" s="4" t="s">
        <v>3343</v>
      </c>
      <c r="C1265" s="4" t="s">
        <v>39</v>
      </c>
      <c r="D1265" s="8" t="s">
        <v>381</v>
      </c>
      <c r="E1265" s="3" t="str">
        <f t="shared" si="1"/>
        <v>不收錄</v>
      </c>
      <c r="F1265" s="3" t="s">
        <v>310</v>
      </c>
      <c r="G1265" s="6"/>
      <c r="H1265" s="3" t="str">
        <f t="shared" si="2"/>
        <v>6</v>
      </c>
      <c r="I1265" s="3" t="s">
        <v>3335</v>
      </c>
      <c r="J1265" s="3" t="s">
        <v>181</v>
      </c>
      <c r="K1265" s="3">
        <v>1.0</v>
      </c>
      <c r="L1265" s="3">
        <v>1.0</v>
      </c>
      <c r="M1265" s="4" t="s">
        <v>236</v>
      </c>
      <c r="N1265" s="3" t="s">
        <v>56</v>
      </c>
      <c r="O1265" s="3"/>
      <c r="P1265" s="4" t="s">
        <v>3260</v>
      </c>
      <c r="Q1265" s="3"/>
      <c r="R1265" s="3"/>
      <c r="S1265" s="6"/>
      <c r="T1265" s="6"/>
      <c r="U1265" s="6"/>
    </row>
    <row r="1266" ht="15.75" customHeight="1">
      <c r="A1266" s="4" t="s">
        <v>3344</v>
      </c>
      <c r="B1266" s="4" t="s">
        <v>3345</v>
      </c>
      <c r="C1266" s="4" t="s">
        <v>170</v>
      </c>
      <c r="D1266" s="8" t="s">
        <v>381</v>
      </c>
      <c r="E1266" s="3" t="str">
        <f t="shared" si="1"/>
        <v>不收錄</v>
      </c>
      <c r="F1266" s="3" t="s">
        <v>310</v>
      </c>
      <c r="G1266" s="6"/>
      <c r="H1266" s="3" t="str">
        <f t="shared" si="2"/>
        <v>6</v>
      </c>
      <c r="I1266" s="3" t="s">
        <v>3335</v>
      </c>
      <c r="J1266" s="3" t="s">
        <v>181</v>
      </c>
      <c r="K1266" s="3">
        <v>1.0</v>
      </c>
      <c r="L1266" s="3">
        <v>0.0</v>
      </c>
      <c r="M1266" s="4" t="s">
        <v>236</v>
      </c>
      <c r="N1266" s="3"/>
      <c r="O1266" s="3"/>
      <c r="P1266" s="4" t="s">
        <v>3260</v>
      </c>
      <c r="Q1266" s="3"/>
      <c r="R1266" s="3"/>
      <c r="S1266" s="6"/>
      <c r="T1266" s="6"/>
      <c r="U1266" s="6"/>
    </row>
    <row r="1267" ht="15.75" customHeight="1">
      <c r="A1267" s="4" t="s">
        <v>3346</v>
      </c>
      <c r="B1267" s="4" t="s">
        <v>3347</v>
      </c>
      <c r="C1267" s="4" t="s">
        <v>39</v>
      </c>
      <c r="D1267" s="6"/>
      <c r="E1267" s="3" t="str">
        <f t="shared" si="1"/>
        <v>現存</v>
      </c>
      <c r="F1267" s="3" t="s">
        <v>310</v>
      </c>
      <c r="G1267" s="6"/>
      <c r="H1267" s="3" t="str">
        <f t="shared" si="2"/>
        <v>6</v>
      </c>
      <c r="I1267" s="3" t="s">
        <v>1623</v>
      </c>
      <c r="J1267" s="3" t="s">
        <v>181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3260</v>
      </c>
      <c r="Q1267" s="3"/>
      <c r="R1267" s="3"/>
      <c r="S1267" s="6"/>
      <c r="T1267" s="6"/>
      <c r="U1267" s="6"/>
    </row>
    <row r="1268" ht="15.75" customHeight="1">
      <c r="A1268" s="4" t="s">
        <v>3348</v>
      </c>
      <c r="B1268" s="4" t="s">
        <v>3349</v>
      </c>
      <c r="C1268" s="4" t="s">
        <v>170</v>
      </c>
      <c r="D1268" s="8" t="s">
        <v>381</v>
      </c>
      <c r="E1268" s="3" t="str">
        <f t="shared" si="1"/>
        <v>不收錄</v>
      </c>
      <c r="F1268" s="3" t="s">
        <v>310</v>
      </c>
      <c r="G1268" s="6"/>
      <c r="H1268" s="3" t="str">
        <f t="shared" si="2"/>
        <v>6</v>
      </c>
      <c r="I1268" s="3" t="s">
        <v>3335</v>
      </c>
      <c r="J1268" s="3" t="s">
        <v>181</v>
      </c>
      <c r="K1268" s="3">
        <v>1.0</v>
      </c>
      <c r="L1268" s="3">
        <v>0.0</v>
      </c>
      <c r="M1268" s="4" t="s">
        <v>236</v>
      </c>
      <c r="N1268" s="3"/>
      <c r="O1268" s="3"/>
      <c r="P1268" s="4" t="s">
        <v>3260</v>
      </c>
      <c r="Q1268" s="3"/>
      <c r="R1268" s="3"/>
      <c r="S1268" s="6"/>
      <c r="T1268" s="6"/>
      <c r="U1268" s="6"/>
    </row>
    <row r="1269" ht="15.75" customHeight="1">
      <c r="A1269" s="4" t="s">
        <v>3350</v>
      </c>
      <c r="B1269" s="4" t="s">
        <v>3351</v>
      </c>
      <c r="C1269" s="4" t="s">
        <v>39</v>
      </c>
      <c r="D1269" s="8" t="s">
        <v>381</v>
      </c>
      <c r="E1269" s="3" t="str">
        <f t="shared" si="1"/>
        <v>不收錄</v>
      </c>
      <c r="F1269" s="3" t="s">
        <v>310</v>
      </c>
      <c r="G1269" s="6"/>
      <c r="H1269" s="3" t="str">
        <f t="shared" si="2"/>
        <v>6</v>
      </c>
      <c r="I1269" s="3" t="s">
        <v>3335</v>
      </c>
      <c r="J1269" s="3" t="s">
        <v>181</v>
      </c>
      <c r="K1269" s="3">
        <v>1.0</v>
      </c>
      <c r="L1269" s="3">
        <v>1.0</v>
      </c>
      <c r="M1269" s="9" t="s">
        <v>236</v>
      </c>
      <c r="N1269" s="3" t="s">
        <v>56</v>
      </c>
      <c r="O1269" s="3"/>
      <c r="P1269" s="4" t="s">
        <v>3260</v>
      </c>
      <c r="Q1269" s="3"/>
      <c r="R1269" s="3"/>
      <c r="S1269" s="6"/>
      <c r="T1269" s="6"/>
      <c r="U1269" s="6"/>
    </row>
    <row r="1270" ht="15.75" customHeight="1">
      <c r="A1270" s="4" t="s">
        <v>3352</v>
      </c>
      <c r="B1270" s="4" t="s">
        <v>3353</v>
      </c>
      <c r="C1270" s="4" t="s">
        <v>39</v>
      </c>
      <c r="D1270" s="8" t="s">
        <v>381</v>
      </c>
      <c r="E1270" s="3" t="str">
        <f t="shared" si="1"/>
        <v>不收錄</v>
      </c>
      <c r="F1270" s="3" t="s">
        <v>3354</v>
      </c>
      <c r="G1270" s="6"/>
      <c r="H1270" s="3" t="str">
        <f t="shared" si="2"/>
        <v>7,11</v>
      </c>
      <c r="I1270" s="3" t="s">
        <v>3355</v>
      </c>
      <c r="J1270" s="3" t="s">
        <v>181</v>
      </c>
      <c r="K1270" s="3">
        <v>2.0</v>
      </c>
      <c r="L1270" s="3">
        <v>1.0</v>
      </c>
      <c r="M1270" s="9" t="s">
        <v>236</v>
      </c>
      <c r="N1270" s="3" t="s">
        <v>56</v>
      </c>
      <c r="O1270" s="3"/>
      <c r="P1270" s="4" t="s">
        <v>3260</v>
      </c>
      <c r="Q1270" s="3"/>
      <c r="R1270" s="3"/>
      <c r="S1270" s="6"/>
      <c r="T1270" s="6"/>
      <c r="U1270" s="6"/>
    </row>
    <row r="1271" ht="15.75" customHeight="1">
      <c r="A1271" s="4" t="s">
        <v>3356</v>
      </c>
      <c r="B1271" s="4" t="s">
        <v>3357</v>
      </c>
      <c r="C1271" s="4" t="s">
        <v>39</v>
      </c>
      <c r="D1271" s="8" t="s">
        <v>381</v>
      </c>
      <c r="E1271" s="3" t="str">
        <f t="shared" si="1"/>
        <v>不收錄</v>
      </c>
      <c r="F1271" s="3" t="s">
        <v>314</v>
      </c>
      <c r="G1271" s="6"/>
      <c r="H1271" s="3" t="str">
        <f t="shared" si="2"/>
        <v>7</v>
      </c>
      <c r="I1271" s="3" t="s">
        <v>3358</v>
      </c>
      <c r="J1271" s="3" t="s">
        <v>181</v>
      </c>
      <c r="K1271" s="3">
        <v>1.0</v>
      </c>
      <c r="L1271" s="3">
        <v>1.0</v>
      </c>
      <c r="M1271" s="9" t="s">
        <v>236</v>
      </c>
      <c r="N1271" s="3" t="s">
        <v>56</v>
      </c>
      <c r="O1271" s="3"/>
      <c r="P1271" s="4" t="s">
        <v>3260</v>
      </c>
      <c r="Q1271" s="3"/>
      <c r="R1271" s="3"/>
      <c r="S1271" s="6"/>
      <c r="T1271" s="6"/>
      <c r="U1271" s="6"/>
    </row>
    <row r="1272" ht="15.75" customHeight="1">
      <c r="A1272" s="4" t="s">
        <v>3359</v>
      </c>
      <c r="B1272" s="4" t="s">
        <v>3360</v>
      </c>
      <c r="C1272" s="4" t="s">
        <v>39</v>
      </c>
      <c r="D1272" s="8" t="s">
        <v>381</v>
      </c>
      <c r="E1272" s="3" t="str">
        <f t="shared" si="1"/>
        <v>不收錄</v>
      </c>
      <c r="F1272" s="3" t="s">
        <v>314</v>
      </c>
      <c r="G1272" s="6"/>
      <c r="H1272" s="3" t="str">
        <f t="shared" si="2"/>
        <v>7</v>
      </c>
      <c r="I1272" s="3" t="s">
        <v>808</v>
      </c>
      <c r="J1272" s="3" t="s">
        <v>181</v>
      </c>
      <c r="K1272" s="3">
        <v>1.0</v>
      </c>
      <c r="L1272" s="3">
        <v>1.0</v>
      </c>
      <c r="M1272" s="9" t="s">
        <v>236</v>
      </c>
      <c r="N1272" s="3" t="s">
        <v>56</v>
      </c>
      <c r="O1272" s="3"/>
      <c r="P1272" s="4" t="s">
        <v>3260</v>
      </c>
      <c r="Q1272" s="3"/>
      <c r="R1272" s="3"/>
      <c r="S1272" s="6"/>
      <c r="T1272" s="6"/>
      <c r="U1272" s="6"/>
    </row>
    <row r="1273" ht="15.75" customHeight="1">
      <c r="A1273" s="4" t="s">
        <v>3361</v>
      </c>
      <c r="B1273" s="4" t="s">
        <v>3362</v>
      </c>
      <c r="C1273" s="4" t="s">
        <v>39</v>
      </c>
      <c r="D1273" s="6"/>
      <c r="E1273" s="3" t="str">
        <f t="shared" si="1"/>
        <v>現存</v>
      </c>
      <c r="F1273" s="3" t="s">
        <v>314</v>
      </c>
      <c r="G1273" s="6"/>
      <c r="H1273" s="3" t="str">
        <f t="shared" si="2"/>
        <v>7</v>
      </c>
      <c r="I1273" s="3" t="s">
        <v>1368</v>
      </c>
      <c r="J1273" s="3" t="s">
        <v>181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3260</v>
      </c>
      <c r="Q1273" s="3"/>
      <c r="R1273" s="3"/>
      <c r="S1273" s="6"/>
      <c r="T1273" s="6"/>
      <c r="U1273" s="6"/>
    </row>
    <row r="1274" ht="15.75" customHeight="1">
      <c r="A1274" s="4" t="s">
        <v>3363</v>
      </c>
      <c r="B1274" s="4" t="s">
        <v>3364</v>
      </c>
      <c r="C1274" s="4" t="s">
        <v>39</v>
      </c>
      <c r="D1274" s="8" t="s">
        <v>381</v>
      </c>
      <c r="E1274" s="3" t="str">
        <f t="shared" si="1"/>
        <v>不收錄</v>
      </c>
      <c r="F1274" s="3" t="s">
        <v>314</v>
      </c>
      <c r="G1274" s="6"/>
      <c r="H1274" s="3" t="str">
        <f t="shared" si="2"/>
        <v>7</v>
      </c>
      <c r="I1274" s="3" t="s">
        <v>2946</v>
      </c>
      <c r="J1274" s="3" t="s">
        <v>181</v>
      </c>
      <c r="K1274" s="3">
        <v>1.0</v>
      </c>
      <c r="L1274" s="3">
        <v>1.0</v>
      </c>
      <c r="M1274" s="9" t="s">
        <v>236</v>
      </c>
      <c r="N1274" s="3" t="s">
        <v>56</v>
      </c>
      <c r="O1274" s="3"/>
      <c r="P1274" s="4" t="s">
        <v>3260</v>
      </c>
      <c r="Q1274" s="3"/>
      <c r="R1274" s="3"/>
      <c r="S1274" s="6"/>
      <c r="T1274" s="6"/>
      <c r="U1274" s="6"/>
    </row>
    <row r="1275" ht="15.75" customHeight="1">
      <c r="A1275" s="4" t="s">
        <v>3365</v>
      </c>
      <c r="B1275" s="4" t="s">
        <v>3366</v>
      </c>
      <c r="C1275" s="4" t="s">
        <v>39</v>
      </c>
      <c r="D1275" s="6"/>
      <c r="E1275" s="3" t="str">
        <f t="shared" si="1"/>
        <v>現存</v>
      </c>
      <c r="F1275" s="3" t="s">
        <v>314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3260</v>
      </c>
      <c r="Q1275" s="3"/>
      <c r="R1275" s="3"/>
      <c r="S1275" s="6"/>
      <c r="T1275" s="6"/>
      <c r="U1275" s="6"/>
    </row>
    <row r="1276" ht="15.75" customHeight="1">
      <c r="A1276" s="4" t="s">
        <v>3367</v>
      </c>
      <c r="B1276" s="4" t="s">
        <v>3368</v>
      </c>
      <c r="C1276" s="4" t="s">
        <v>39</v>
      </c>
      <c r="D1276" s="6"/>
      <c r="E1276" s="3" t="str">
        <f t="shared" si="1"/>
        <v>現存</v>
      </c>
      <c r="F1276" s="3" t="s">
        <v>179</v>
      </c>
      <c r="G1276" s="6"/>
      <c r="H1276" s="3" t="str">
        <f t="shared" si="2"/>
        <v>8</v>
      </c>
      <c r="I1276" s="3" t="s">
        <v>3369</v>
      </c>
      <c r="J1276" s="3" t="s">
        <v>181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3260</v>
      </c>
      <c r="Q1276" s="3"/>
      <c r="R1276" s="3"/>
      <c r="S1276" s="6"/>
      <c r="T1276" s="6"/>
      <c r="U1276" s="6"/>
    </row>
    <row r="1277" ht="15.75" customHeight="1">
      <c r="A1277" s="4" t="s">
        <v>3370</v>
      </c>
      <c r="B1277" s="4" t="s">
        <v>3371</v>
      </c>
      <c r="C1277" s="4" t="s">
        <v>39</v>
      </c>
      <c r="D1277" s="8" t="s">
        <v>381</v>
      </c>
      <c r="E1277" s="3" t="str">
        <f t="shared" si="1"/>
        <v>不收錄</v>
      </c>
      <c r="F1277" s="3" t="s">
        <v>175</v>
      </c>
      <c r="G1277" s="6"/>
      <c r="H1277" s="3" t="str">
        <f t="shared" si="2"/>
        <v>8,9</v>
      </c>
      <c r="I1277" s="3" t="s">
        <v>1681</v>
      </c>
      <c r="J1277" s="3" t="s">
        <v>181</v>
      </c>
      <c r="K1277" s="3">
        <v>2.0</v>
      </c>
      <c r="L1277" s="3">
        <v>1.0</v>
      </c>
      <c r="M1277" s="4" t="s">
        <v>236</v>
      </c>
      <c r="N1277" s="3" t="s">
        <v>56</v>
      </c>
      <c r="O1277" s="3"/>
      <c r="P1277" s="4" t="s">
        <v>3260</v>
      </c>
      <c r="Q1277" s="3"/>
      <c r="R1277" s="3"/>
      <c r="S1277" s="6"/>
      <c r="T1277" s="6"/>
      <c r="U1277" s="6"/>
    </row>
    <row r="1278" ht="15.75" customHeight="1">
      <c r="A1278" s="4" t="s">
        <v>3372</v>
      </c>
      <c r="B1278" s="4" t="s">
        <v>3373</v>
      </c>
      <c r="C1278" s="4" t="s">
        <v>39</v>
      </c>
      <c r="D1278" s="6"/>
      <c r="E1278" s="3" t="str">
        <f t="shared" si="1"/>
        <v>現存</v>
      </c>
      <c r="F1278" s="3" t="s">
        <v>326</v>
      </c>
      <c r="G1278" s="6"/>
      <c r="H1278" s="3" t="str">
        <f t="shared" si="2"/>
        <v>9</v>
      </c>
      <c r="I1278" s="3" t="s">
        <v>3374</v>
      </c>
      <c r="J1278" s="3" t="s">
        <v>181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3260</v>
      </c>
      <c r="Q1278" s="3"/>
      <c r="R1278" s="3"/>
      <c r="S1278" s="6"/>
      <c r="T1278" s="6"/>
      <c r="U1278" s="6"/>
    </row>
    <row r="1279" ht="15.75" customHeight="1">
      <c r="A1279" s="4" t="s">
        <v>3375</v>
      </c>
      <c r="B1279" s="4" t="s">
        <v>3376</v>
      </c>
      <c r="C1279" s="4" t="s">
        <v>39</v>
      </c>
      <c r="D1279" s="8" t="s">
        <v>381</v>
      </c>
      <c r="E1279" s="3" t="str">
        <f t="shared" si="1"/>
        <v>不收錄</v>
      </c>
      <c r="F1279" s="3" t="s">
        <v>326</v>
      </c>
      <c r="G1279" s="6"/>
      <c r="H1279" s="3" t="str">
        <f t="shared" si="2"/>
        <v>9</v>
      </c>
      <c r="I1279" s="3" t="s">
        <v>3374</v>
      </c>
      <c r="J1279" s="3" t="s">
        <v>181</v>
      </c>
      <c r="K1279" s="3">
        <v>1.0</v>
      </c>
      <c r="L1279" s="3">
        <v>1.0</v>
      </c>
      <c r="M1279" s="9" t="s">
        <v>236</v>
      </c>
      <c r="N1279" s="3" t="s">
        <v>56</v>
      </c>
      <c r="O1279" s="3"/>
      <c r="P1279" s="4" t="s">
        <v>3260</v>
      </c>
      <c r="Q1279" s="3"/>
      <c r="R1279" s="3"/>
      <c r="S1279" s="6"/>
      <c r="T1279" s="6"/>
      <c r="U1279" s="6"/>
    </row>
    <row r="1280" ht="15.75" customHeight="1">
      <c r="A1280" s="4" t="s">
        <v>3377</v>
      </c>
      <c r="B1280" s="4" t="s">
        <v>3378</v>
      </c>
      <c r="C1280" s="4" t="s">
        <v>39</v>
      </c>
      <c r="D1280" s="6"/>
      <c r="E1280" s="3" t="str">
        <f t="shared" si="1"/>
        <v>現存</v>
      </c>
      <c r="F1280" s="3" t="s">
        <v>326</v>
      </c>
      <c r="G1280" s="6"/>
      <c r="H1280" s="3" t="str">
        <f t="shared" si="2"/>
        <v>9</v>
      </c>
      <c r="I1280" s="3" t="s">
        <v>502</v>
      </c>
      <c r="J1280" s="3" t="s">
        <v>98</v>
      </c>
      <c r="K1280" s="3">
        <v>2.0</v>
      </c>
      <c r="L1280" s="3">
        <v>0.0</v>
      </c>
      <c r="M1280" s="4" t="s">
        <v>236</v>
      </c>
      <c r="N1280" s="3"/>
      <c r="O1280" s="3"/>
      <c r="P1280" s="4" t="s">
        <v>3260</v>
      </c>
      <c r="Q1280" s="3"/>
      <c r="R1280" s="3"/>
      <c r="S1280" s="6"/>
      <c r="T1280" s="6"/>
      <c r="U1280" s="6"/>
    </row>
    <row r="1281" ht="15.75" customHeight="1">
      <c r="A1281" s="4" t="s">
        <v>3379</v>
      </c>
      <c r="B1281" s="4" t="s">
        <v>3380</v>
      </c>
      <c r="C1281" s="4" t="s">
        <v>39</v>
      </c>
      <c r="D1281" s="6"/>
      <c r="E1281" s="3" t="str">
        <f t="shared" si="1"/>
        <v>現存</v>
      </c>
      <c r="F1281" s="3" t="s">
        <v>326</v>
      </c>
      <c r="G1281" s="6"/>
      <c r="H1281" s="3" t="str">
        <f t="shared" si="2"/>
        <v>9</v>
      </c>
      <c r="I1281" s="3" t="s">
        <v>3381</v>
      </c>
      <c r="J1281" s="3" t="s">
        <v>181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3260</v>
      </c>
      <c r="Q1281" s="3"/>
      <c r="R1281" s="3"/>
      <c r="S1281" s="6"/>
      <c r="T1281" s="6"/>
      <c r="U1281" s="6"/>
    </row>
    <row r="1282" ht="15.75" customHeight="1">
      <c r="A1282" s="4" t="s">
        <v>3382</v>
      </c>
      <c r="B1282" s="4" t="s">
        <v>3383</v>
      </c>
      <c r="C1282" s="4" t="s">
        <v>39</v>
      </c>
      <c r="D1282" s="6"/>
      <c r="E1282" s="3" t="str">
        <f t="shared" si="1"/>
        <v>現存</v>
      </c>
      <c r="F1282" s="3" t="s">
        <v>326</v>
      </c>
      <c r="G1282" s="6"/>
      <c r="H1282" s="3" t="str">
        <f t="shared" si="2"/>
        <v>9</v>
      </c>
      <c r="I1282" s="3" t="s">
        <v>3381</v>
      </c>
      <c r="J1282" s="3" t="s">
        <v>181</v>
      </c>
      <c r="K1282" s="3">
        <v>1.0</v>
      </c>
      <c r="L1282" s="3">
        <v>1.0</v>
      </c>
      <c r="M1282" s="9" t="s">
        <v>236</v>
      </c>
      <c r="N1282" s="3" t="s">
        <v>56</v>
      </c>
      <c r="O1282" s="3"/>
      <c r="P1282" s="4" t="s">
        <v>3260</v>
      </c>
      <c r="Q1282" s="3"/>
      <c r="R1282" s="3"/>
      <c r="S1282" s="6"/>
      <c r="T1282" s="6"/>
      <c r="U1282" s="6"/>
    </row>
    <row r="1283" ht="15.75" customHeight="1">
      <c r="A1283" s="4" t="s">
        <v>3384</v>
      </c>
      <c r="B1283" s="4" t="s">
        <v>3385</v>
      </c>
      <c r="C1283" s="4" t="s">
        <v>39</v>
      </c>
      <c r="D1283" s="6"/>
      <c r="E1283" s="3" t="str">
        <f t="shared" si="1"/>
        <v>現存</v>
      </c>
      <c r="F1283" s="3" t="s">
        <v>188</v>
      </c>
      <c r="G1283" s="6"/>
      <c r="H1283" s="3" t="str">
        <f t="shared" si="2"/>
        <v>10</v>
      </c>
      <c r="I1283" s="3" t="s">
        <v>1804</v>
      </c>
      <c r="J1283" s="3" t="s">
        <v>181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3260</v>
      </c>
      <c r="Q1283" s="3"/>
      <c r="R1283" s="3"/>
      <c r="S1283" s="6"/>
      <c r="T1283" s="6"/>
      <c r="U1283" s="6"/>
    </row>
    <row r="1284" ht="15.75" customHeight="1">
      <c r="A1284" s="4" t="s">
        <v>3386</v>
      </c>
      <c r="B1284" s="4" t="s">
        <v>3387</v>
      </c>
      <c r="C1284" s="4" t="s">
        <v>39</v>
      </c>
      <c r="D1284" s="6"/>
      <c r="E1284" s="3" t="str">
        <f t="shared" si="1"/>
        <v>現存</v>
      </c>
      <c r="F1284" s="3" t="s">
        <v>188</v>
      </c>
      <c r="G1284" s="6"/>
      <c r="H1284" s="3" t="str">
        <f t="shared" si="2"/>
        <v>10</v>
      </c>
      <c r="I1284" s="3" t="s">
        <v>1596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3260</v>
      </c>
      <c r="Q1284" s="3"/>
      <c r="R1284" s="3"/>
      <c r="S1284" s="6"/>
      <c r="T1284" s="6"/>
      <c r="U1284" s="6"/>
    </row>
    <row r="1285" ht="15.75" customHeight="1">
      <c r="A1285" s="4" t="s">
        <v>3388</v>
      </c>
      <c r="B1285" s="4" t="s">
        <v>3389</v>
      </c>
      <c r="C1285" s="4" t="s">
        <v>39</v>
      </c>
      <c r="D1285" s="8" t="s">
        <v>381</v>
      </c>
      <c r="E1285" s="3" t="str">
        <f t="shared" si="1"/>
        <v>不收錄</v>
      </c>
      <c r="F1285" s="3" t="s">
        <v>515</v>
      </c>
      <c r="G1285" s="6"/>
      <c r="H1285" s="3" t="str">
        <f t="shared" si="2"/>
        <v>11</v>
      </c>
      <c r="I1285" s="3" t="s">
        <v>3390</v>
      </c>
      <c r="J1285" s="3" t="s">
        <v>181</v>
      </c>
      <c r="K1285" s="3">
        <v>1.0</v>
      </c>
      <c r="L1285" s="3">
        <v>1.0</v>
      </c>
      <c r="M1285" s="9" t="s">
        <v>236</v>
      </c>
      <c r="N1285" s="3" t="s">
        <v>56</v>
      </c>
      <c r="O1285" s="3"/>
      <c r="P1285" s="4" t="s">
        <v>3260</v>
      </c>
      <c r="Q1285" s="3"/>
      <c r="R1285" s="3"/>
      <c r="S1285" s="6"/>
      <c r="T1285" s="6"/>
      <c r="U1285" s="6"/>
    </row>
    <row r="1286" ht="15.75" customHeight="1">
      <c r="A1286" s="4" t="s">
        <v>3391</v>
      </c>
      <c r="B1286" s="4" t="s">
        <v>3392</v>
      </c>
      <c r="C1286" s="4" t="s">
        <v>39</v>
      </c>
      <c r="D1286" s="8" t="s">
        <v>381</v>
      </c>
      <c r="E1286" s="3" t="str">
        <f t="shared" si="1"/>
        <v>不收錄</v>
      </c>
      <c r="F1286" s="3" t="s">
        <v>515</v>
      </c>
      <c r="G1286" s="6"/>
      <c r="H1286" s="3" t="str">
        <f t="shared" si="2"/>
        <v>11</v>
      </c>
      <c r="I1286" s="3" t="s">
        <v>3390</v>
      </c>
      <c r="J1286" s="3" t="s">
        <v>181</v>
      </c>
      <c r="K1286" s="3">
        <v>3.0</v>
      </c>
      <c r="L1286" s="3">
        <v>1.0</v>
      </c>
      <c r="M1286" s="9" t="s">
        <v>236</v>
      </c>
      <c r="N1286" s="3" t="s">
        <v>56</v>
      </c>
      <c r="O1286" s="3"/>
      <c r="P1286" s="4" t="s">
        <v>3260</v>
      </c>
      <c r="Q1286" s="3"/>
      <c r="R1286" s="3"/>
      <c r="S1286" s="6"/>
      <c r="T1286" s="6"/>
      <c r="U1286" s="6"/>
    </row>
    <row r="1287" ht="15.75" customHeight="1">
      <c r="A1287" s="4" t="s">
        <v>3393</v>
      </c>
      <c r="B1287" s="4" t="s">
        <v>3394</v>
      </c>
      <c r="C1287" s="4" t="s">
        <v>39</v>
      </c>
      <c r="D1287" s="8" t="s">
        <v>381</v>
      </c>
      <c r="E1287" s="3" t="str">
        <f t="shared" si="1"/>
        <v>不收錄</v>
      </c>
      <c r="F1287" s="3" t="s">
        <v>515</v>
      </c>
      <c r="G1287" s="6"/>
      <c r="H1287" s="3" t="str">
        <f t="shared" si="2"/>
        <v>11</v>
      </c>
      <c r="I1287" s="3" t="s">
        <v>3355</v>
      </c>
      <c r="J1287" s="3" t="s">
        <v>181</v>
      </c>
      <c r="K1287" s="3">
        <v>2.0</v>
      </c>
      <c r="L1287" s="3">
        <v>1.0</v>
      </c>
      <c r="M1287" s="9" t="s">
        <v>236</v>
      </c>
      <c r="N1287" s="3" t="s">
        <v>56</v>
      </c>
      <c r="O1287" s="3"/>
      <c r="P1287" s="4" t="s">
        <v>3260</v>
      </c>
      <c r="Q1287" s="3"/>
      <c r="R1287" s="3"/>
      <c r="S1287" s="6"/>
      <c r="T1287" s="6"/>
      <c r="U1287" s="6"/>
    </row>
    <row r="1288" ht="15.75" customHeight="1">
      <c r="A1288" s="4" t="s">
        <v>3395</v>
      </c>
      <c r="B1288" s="4" t="s">
        <v>3396</v>
      </c>
      <c r="C1288" s="4" t="s">
        <v>39</v>
      </c>
      <c r="D1288" s="8" t="s">
        <v>381</v>
      </c>
      <c r="E1288" s="3" t="str">
        <f t="shared" si="1"/>
        <v>不收錄</v>
      </c>
      <c r="F1288" s="3" t="s">
        <v>515</v>
      </c>
      <c r="G1288" s="6"/>
      <c r="H1288" s="3" t="str">
        <f t="shared" si="2"/>
        <v>11</v>
      </c>
      <c r="I1288" s="3" t="s">
        <v>3390</v>
      </c>
      <c r="J1288" s="3" t="s">
        <v>181</v>
      </c>
      <c r="K1288" s="3">
        <v>3.0</v>
      </c>
      <c r="L1288" s="3">
        <v>1.0</v>
      </c>
      <c r="M1288" s="9" t="s">
        <v>236</v>
      </c>
      <c r="N1288" s="3" t="s">
        <v>56</v>
      </c>
      <c r="O1288" s="3"/>
      <c r="P1288" s="4" t="s">
        <v>3260</v>
      </c>
      <c r="Q1288" s="3"/>
      <c r="R1288" s="3"/>
      <c r="S1288" s="6"/>
      <c r="T1288" s="6"/>
      <c r="U1288" s="6"/>
    </row>
    <row r="1289" ht="15.75" customHeight="1">
      <c r="A1289" s="4" t="s">
        <v>3397</v>
      </c>
      <c r="B1289" s="4" t="s">
        <v>3398</v>
      </c>
      <c r="C1289" s="4" t="s">
        <v>39</v>
      </c>
      <c r="D1289" s="8" t="s">
        <v>381</v>
      </c>
      <c r="E1289" s="3" t="str">
        <f t="shared" si="1"/>
        <v>不收錄</v>
      </c>
      <c r="F1289" s="3" t="s">
        <v>515</v>
      </c>
      <c r="G1289" s="6"/>
      <c r="H1289" s="3" t="str">
        <f t="shared" si="2"/>
        <v>11</v>
      </c>
      <c r="I1289" s="3" t="s">
        <v>3390</v>
      </c>
      <c r="J1289" s="3" t="s">
        <v>181</v>
      </c>
      <c r="K1289" s="3">
        <v>1.0</v>
      </c>
      <c r="L1289" s="3">
        <v>1.0</v>
      </c>
      <c r="M1289" s="9" t="s">
        <v>236</v>
      </c>
      <c r="N1289" s="3" t="s">
        <v>56</v>
      </c>
      <c r="O1289" s="3"/>
      <c r="P1289" s="4" t="s">
        <v>3260</v>
      </c>
      <c r="Q1289" s="3"/>
      <c r="R1289" s="3"/>
      <c r="S1289" s="6"/>
      <c r="T1289" s="6"/>
      <c r="U1289" s="6"/>
    </row>
    <row r="1290" ht="15.75" customHeight="1">
      <c r="A1290" s="4" t="s">
        <v>3399</v>
      </c>
      <c r="B1290" s="4" t="s">
        <v>3400</v>
      </c>
      <c r="C1290" s="4" t="s">
        <v>39</v>
      </c>
      <c r="D1290" s="8" t="s">
        <v>381</v>
      </c>
      <c r="E1290" s="3" t="str">
        <f t="shared" si="1"/>
        <v>不收錄</v>
      </c>
      <c r="F1290" s="3" t="s">
        <v>515</v>
      </c>
      <c r="G1290" s="6"/>
      <c r="H1290" s="3" t="str">
        <f t="shared" si="2"/>
        <v>11</v>
      </c>
      <c r="I1290" s="3" t="s">
        <v>3355</v>
      </c>
      <c r="J1290" s="3" t="s">
        <v>181</v>
      </c>
      <c r="K1290" s="3">
        <v>2.0</v>
      </c>
      <c r="L1290" s="3">
        <v>1.0</v>
      </c>
      <c r="M1290" s="9" t="s">
        <v>236</v>
      </c>
      <c r="N1290" s="3" t="s">
        <v>56</v>
      </c>
      <c r="O1290" s="3"/>
      <c r="P1290" s="4" t="s">
        <v>3260</v>
      </c>
      <c r="Q1290" s="3"/>
      <c r="R1290" s="3"/>
      <c r="S1290" s="6"/>
      <c r="T1290" s="6"/>
      <c r="U1290" s="6"/>
    </row>
    <row r="1291" ht="15.75" customHeight="1">
      <c r="A1291" s="4" t="s">
        <v>3401</v>
      </c>
      <c r="B1291" s="4" t="s">
        <v>3402</v>
      </c>
      <c r="C1291" s="4" t="s">
        <v>39</v>
      </c>
      <c r="D1291" s="8" t="s">
        <v>381</v>
      </c>
      <c r="E1291" s="3" t="str">
        <f t="shared" si="1"/>
        <v>不收錄</v>
      </c>
      <c r="F1291" s="3" t="s">
        <v>515</v>
      </c>
      <c r="G1291" s="6"/>
      <c r="H1291" s="3" t="str">
        <f t="shared" si="2"/>
        <v>11</v>
      </c>
      <c r="I1291" s="3" t="s">
        <v>3390</v>
      </c>
      <c r="J1291" s="3" t="s">
        <v>181</v>
      </c>
      <c r="K1291" s="3">
        <v>2.0</v>
      </c>
      <c r="L1291" s="3">
        <v>1.0</v>
      </c>
      <c r="M1291" s="9" t="s">
        <v>236</v>
      </c>
      <c r="N1291" s="3" t="s">
        <v>56</v>
      </c>
      <c r="O1291" s="3"/>
      <c r="P1291" s="4" t="s">
        <v>3260</v>
      </c>
      <c r="Q1291" s="3"/>
      <c r="R1291" s="3"/>
      <c r="S1291" s="6"/>
      <c r="T1291" s="6"/>
      <c r="U1291" s="6"/>
    </row>
    <row r="1292" ht="15.75" customHeight="1">
      <c r="A1292" s="4" t="s">
        <v>3403</v>
      </c>
      <c r="B1292" s="4" t="s">
        <v>3404</v>
      </c>
      <c r="C1292" s="4" t="s">
        <v>39</v>
      </c>
      <c r="D1292" s="8" t="s">
        <v>381</v>
      </c>
      <c r="E1292" s="3" t="str">
        <f t="shared" si="1"/>
        <v>不收錄</v>
      </c>
      <c r="F1292" s="3" t="s">
        <v>515</v>
      </c>
      <c r="G1292" s="6"/>
      <c r="H1292" s="3" t="str">
        <f t="shared" si="2"/>
        <v>11</v>
      </c>
      <c r="I1292" s="3" t="s">
        <v>3355</v>
      </c>
      <c r="J1292" s="3" t="s">
        <v>181</v>
      </c>
      <c r="K1292" s="3">
        <v>3.0</v>
      </c>
      <c r="L1292" s="3">
        <v>1.0</v>
      </c>
      <c r="M1292" s="9" t="s">
        <v>236</v>
      </c>
      <c r="N1292" s="3" t="s">
        <v>56</v>
      </c>
      <c r="O1292" s="3"/>
      <c r="P1292" s="4" t="s">
        <v>3260</v>
      </c>
      <c r="Q1292" s="3"/>
      <c r="R1292" s="3"/>
      <c r="S1292" s="6"/>
      <c r="T1292" s="6"/>
      <c r="U1292" s="6"/>
    </row>
    <row r="1293" ht="15.75" customHeight="1">
      <c r="A1293" s="4" t="s">
        <v>3405</v>
      </c>
      <c r="B1293" s="4" t="s">
        <v>3406</v>
      </c>
      <c r="C1293" s="4" t="s">
        <v>39</v>
      </c>
      <c r="D1293" s="8" t="s">
        <v>381</v>
      </c>
      <c r="E1293" s="3" t="str">
        <f t="shared" si="1"/>
        <v>不收錄</v>
      </c>
      <c r="F1293" s="3" t="s">
        <v>515</v>
      </c>
      <c r="G1293" s="6"/>
      <c r="H1293" s="3" t="str">
        <f t="shared" si="2"/>
        <v>11</v>
      </c>
      <c r="I1293" s="3" t="s">
        <v>3390</v>
      </c>
      <c r="J1293" s="3" t="s">
        <v>181</v>
      </c>
      <c r="K1293" s="3">
        <v>1.0</v>
      </c>
      <c r="L1293" s="3">
        <v>1.0</v>
      </c>
      <c r="M1293" s="9" t="s">
        <v>236</v>
      </c>
      <c r="N1293" s="3" t="s">
        <v>56</v>
      </c>
      <c r="O1293" s="3"/>
      <c r="P1293" s="4" t="s">
        <v>3260</v>
      </c>
      <c r="Q1293" s="3"/>
      <c r="R1293" s="3"/>
      <c r="S1293" s="6"/>
      <c r="T1293" s="6"/>
      <c r="U1293" s="6"/>
    </row>
    <row r="1294" ht="15.75" customHeight="1">
      <c r="A1294" s="4" t="s">
        <v>3407</v>
      </c>
      <c r="B1294" s="4" t="s">
        <v>3408</v>
      </c>
      <c r="C1294" s="4" t="s">
        <v>39</v>
      </c>
      <c r="D1294" s="8" t="s">
        <v>381</v>
      </c>
      <c r="E1294" s="3" t="str">
        <f t="shared" si="1"/>
        <v>不收錄</v>
      </c>
      <c r="F1294" s="3" t="s">
        <v>515</v>
      </c>
      <c r="G1294" s="6"/>
      <c r="H1294" s="3" t="str">
        <f t="shared" si="2"/>
        <v>11</v>
      </c>
      <c r="I1294" s="3" t="s">
        <v>3390</v>
      </c>
      <c r="J1294" s="3" t="s">
        <v>181</v>
      </c>
      <c r="K1294" s="3">
        <v>2.0</v>
      </c>
      <c r="L1294" s="3">
        <v>1.0</v>
      </c>
      <c r="M1294" s="9" t="s">
        <v>236</v>
      </c>
      <c r="N1294" s="3" t="s">
        <v>56</v>
      </c>
      <c r="O1294" s="3"/>
      <c r="P1294" s="4" t="s">
        <v>3260</v>
      </c>
      <c r="Q1294" s="3"/>
      <c r="R1294" s="3"/>
      <c r="S1294" s="6"/>
      <c r="T1294" s="6"/>
      <c r="U1294" s="6"/>
    </row>
    <row r="1295" ht="15.75" customHeight="1">
      <c r="A1295" s="4" t="s">
        <v>3409</v>
      </c>
      <c r="B1295" s="4" t="s">
        <v>3410</v>
      </c>
      <c r="C1295" s="4" t="s">
        <v>39</v>
      </c>
      <c r="D1295" s="8" t="s">
        <v>381</v>
      </c>
      <c r="E1295" s="3" t="str">
        <f t="shared" si="1"/>
        <v>不收錄</v>
      </c>
      <c r="F1295" s="3" t="s">
        <v>515</v>
      </c>
      <c r="G1295" s="6"/>
      <c r="H1295" s="3" t="str">
        <f t="shared" si="2"/>
        <v>11</v>
      </c>
      <c r="I1295" s="3" t="s">
        <v>3320</v>
      </c>
      <c r="J1295" s="3" t="s">
        <v>181</v>
      </c>
      <c r="K1295" s="3">
        <v>2.0</v>
      </c>
      <c r="L1295" s="3">
        <v>1.0</v>
      </c>
      <c r="M1295" s="9" t="s">
        <v>236</v>
      </c>
      <c r="N1295" s="3" t="s">
        <v>56</v>
      </c>
      <c r="O1295" s="3"/>
      <c r="P1295" s="4" t="s">
        <v>3260</v>
      </c>
      <c r="Q1295" s="3"/>
      <c r="R1295" s="3"/>
      <c r="S1295" s="6"/>
      <c r="T1295" s="6"/>
      <c r="U1295" s="6"/>
    </row>
    <row r="1296" ht="15.75" customHeight="1">
      <c r="A1296" s="4" t="s">
        <v>3411</v>
      </c>
      <c r="B1296" s="4" t="s">
        <v>3412</v>
      </c>
      <c r="C1296" s="4" t="s">
        <v>39</v>
      </c>
      <c r="D1296" s="8" t="s">
        <v>381</v>
      </c>
      <c r="E1296" s="3" t="str">
        <f t="shared" si="1"/>
        <v>不收錄</v>
      </c>
      <c r="F1296" s="3" t="s">
        <v>515</v>
      </c>
      <c r="G1296" s="6"/>
      <c r="H1296" s="3" t="str">
        <f t="shared" si="2"/>
        <v>11</v>
      </c>
      <c r="I1296" s="3" t="s">
        <v>3390</v>
      </c>
      <c r="J1296" s="3" t="s">
        <v>181</v>
      </c>
      <c r="K1296" s="3">
        <v>1.0</v>
      </c>
      <c r="L1296" s="3">
        <v>1.0</v>
      </c>
      <c r="M1296" s="9" t="s">
        <v>236</v>
      </c>
      <c r="N1296" s="3" t="s">
        <v>56</v>
      </c>
      <c r="O1296" s="3"/>
      <c r="P1296" s="4" t="s">
        <v>3260</v>
      </c>
      <c r="Q1296" s="3"/>
      <c r="R1296" s="3"/>
      <c r="S1296" s="6"/>
      <c r="T1296" s="6"/>
      <c r="U1296" s="6"/>
    </row>
    <row r="1297" ht="15.75" customHeight="1">
      <c r="A1297" s="4" t="s">
        <v>3413</v>
      </c>
      <c r="B1297" s="4" t="s">
        <v>3414</v>
      </c>
      <c r="C1297" s="4" t="s">
        <v>39</v>
      </c>
      <c r="D1297" s="8" t="s">
        <v>381</v>
      </c>
      <c r="E1297" s="3" t="str">
        <f t="shared" si="1"/>
        <v>不收錄</v>
      </c>
      <c r="F1297" s="3" t="s">
        <v>515</v>
      </c>
      <c r="G1297" s="6"/>
      <c r="H1297" s="3" t="str">
        <f t="shared" si="2"/>
        <v>11</v>
      </c>
      <c r="I1297" s="3" t="s">
        <v>3320</v>
      </c>
      <c r="J1297" s="3" t="s">
        <v>181</v>
      </c>
      <c r="K1297" s="3">
        <v>3.0</v>
      </c>
      <c r="L1297" s="3">
        <v>1.0</v>
      </c>
      <c r="M1297" s="9" t="s">
        <v>236</v>
      </c>
      <c r="N1297" s="3" t="s">
        <v>56</v>
      </c>
      <c r="O1297" s="3"/>
      <c r="P1297" s="4" t="s">
        <v>3260</v>
      </c>
      <c r="Q1297" s="3"/>
      <c r="R1297" s="3"/>
      <c r="S1297" s="6"/>
      <c r="T1297" s="6"/>
      <c r="U1297" s="6"/>
    </row>
    <row r="1298" ht="15.75" customHeight="1">
      <c r="A1298" s="4" t="s">
        <v>3415</v>
      </c>
      <c r="B1298" s="4" t="s">
        <v>3416</v>
      </c>
      <c r="C1298" s="4" t="s">
        <v>39</v>
      </c>
      <c r="D1298" s="8" t="s">
        <v>381</v>
      </c>
      <c r="E1298" s="3" t="str">
        <f t="shared" si="1"/>
        <v>不收錄</v>
      </c>
      <c r="F1298" s="3" t="s">
        <v>515</v>
      </c>
      <c r="G1298" s="6"/>
      <c r="H1298" s="3" t="str">
        <f t="shared" si="2"/>
        <v>11</v>
      </c>
      <c r="I1298" s="3" t="s">
        <v>3390</v>
      </c>
      <c r="J1298" s="3" t="s">
        <v>181</v>
      </c>
      <c r="K1298" s="3">
        <v>2.0</v>
      </c>
      <c r="L1298" s="3">
        <v>1.0</v>
      </c>
      <c r="M1298" s="9" t="s">
        <v>236</v>
      </c>
      <c r="N1298" s="3" t="s">
        <v>56</v>
      </c>
      <c r="O1298" s="3"/>
      <c r="P1298" s="4" t="s">
        <v>3260</v>
      </c>
      <c r="Q1298" s="3"/>
      <c r="R1298" s="3"/>
      <c r="S1298" s="6"/>
      <c r="T1298" s="6"/>
      <c r="U1298" s="6"/>
    </row>
    <row r="1299" ht="15.75" customHeight="1">
      <c r="A1299" s="4" t="s">
        <v>3417</v>
      </c>
      <c r="B1299" s="4" t="s">
        <v>3418</v>
      </c>
      <c r="C1299" s="4" t="s">
        <v>39</v>
      </c>
      <c r="D1299" s="8" t="s">
        <v>381</v>
      </c>
      <c r="E1299" s="3" t="str">
        <f t="shared" si="1"/>
        <v>不收錄</v>
      </c>
      <c r="F1299" s="3" t="s">
        <v>515</v>
      </c>
      <c r="G1299" s="6"/>
      <c r="H1299" s="3" t="str">
        <f t="shared" si="2"/>
        <v>11</v>
      </c>
      <c r="I1299" s="3" t="s">
        <v>3320</v>
      </c>
      <c r="J1299" s="3" t="s">
        <v>181</v>
      </c>
      <c r="K1299" s="3">
        <v>3.0</v>
      </c>
      <c r="L1299" s="3">
        <v>1.0</v>
      </c>
      <c r="M1299" s="9" t="s">
        <v>236</v>
      </c>
      <c r="N1299" s="3" t="s">
        <v>56</v>
      </c>
      <c r="O1299" s="3"/>
      <c r="P1299" s="4" t="s">
        <v>3260</v>
      </c>
      <c r="Q1299" s="3"/>
      <c r="R1299" s="3"/>
      <c r="S1299" s="6"/>
      <c r="T1299" s="6"/>
      <c r="U1299" s="6"/>
    </row>
    <row r="1300" ht="15.75" customHeight="1">
      <c r="A1300" s="4" t="s">
        <v>3419</v>
      </c>
      <c r="B1300" s="4" t="s">
        <v>3420</v>
      </c>
      <c r="C1300" s="4" t="s">
        <v>39</v>
      </c>
      <c r="D1300" s="8" t="s">
        <v>381</v>
      </c>
      <c r="E1300" s="3" t="str">
        <f t="shared" si="1"/>
        <v>不收錄</v>
      </c>
      <c r="F1300" s="3" t="s">
        <v>515</v>
      </c>
      <c r="G1300" s="6"/>
      <c r="H1300" s="3" t="str">
        <f t="shared" si="2"/>
        <v>11</v>
      </c>
      <c r="I1300" s="3" t="s">
        <v>3320</v>
      </c>
      <c r="J1300" s="3" t="s">
        <v>181</v>
      </c>
      <c r="K1300" s="3">
        <v>2.0</v>
      </c>
      <c r="L1300" s="3">
        <v>1.0</v>
      </c>
      <c r="M1300" s="9" t="s">
        <v>236</v>
      </c>
      <c r="N1300" s="3" t="s">
        <v>56</v>
      </c>
      <c r="O1300" s="3"/>
      <c r="P1300" s="4" t="s">
        <v>3260</v>
      </c>
      <c r="Q1300" s="3"/>
      <c r="R1300" s="3"/>
      <c r="S1300" s="6"/>
      <c r="T1300" s="6"/>
      <c r="U1300" s="6"/>
    </row>
    <row r="1301" ht="15.75" customHeight="1">
      <c r="A1301" s="4" t="s">
        <v>3421</v>
      </c>
      <c r="B1301" s="4" t="s">
        <v>3422</v>
      </c>
      <c r="C1301" s="4" t="s">
        <v>39</v>
      </c>
      <c r="D1301" s="8" t="s">
        <v>381</v>
      </c>
      <c r="E1301" s="3" t="str">
        <f t="shared" si="1"/>
        <v>不收錄</v>
      </c>
      <c r="F1301" s="3" t="s">
        <v>515</v>
      </c>
      <c r="G1301" s="6"/>
      <c r="H1301" s="3" t="str">
        <f t="shared" si="2"/>
        <v>11</v>
      </c>
      <c r="I1301" s="3" t="s">
        <v>3390</v>
      </c>
      <c r="J1301" s="3" t="s">
        <v>181</v>
      </c>
      <c r="K1301" s="3">
        <v>2.0</v>
      </c>
      <c r="L1301" s="3">
        <v>1.0</v>
      </c>
      <c r="M1301" s="9" t="s">
        <v>236</v>
      </c>
      <c r="N1301" s="3" t="s">
        <v>56</v>
      </c>
      <c r="O1301" s="3"/>
      <c r="P1301" s="4" t="s">
        <v>3260</v>
      </c>
      <c r="Q1301" s="3"/>
      <c r="R1301" s="3"/>
      <c r="S1301" s="6"/>
      <c r="T1301" s="6"/>
      <c r="U1301" s="6"/>
    </row>
    <row r="1302" ht="15.75" customHeight="1">
      <c r="A1302" s="4" t="s">
        <v>3423</v>
      </c>
      <c r="B1302" s="4" t="s">
        <v>3424</v>
      </c>
      <c r="C1302" s="4" t="s">
        <v>39</v>
      </c>
      <c r="D1302" s="8" t="s">
        <v>381</v>
      </c>
      <c r="E1302" s="3" t="str">
        <f t="shared" si="1"/>
        <v>不收錄</v>
      </c>
      <c r="F1302" s="3" t="s">
        <v>515</v>
      </c>
      <c r="G1302" s="6"/>
      <c r="H1302" s="3" t="str">
        <f t="shared" si="2"/>
        <v>11</v>
      </c>
      <c r="I1302" s="3" t="s">
        <v>3355</v>
      </c>
      <c r="J1302" s="3" t="s">
        <v>181</v>
      </c>
      <c r="K1302" s="3">
        <v>2.0</v>
      </c>
      <c r="L1302" s="3">
        <v>1.0</v>
      </c>
      <c r="M1302" s="9" t="s">
        <v>236</v>
      </c>
      <c r="N1302" s="3" t="s">
        <v>56</v>
      </c>
      <c r="O1302" s="3"/>
      <c r="P1302" s="4" t="s">
        <v>3260</v>
      </c>
      <c r="Q1302" s="3"/>
      <c r="R1302" s="3"/>
      <c r="S1302" s="6"/>
      <c r="T1302" s="6"/>
      <c r="U1302" s="6"/>
    </row>
    <row r="1303" ht="15.75" customHeight="1">
      <c r="A1303" s="4" t="s">
        <v>3425</v>
      </c>
      <c r="B1303" s="4" t="s">
        <v>3426</v>
      </c>
      <c r="C1303" s="4" t="s">
        <v>39</v>
      </c>
      <c r="D1303" s="8" t="s">
        <v>381</v>
      </c>
      <c r="E1303" s="3" t="str">
        <f t="shared" si="1"/>
        <v>不收錄</v>
      </c>
      <c r="F1303" s="3" t="s">
        <v>515</v>
      </c>
      <c r="G1303" s="6"/>
      <c r="H1303" s="3" t="str">
        <f t="shared" si="2"/>
        <v>11</v>
      </c>
      <c r="I1303" s="3" t="s">
        <v>3390</v>
      </c>
      <c r="J1303" s="3" t="s">
        <v>181</v>
      </c>
      <c r="K1303" s="3">
        <v>2.0</v>
      </c>
      <c r="L1303" s="3">
        <v>1.0</v>
      </c>
      <c r="M1303" s="9" t="s">
        <v>236</v>
      </c>
      <c r="N1303" s="3" t="s">
        <v>56</v>
      </c>
      <c r="O1303" s="3"/>
      <c r="P1303" s="4" t="s">
        <v>3260</v>
      </c>
      <c r="Q1303" s="3"/>
      <c r="R1303" s="3"/>
      <c r="S1303" s="6"/>
      <c r="T1303" s="6"/>
      <c r="U1303" s="6"/>
    </row>
    <row r="1304" ht="15.75" customHeight="1">
      <c r="A1304" s="4" t="s">
        <v>3427</v>
      </c>
      <c r="B1304" s="4" t="s">
        <v>3428</v>
      </c>
      <c r="C1304" s="4" t="s">
        <v>39</v>
      </c>
      <c r="D1304" s="8" t="s">
        <v>381</v>
      </c>
      <c r="E1304" s="3" t="str">
        <f t="shared" si="1"/>
        <v>不收錄</v>
      </c>
      <c r="F1304" s="3" t="s">
        <v>515</v>
      </c>
      <c r="G1304" s="6"/>
      <c r="H1304" s="3" t="str">
        <f t="shared" si="2"/>
        <v>11</v>
      </c>
      <c r="I1304" s="3" t="s">
        <v>3390</v>
      </c>
      <c r="J1304" s="3" t="s">
        <v>181</v>
      </c>
      <c r="K1304" s="3">
        <v>2.0</v>
      </c>
      <c r="L1304" s="3">
        <v>1.0</v>
      </c>
      <c r="M1304" s="9" t="s">
        <v>236</v>
      </c>
      <c r="N1304" s="3" t="s">
        <v>56</v>
      </c>
      <c r="O1304" s="3"/>
      <c r="P1304" s="4" t="s">
        <v>3260</v>
      </c>
      <c r="Q1304" s="3"/>
      <c r="R1304" s="3"/>
      <c r="S1304" s="6"/>
      <c r="T1304" s="6"/>
      <c r="U1304" s="6"/>
    </row>
    <row r="1305" ht="15.75" customHeight="1">
      <c r="A1305" s="4" t="s">
        <v>3429</v>
      </c>
      <c r="B1305" s="4" t="s">
        <v>3430</v>
      </c>
      <c r="C1305" s="4" t="s">
        <v>39</v>
      </c>
      <c r="D1305" s="8" t="s">
        <v>381</v>
      </c>
      <c r="E1305" s="3" t="str">
        <f t="shared" si="1"/>
        <v>不收錄</v>
      </c>
      <c r="F1305" s="3" t="s">
        <v>515</v>
      </c>
      <c r="G1305" s="6"/>
      <c r="H1305" s="3" t="str">
        <f t="shared" si="2"/>
        <v>11</v>
      </c>
      <c r="I1305" s="3" t="s">
        <v>3390</v>
      </c>
      <c r="J1305" s="3" t="s">
        <v>181</v>
      </c>
      <c r="K1305" s="3">
        <v>2.0</v>
      </c>
      <c r="L1305" s="3">
        <v>1.0</v>
      </c>
      <c r="M1305" s="9" t="s">
        <v>236</v>
      </c>
      <c r="N1305" s="3" t="s">
        <v>56</v>
      </c>
      <c r="O1305" s="3"/>
      <c r="P1305" s="4" t="s">
        <v>3260</v>
      </c>
      <c r="Q1305" s="3"/>
      <c r="R1305" s="3"/>
      <c r="S1305" s="6"/>
      <c r="T1305" s="6"/>
      <c r="U1305" s="6"/>
    </row>
    <row r="1306" ht="15.75" customHeight="1">
      <c r="A1306" s="4" t="s">
        <v>3431</v>
      </c>
      <c r="B1306" s="4" t="s">
        <v>3432</v>
      </c>
      <c r="C1306" s="4" t="s">
        <v>39</v>
      </c>
      <c r="D1306" s="6"/>
      <c r="E1306" s="3" t="str">
        <f t="shared" si="1"/>
        <v>現存</v>
      </c>
      <c r="F1306" s="3" t="s">
        <v>207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156</v>
      </c>
      <c r="O1306" s="3"/>
      <c r="P1306" s="4" t="s">
        <v>3433</v>
      </c>
      <c r="Q1306" s="3"/>
      <c r="R1306" s="3"/>
      <c r="S1306" s="6"/>
      <c r="T1306" s="6"/>
      <c r="U1306" s="6"/>
    </row>
    <row r="1307" ht="15.75" customHeight="1">
      <c r="A1307" s="4" t="s">
        <v>3434</v>
      </c>
      <c r="B1307" s="4" t="s">
        <v>3435</v>
      </c>
      <c r="C1307" s="4" t="s">
        <v>39</v>
      </c>
      <c r="D1307" s="6"/>
      <c r="E1307" s="3" t="str">
        <f t="shared" si="1"/>
        <v>現存</v>
      </c>
      <c r="F1307" s="3" t="s">
        <v>3436</v>
      </c>
      <c r="G1307" s="6"/>
      <c r="H1307" s="3" t="str">
        <f t="shared" si="2"/>
        <v>1,6,7,8,12</v>
      </c>
      <c r="I1307" s="3" t="s">
        <v>271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156</v>
      </c>
      <c r="O1307" s="3"/>
      <c r="P1307" s="4" t="s">
        <v>3433</v>
      </c>
      <c r="Q1307" s="3"/>
      <c r="R1307" s="3"/>
      <c r="S1307" s="6"/>
      <c r="T1307" s="6"/>
      <c r="U1307" s="6"/>
    </row>
    <row r="1308" ht="15.75" customHeight="1">
      <c r="A1308" s="4" t="s">
        <v>3437</v>
      </c>
      <c r="B1308" s="4" t="s">
        <v>3438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539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156</v>
      </c>
      <c r="O1308" s="3"/>
      <c r="P1308" s="4" t="s">
        <v>3433</v>
      </c>
      <c r="Q1308" s="3"/>
      <c r="R1308" s="3"/>
      <c r="S1308" s="6"/>
      <c r="T1308" s="6"/>
      <c r="U1308" s="6"/>
    </row>
    <row r="1309" ht="15.75" customHeight="1">
      <c r="A1309" s="4" t="s">
        <v>3439</v>
      </c>
      <c r="B1309" s="9" t="s">
        <v>664</v>
      </c>
      <c r="C1309" s="4" t="s">
        <v>39</v>
      </c>
      <c r="D1309" s="8" t="s">
        <v>381</v>
      </c>
      <c r="E1309" s="3" t="str">
        <f t="shared" si="1"/>
        <v>不收錄</v>
      </c>
      <c r="F1309" s="3" t="s">
        <v>221</v>
      </c>
      <c r="G1309" s="6"/>
      <c r="H1309" s="3" t="str">
        <f t="shared" si="2"/>
        <v>2,3,5</v>
      </c>
      <c r="I1309" s="3" t="s">
        <v>149</v>
      </c>
      <c r="J1309" s="3" t="s">
        <v>65</v>
      </c>
      <c r="K1309" s="3">
        <v>8.0</v>
      </c>
      <c r="L1309" s="3">
        <v>1.0</v>
      </c>
      <c r="M1309" s="9" t="s">
        <v>236</v>
      </c>
      <c r="N1309" s="3" t="s">
        <v>156</v>
      </c>
      <c r="O1309" s="3"/>
      <c r="P1309" s="4" t="s">
        <v>3433</v>
      </c>
      <c r="Q1309" s="3"/>
      <c r="R1309" s="3"/>
      <c r="S1309" s="6"/>
      <c r="T1309" s="6"/>
      <c r="U1309" s="6"/>
    </row>
    <row r="1310" ht="15.75" customHeight="1">
      <c r="A1310" s="4" t="s">
        <v>3440</v>
      </c>
      <c r="B1310" s="4" t="s">
        <v>3441</v>
      </c>
      <c r="C1310" s="4" t="s">
        <v>170</v>
      </c>
      <c r="D1310" s="8" t="s">
        <v>39</v>
      </c>
      <c r="E1310" s="3" t="str">
        <f t="shared" si="1"/>
        <v>現存</v>
      </c>
      <c r="F1310" s="3" t="s">
        <v>677</v>
      </c>
      <c r="G1310" s="6"/>
      <c r="H1310" s="3" t="str">
        <f t="shared" si="2"/>
        <v>2,3,11</v>
      </c>
      <c r="I1310" s="3" t="s">
        <v>378</v>
      </c>
      <c r="J1310" s="3" t="s">
        <v>98</v>
      </c>
      <c r="K1310" s="3">
        <v>3.0</v>
      </c>
      <c r="L1310" s="3">
        <v>0.0</v>
      </c>
      <c r="M1310" s="4" t="s">
        <v>236</v>
      </c>
      <c r="N1310" s="3"/>
      <c r="O1310" s="3"/>
      <c r="P1310" s="4" t="s">
        <v>3433</v>
      </c>
      <c r="Q1310" s="3"/>
      <c r="R1310" s="3"/>
      <c r="S1310" s="6"/>
      <c r="T1310" s="6"/>
      <c r="U1310" s="6"/>
    </row>
    <row r="1311" ht="15.75" customHeight="1">
      <c r="A1311" s="4" t="s">
        <v>3442</v>
      </c>
      <c r="B1311" s="4" t="s">
        <v>3443</v>
      </c>
      <c r="C1311" s="4" t="s">
        <v>39</v>
      </c>
      <c r="D1311" s="6"/>
      <c r="E1311" s="3" t="str">
        <f t="shared" si="1"/>
        <v>現存</v>
      </c>
      <c r="F1311" s="3" t="s">
        <v>3444</v>
      </c>
      <c r="G1311" s="6"/>
      <c r="H1311" s="3" t="str">
        <f t="shared" si="2"/>
        <v>3,6,7,8,10</v>
      </c>
      <c r="I1311" s="3" t="s">
        <v>1284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156</v>
      </c>
      <c r="O1311" s="3"/>
      <c r="P1311" s="4" t="s">
        <v>3433</v>
      </c>
      <c r="Q1311" s="3"/>
      <c r="R1311" s="3"/>
      <c r="S1311" s="6"/>
      <c r="T1311" s="6"/>
      <c r="U1311" s="6"/>
    </row>
    <row r="1312" ht="15.75" customHeight="1">
      <c r="A1312" s="4" t="s">
        <v>3445</v>
      </c>
      <c r="B1312" s="4" t="s">
        <v>3446</v>
      </c>
      <c r="C1312" s="4" t="s">
        <v>39</v>
      </c>
      <c r="D1312" s="6"/>
      <c r="E1312" s="3" t="str">
        <f t="shared" si="1"/>
        <v>現存</v>
      </c>
      <c r="F1312" s="3" t="s">
        <v>1140</v>
      </c>
      <c r="G1312" s="6"/>
      <c r="H1312" s="3" t="str">
        <f t="shared" si="2"/>
        <v>3,5</v>
      </c>
      <c r="I1312" s="3" t="s">
        <v>149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156</v>
      </c>
      <c r="O1312" s="3"/>
      <c r="P1312" s="4" t="s">
        <v>3433</v>
      </c>
      <c r="Q1312" s="3"/>
      <c r="R1312" s="3"/>
      <c r="S1312" s="6"/>
      <c r="T1312" s="6"/>
      <c r="U1312" s="6"/>
    </row>
    <row r="1313" ht="15.75" customHeight="1">
      <c r="A1313" s="4" t="s">
        <v>3447</v>
      </c>
      <c r="B1313" s="4" t="s">
        <v>3448</v>
      </c>
      <c r="C1313" s="4" t="s">
        <v>39</v>
      </c>
      <c r="D1313" s="6"/>
      <c r="E1313" s="3" t="str">
        <f t="shared" si="1"/>
        <v>現存</v>
      </c>
      <c r="F1313" s="3" t="s">
        <v>116</v>
      </c>
      <c r="G1313" s="6"/>
      <c r="H1313" s="3" t="str">
        <f t="shared" si="2"/>
        <v>3,4</v>
      </c>
      <c r="I1313" s="3" t="s">
        <v>139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156</v>
      </c>
      <c r="O1313" s="3"/>
      <c r="P1313" s="4" t="s">
        <v>3433</v>
      </c>
      <c r="Q1313" s="3"/>
      <c r="R1313" s="3"/>
      <c r="S1313" s="6"/>
      <c r="T1313" s="6"/>
      <c r="U1313" s="6"/>
    </row>
    <row r="1314" ht="15.75" customHeight="1">
      <c r="A1314" s="4" t="s">
        <v>3449</v>
      </c>
      <c r="B1314" s="4" t="s">
        <v>3450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709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156</v>
      </c>
      <c r="O1314" s="3"/>
      <c r="P1314" s="4" t="s">
        <v>3433</v>
      </c>
      <c r="Q1314" s="3"/>
      <c r="R1314" s="3"/>
      <c r="S1314" s="6"/>
      <c r="T1314" s="6"/>
      <c r="U1314" s="6"/>
    </row>
    <row r="1315" ht="15.75" customHeight="1">
      <c r="A1315" s="4" t="s">
        <v>3451</v>
      </c>
      <c r="B1315" s="4" t="s">
        <v>3452</v>
      </c>
      <c r="C1315" s="4" t="s">
        <v>39</v>
      </c>
      <c r="D1315" s="6"/>
      <c r="E1315" s="3" t="str">
        <f t="shared" si="1"/>
        <v>現存</v>
      </c>
      <c r="F1315" s="3" t="s">
        <v>2108</v>
      </c>
      <c r="G1315" s="6"/>
      <c r="H1315" s="3" t="str">
        <f t="shared" si="2"/>
        <v>3,8</v>
      </c>
      <c r="I1315" s="3" t="s">
        <v>3453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156</v>
      </c>
      <c r="O1315" s="3"/>
      <c r="P1315" s="4" t="s">
        <v>3433</v>
      </c>
      <c r="Q1315" s="3"/>
      <c r="R1315" s="3"/>
      <c r="S1315" s="6"/>
      <c r="T1315" s="6"/>
      <c r="U1315" s="6"/>
    </row>
    <row r="1316" ht="15.75" customHeight="1">
      <c r="A1316" s="4" t="s">
        <v>3454</v>
      </c>
      <c r="B1316" s="4" t="s">
        <v>3455</v>
      </c>
      <c r="C1316" s="4" t="s">
        <v>170</v>
      </c>
      <c r="D1316" s="8" t="s">
        <v>39</v>
      </c>
      <c r="E1316" s="3" t="str">
        <f t="shared" si="1"/>
        <v>現存</v>
      </c>
      <c r="F1316" s="3" t="s">
        <v>515</v>
      </c>
      <c r="G1316" s="6"/>
      <c r="H1316" s="3" t="str">
        <f t="shared" si="2"/>
        <v>11</v>
      </c>
      <c r="I1316" s="3" t="s">
        <v>623</v>
      </c>
      <c r="J1316" s="3" t="s">
        <v>181</v>
      </c>
      <c r="K1316" s="3">
        <v>1.0</v>
      </c>
      <c r="L1316" s="3">
        <v>0.0</v>
      </c>
      <c r="M1316" s="4" t="s">
        <v>236</v>
      </c>
      <c r="N1316" s="3"/>
      <c r="O1316" s="3"/>
      <c r="P1316" s="4" t="s">
        <v>3433</v>
      </c>
      <c r="Q1316" s="3"/>
      <c r="R1316" s="3"/>
      <c r="S1316" s="6"/>
      <c r="T1316" s="6"/>
      <c r="U1316" s="6"/>
    </row>
    <row r="1317" ht="15.75" customHeight="1">
      <c r="A1317" s="4" t="s">
        <v>3456</v>
      </c>
      <c r="B1317" s="4" t="s">
        <v>3457</v>
      </c>
      <c r="C1317" s="4" t="s">
        <v>39</v>
      </c>
      <c r="D1317" s="6"/>
      <c r="E1317" s="3" t="str">
        <f t="shared" si="1"/>
        <v>現存</v>
      </c>
      <c r="F1317" s="3" t="s">
        <v>515</v>
      </c>
      <c r="G1317" s="6"/>
      <c r="H1317" s="3" t="str">
        <f t="shared" si="2"/>
        <v>11</v>
      </c>
      <c r="I1317" s="3" t="s">
        <v>1270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156</v>
      </c>
      <c r="O1317" s="3"/>
      <c r="P1317" s="4" t="s">
        <v>3433</v>
      </c>
      <c r="Q1317" s="3"/>
      <c r="R1317" s="3"/>
      <c r="S1317" s="6"/>
      <c r="T1317" s="6"/>
      <c r="U1317" s="6"/>
    </row>
    <row r="1318" ht="15.75" customHeight="1">
      <c r="A1318" s="4" t="s">
        <v>3458</v>
      </c>
      <c r="B1318" s="4" t="s">
        <v>3459</v>
      </c>
      <c r="C1318" s="4" t="s">
        <v>39</v>
      </c>
      <c r="D1318" s="6"/>
      <c r="E1318" s="3" t="str">
        <f t="shared" si="1"/>
        <v>現存</v>
      </c>
      <c r="F1318" s="3" t="s">
        <v>515</v>
      </c>
      <c r="G1318" s="6"/>
      <c r="H1318" s="3" t="str">
        <f t="shared" si="2"/>
        <v>11</v>
      </c>
      <c r="I1318" s="3" t="s">
        <v>1459</v>
      </c>
      <c r="J1318" s="3" t="s">
        <v>181</v>
      </c>
      <c r="K1318" s="3">
        <v>1.0</v>
      </c>
      <c r="L1318" s="3">
        <v>1.0</v>
      </c>
      <c r="M1318" s="4" t="s">
        <v>43</v>
      </c>
      <c r="N1318" s="3" t="s">
        <v>156</v>
      </c>
      <c r="O1318" s="3"/>
      <c r="P1318" s="4" t="s">
        <v>3433</v>
      </c>
      <c r="Q1318" s="3"/>
      <c r="R1318" s="3"/>
      <c r="S1318" s="6"/>
      <c r="T1318" s="6"/>
      <c r="U1318" s="6"/>
    </row>
    <row r="1319" ht="15.75" customHeight="1">
      <c r="A1319" s="10" t="s">
        <v>3460</v>
      </c>
      <c r="B1319" s="11" t="s">
        <v>3461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3433</v>
      </c>
      <c r="Q1319" s="3"/>
      <c r="R1319" s="3"/>
      <c r="S1319" s="6"/>
      <c r="T1319" s="6"/>
      <c r="U1319" s="6"/>
    </row>
    <row r="1320" ht="15.75" customHeight="1">
      <c r="A1320" s="4" t="s">
        <v>3462</v>
      </c>
      <c r="B1320" s="4" t="s">
        <v>3463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3464</v>
      </c>
      <c r="G1320" s="6"/>
      <c r="H1320" s="3" t="str">
        <f t="shared" ref="H1320:H1577" si="4">IF(TRIM(G1320)="",F1320,G1320)</f>
        <v>3,5,6,7,8,9,10,11</v>
      </c>
      <c r="I1320" s="3" t="s">
        <v>589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156</v>
      </c>
      <c r="O1320" s="3"/>
      <c r="P1320" s="4" t="s">
        <v>3433</v>
      </c>
      <c r="Q1320" s="3"/>
      <c r="R1320" s="3"/>
      <c r="S1320" s="6"/>
      <c r="T1320" s="6"/>
      <c r="U1320" s="6"/>
    </row>
    <row r="1321" ht="15.75" customHeight="1">
      <c r="A1321" s="4" t="s">
        <v>3465</v>
      </c>
      <c r="B1321" s="4" t="s">
        <v>3466</v>
      </c>
      <c r="C1321" s="4" t="s">
        <v>39</v>
      </c>
      <c r="D1321" s="6"/>
      <c r="E1321" s="3" t="str">
        <f t="shared" si="3"/>
        <v>現存</v>
      </c>
      <c r="F1321" s="3" t="s">
        <v>116</v>
      </c>
      <c r="G1321" s="6"/>
      <c r="H1321" s="3" t="str">
        <f t="shared" si="4"/>
        <v>3,4</v>
      </c>
      <c r="I1321" s="3" t="s">
        <v>709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156</v>
      </c>
      <c r="O1321" s="3"/>
      <c r="P1321" s="4" t="s">
        <v>3433</v>
      </c>
      <c r="Q1321" s="3"/>
      <c r="R1321" s="3"/>
      <c r="S1321" s="6"/>
      <c r="T1321" s="6"/>
      <c r="U1321" s="6"/>
    </row>
    <row r="1322" ht="15.75" customHeight="1">
      <c r="A1322" s="4" t="s">
        <v>3467</v>
      </c>
      <c r="B1322" s="4" t="s">
        <v>3468</v>
      </c>
      <c r="C1322" s="4" t="s">
        <v>39</v>
      </c>
      <c r="D1322" s="6"/>
      <c r="E1322" s="3" t="str">
        <f t="shared" si="3"/>
        <v>現存</v>
      </c>
      <c r="F1322" s="3" t="s">
        <v>3469</v>
      </c>
      <c r="G1322" s="6"/>
      <c r="H1322" s="3" t="str">
        <f t="shared" si="4"/>
        <v>3,4,10</v>
      </c>
      <c r="I1322" s="3" t="s">
        <v>142</v>
      </c>
      <c r="J1322" s="3" t="s">
        <v>125</v>
      </c>
      <c r="K1322" s="3">
        <v>3.0</v>
      </c>
      <c r="L1322" s="3">
        <v>1.0</v>
      </c>
      <c r="M1322" s="4" t="s">
        <v>43</v>
      </c>
      <c r="N1322" s="3" t="s">
        <v>156</v>
      </c>
      <c r="O1322" s="3"/>
      <c r="P1322" s="4" t="s">
        <v>3433</v>
      </c>
      <c r="Q1322" s="3"/>
      <c r="R1322" s="3"/>
      <c r="S1322" s="6"/>
      <c r="T1322" s="6"/>
      <c r="U1322" s="6"/>
    </row>
    <row r="1323" ht="15.75" customHeight="1">
      <c r="A1323" s="4" t="s">
        <v>3470</v>
      </c>
      <c r="B1323" s="4" t="s">
        <v>3471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1046</v>
      </c>
      <c r="J1323" s="3" t="s">
        <v>181</v>
      </c>
      <c r="K1323" s="3">
        <v>1.0</v>
      </c>
      <c r="L1323" s="3">
        <v>1.0</v>
      </c>
      <c r="M1323" s="4" t="s">
        <v>43</v>
      </c>
      <c r="N1323" s="3" t="s">
        <v>156</v>
      </c>
      <c r="O1323" s="3"/>
      <c r="P1323" s="4" t="s">
        <v>3433</v>
      </c>
      <c r="Q1323" s="3"/>
      <c r="R1323" s="3"/>
      <c r="S1323" s="6"/>
      <c r="T1323" s="6"/>
      <c r="U1323" s="6"/>
    </row>
    <row r="1324" ht="15.75" customHeight="1">
      <c r="A1324" s="4" t="s">
        <v>3472</v>
      </c>
      <c r="B1324" s="4" t="s">
        <v>3473</v>
      </c>
      <c r="C1324" s="4" t="s">
        <v>39</v>
      </c>
      <c r="D1324" s="6"/>
      <c r="E1324" s="3" t="str">
        <f t="shared" si="3"/>
        <v>現存</v>
      </c>
      <c r="F1324" s="3" t="s">
        <v>3474</v>
      </c>
      <c r="G1324" s="6"/>
      <c r="H1324" s="3" t="str">
        <f t="shared" si="4"/>
        <v>3,6,10,11</v>
      </c>
      <c r="I1324" s="3" t="s">
        <v>709</v>
      </c>
      <c r="J1324" s="3" t="s">
        <v>912</v>
      </c>
      <c r="K1324" s="3">
        <v>4.0</v>
      </c>
      <c r="L1324" s="3">
        <v>1.0</v>
      </c>
      <c r="M1324" s="4" t="s">
        <v>43</v>
      </c>
      <c r="N1324" s="3" t="s">
        <v>156</v>
      </c>
      <c r="O1324" s="3"/>
      <c r="P1324" s="4" t="s">
        <v>3433</v>
      </c>
      <c r="Q1324" s="3"/>
      <c r="R1324" s="3"/>
      <c r="S1324" s="6"/>
      <c r="T1324" s="6"/>
      <c r="U1324" s="6"/>
    </row>
    <row r="1325" ht="15.75" customHeight="1">
      <c r="A1325" s="4" t="s">
        <v>3475</v>
      </c>
      <c r="B1325" s="4" t="s">
        <v>3476</v>
      </c>
      <c r="C1325" s="4" t="s">
        <v>39</v>
      </c>
      <c r="D1325" s="6"/>
      <c r="E1325" s="3" t="str">
        <f t="shared" si="3"/>
        <v>現存</v>
      </c>
      <c r="F1325" s="3" t="s">
        <v>116</v>
      </c>
      <c r="G1325" s="6"/>
      <c r="H1325" s="3" t="str">
        <f t="shared" si="4"/>
        <v>3,4</v>
      </c>
      <c r="I1325" s="3" t="s">
        <v>426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3433</v>
      </c>
      <c r="Q1325" s="3"/>
      <c r="R1325" s="3"/>
      <c r="S1325" s="6"/>
      <c r="T1325" s="6"/>
      <c r="U1325" s="6"/>
    </row>
    <row r="1326" ht="15.75" customHeight="1">
      <c r="A1326" s="4" t="s">
        <v>3477</v>
      </c>
      <c r="B1326" s="4" t="s">
        <v>3478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3479</v>
      </c>
      <c r="J1326" s="3" t="s">
        <v>181</v>
      </c>
      <c r="K1326" s="3">
        <v>1.0</v>
      </c>
      <c r="L1326" s="3">
        <v>1.0</v>
      </c>
      <c r="M1326" s="4" t="s">
        <v>43</v>
      </c>
      <c r="N1326" s="3" t="s">
        <v>156</v>
      </c>
      <c r="O1326" s="3"/>
      <c r="P1326" s="4" t="s">
        <v>3433</v>
      </c>
      <c r="Q1326" s="3"/>
      <c r="R1326" s="3"/>
      <c r="S1326" s="6"/>
      <c r="T1326" s="6"/>
      <c r="U1326" s="6"/>
    </row>
    <row r="1327" ht="15.75" customHeight="1">
      <c r="A1327" s="4" t="s">
        <v>3480</v>
      </c>
      <c r="B1327" s="4" t="s">
        <v>3481</v>
      </c>
      <c r="C1327" s="4" t="s">
        <v>39</v>
      </c>
      <c r="D1327" s="6"/>
      <c r="E1327" s="3" t="str">
        <f t="shared" si="3"/>
        <v>現存</v>
      </c>
      <c r="F1327" s="3" t="s">
        <v>116</v>
      </c>
      <c r="G1327" s="6"/>
      <c r="H1327" s="3" t="str">
        <f t="shared" si="4"/>
        <v>3,4</v>
      </c>
      <c r="I1327" s="3" t="s">
        <v>709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156</v>
      </c>
      <c r="O1327" s="3"/>
      <c r="P1327" s="4" t="s">
        <v>3433</v>
      </c>
      <c r="Q1327" s="3"/>
      <c r="R1327" s="3"/>
      <c r="S1327" s="6"/>
      <c r="T1327" s="6"/>
      <c r="U1327" s="6"/>
    </row>
    <row r="1328" ht="15.75" customHeight="1">
      <c r="A1328" s="4" t="s">
        <v>3482</v>
      </c>
      <c r="B1328" s="4" t="s">
        <v>3483</v>
      </c>
      <c r="C1328" s="4" t="s">
        <v>39</v>
      </c>
      <c r="D1328" s="6"/>
      <c r="E1328" s="3" t="str">
        <f t="shared" si="3"/>
        <v>現存</v>
      </c>
      <c r="F1328" s="3" t="s">
        <v>156</v>
      </c>
      <c r="G1328" s="6"/>
      <c r="H1328" s="3" t="str">
        <f t="shared" si="4"/>
        <v>4</v>
      </c>
      <c r="I1328" s="3" t="s">
        <v>83</v>
      </c>
      <c r="J1328" s="3" t="s">
        <v>135</v>
      </c>
      <c r="K1328" s="3">
        <v>2.0</v>
      </c>
      <c r="L1328" s="3">
        <v>1.0</v>
      </c>
      <c r="M1328" s="4" t="s">
        <v>43</v>
      </c>
      <c r="N1328" s="3" t="s">
        <v>156</v>
      </c>
      <c r="O1328" s="3"/>
      <c r="P1328" s="4" t="s">
        <v>3433</v>
      </c>
      <c r="Q1328" s="3"/>
      <c r="R1328" s="3"/>
      <c r="S1328" s="6"/>
      <c r="T1328" s="6"/>
      <c r="U1328" s="6"/>
    </row>
    <row r="1329" ht="15.75" customHeight="1">
      <c r="A1329" s="4" t="s">
        <v>3484</v>
      </c>
      <c r="B1329" s="4" t="s">
        <v>3485</v>
      </c>
      <c r="C1329" s="4" t="s">
        <v>39</v>
      </c>
      <c r="D1329" s="6"/>
      <c r="E1329" s="3" t="str">
        <f t="shared" si="3"/>
        <v>現存</v>
      </c>
      <c r="F1329" s="3" t="s">
        <v>148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156</v>
      </c>
      <c r="O1329" s="3"/>
      <c r="P1329" s="4" t="s">
        <v>3433</v>
      </c>
      <c r="Q1329" s="3"/>
      <c r="R1329" s="3"/>
      <c r="S1329" s="6"/>
      <c r="T1329" s="6"/>
      <c r="U1329" s="6"/>
    </row>
    <row r="1330" ht="15.75" customHeight="1">
      <c r="A1330" s="4" t="s">
        <v>3486</v>
      </c>
      <c r="B1330" s="4" t="s">
        <v>3487</v>
      </c>
      <c r="C1330" s="4" t="s">
        <v>39</v>
      </c>
      <c r="D1330" s="6"/>
      <c r="E1330" s="3" t="str">
        <f t="shared" si="3"/>
        <v>現存</v>
      </c>
      <c r="F1330" s="3" t="s">
        <v>156</v>
      </c>
      <c r="G1330" s="6"/>
      <c r="H1330" s="3" t="str">
        <f t="shared" si="4"/>
        <v>4</v>
      </c>
      <c r="I1330" s="3" t="s">
        <v>404</v>
      </c>
      <c r="J1330" s="3" t="s">
        <v>181</v>
      </c>
      <c r="K1330" s="3">
        <v>1.0</v>
      </c>
      <c r="L1330" s="3">
        <v>1.0</v>
      </c>
      <c r="M1330" s="4" t="s">
        <v>43</v>
      </c>
      <c r="N1330" s="3" t="s">
        <v>156</v>
      </c>
      <c r="O1330" s="3"/>
      <c r="P1330" s="4" t="s">
        <v>3433</v>
      </c>
      <c r="Q1330" s="3"/>
      <c r="R1330" s="3"/>
      <c r="S1330" s="6"/>
      <c r="T1330" s="6"/>
      <c r="U1330" s="6"/>
    </row>
    <row r="1331" ht="15.75" customHeight="1">
      <c r="A1331" s="4" t="s">
        <v>3488</v>
      </c>
      <c r="B1331" s="4" t="s">
        <v>3489</v>
      </c>
      <c r="C1331" s="4" t="s">
        <v>39</v>
      </c>
      <c r="D1331" s="6"/>
      <c r="E1331" s="3" t="str">
        <f t="shared" si="3"/>
        <v>現存</v>
      </c>
      <c r="F1331" s="3" t="s">
        <v>1751</v>
      </c>
      <c r="G1331" s="6"/>
      <c r="H1331" s="3" t="str">
        <f t="shared" si="4"/>
        <v>4,5,6,7,8</v>
      </c>
      <c r="I1331" s="3" t="s">
        <v>644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156</v>
      </c>
      <c r="O1331" s="3"/>
      <c r="P1331" s="4" t="s">
        <v>3433</v>
      </c>
      <c r="Q1331" s="3"/>
      <c r="R1331" s="3"/>
      <c r="S1331" s="6"/>
      <c r="T1331" s="6"/>
      <c r="U1331" s="8" t="s">
        <v>3490</v>
      </c>
    </row>
    <row r="1332" ht="15.75" customHeight="1">
      <c r="A1332" s="4" t="s">
        <v>3491</v>
      </c>
      <c r="B1332" s="4" t="s">
        <v>3492</v>
      </c>
      <c r="C1332" s="4" t="s">
        <v>39</v>
      </c>
      <c r="D1332" s="6"/>
      <c r="E1332" s="3" t="str">
        <f t="shared" si="3"/>
        <v>現存</v>
      </c>
      <c r="F1332" s="3" t="s">
        <v>156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156</v>
      </c>
      <c r="O1332" s="3"/>
      <c r="P1332" s="4" t="s">
        <v>3433</v>
      </c>
      <c r="Q1332" s="3"/>
      <c r="R1332" s="3"/>
      <c r="S1332" s="6"/>
      <c r="T1332" s="6"/>
      <c r="U1332" s="6"/>
    </row>
    <row r="1333" ht="15.75" customHeight="1">
      <c r="A1333" s="4" t="s">
        <v>3493</v>
      </c>
      <c r="B1333" s="4" t="s">
        <v>3494</v>
      </c>
      <c r="C1333" s="4" t="s">
        <v>39</v>
      </c>
      <c r="D1333" s="6"/>
      <c r="E1333" s="3" t="str">
        <f t="shared" si="3"/>
        <v>現存</v>
      </c>
      <c r="F1333" s="3" t="s">
        <v>2896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156</v>
      </c>
      <c r="O1333" s="3"/>
      <c r="P1333" s="4" t="s">
        <v>3433</v>
      </c>
      <c r="Q1333" s="3"/>
      <c r="R1333" s="3"/>
      <c r="S1333" s="6"/>
      <c r="T1333" s="6"/>
      <c r="U1333" s="6"/>
    </row>
    <row r="1334" ht="15.75" customHeight="1">
      <c r="A1334" s="4" t="s">
        <v>3495</v>
      </c>
      <c r="B1334" s="4" t="s">
        <v>3496</v>
      </c>
      <c r="C1334" s="4" t="s">
        <v>39</v>
      </c>
      <c r="D1334" s="6"/>
      <c r="E1334" s="3" t="str">
        <f t="shared" si="3"/>
        <v>現存</v>
      </c>
      <c r="F1334" s="3" t="s">
        <v>156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156</v>
      </c>
      <c r="O1334" s="3"/>
      <c r="P1334" s="4" t="s">
        <v>3433</v>
      </c>
      <c r="Q1334" s="3"/>
      <c r="R1334" s="3"/>
      <c r="S1334" s="6"/>
      <c r="T1334" s="6"/>
      <c r="U1334" s="6"/>
    </row>
    <row r="1335" ht="15.75" customHeight="1">
      <c r="A1335" s="4" t="s">
        <v>3497</v>
      </c>
      <c r="B1335" s="4" t="s">
        <v>3498</v>
      </c>
      <c r="C1335" s="4" t="s">
        <v>39</v>
      </c>
      <c r="D1335" s="6"/>
      <c r="E1335" s="3" t="str">
        <f t="shared" si="3"/>
        <v>現存</v>
      </c>
      <c r="F1335" s="3" t="s">
        <v>3499</v>
      </c>
      <c r="G1335" s="6"/>
      <c r="H1335" s="3" t="str">
        <f t="shared" si="4"/>
        <v>4,6,7,8</v>
      </c>
      <c r="I1335" s="3" t="s">
        <v>447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156</v>
      </c>
      <c r="O1335" s="3"/>
      <c r="P1335" s="4" t="s">
        <v>3433</v>
      </c>
      <c r="Q1335" s="3"/>
      <c r="R1335" s="3"/>
      <c r="S1335" s="6"/>
      <c r="T1335" s="6"/>
      <c r="U1335" s="6"/>
    </row>
    <row r="1336" ht="15.75" customHeight="1">
      <c r="A1336" s="4" t="s">
        <v>3500</v>
      </c>
      <c r="B1336" s="4" t="s">
        <v>3501</v>
      </c>
      <c r="C1336" s="4" t="s">
        <v>39</v>
      </c>
      <c r="D1336" s="6"/>
      <c r="E1336" s="3" t="str">
        <f t="shared" si="3"/>
        <v>現存</v>
      </c>
      <c r="F1336" s="3" t="s">
        <v>156</v>
      </c>
      <c r="G1336" s="6"/>
      <c r="H1336" s="3" t="str">
        <f t="shared" si="4"/>
        <v>4</v>
      </c>
      <c r="I1336" s="3" t="s">
        <v>3502</v>
      </c>
      <c r="J1336" s="3" t="s">
        <v>181</v>
      </c>
      <c r="K1336" s="3">
        <v>1.0</v>
      </c>
      <c r="L1336" s="3">
        <v>1.0</v>
      </c>
      <c r="M1336" s="4" t="s">
        <v>43</v>
      </c>
      <c r="N1336" s="3" t="s">
        <v>156</v>
      </c>
      <c r="O1336" s="3"/>
      <c r="P1336" s="4" t="s">
        <v>3433</v>
      </c>
      <c r="Q1336" s="3"/>
      <c r="R1336" s="3"/>
      <c r="S1336" s="6"/>
      <c r="T1336" s="6"/>
      <c r="U1336" s="6"/>
    </row>
    <row r="1337" ht="15.75" customHeight="1">
      <c r="A1337" s="4" t="s">
        <v>3503</v>
      </c>
      <c r="B1337" s="4" t="s">
        <v>3504</v>
      </c>
      <c r="C1337" s="4" t="s">
        <v>39</v>
      </c>
      <c r="D1337" s="6"/>
      <c r="E1337" s="3" t="str">
        <f t="shared" si="3"/>
        <v>現存</v>
      </c>
      <c r="F1337" s="3" t="s">
        <v>156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156</v>
      </c>
      <c r="O1337" s="3"/>
      <c r="P1337" s="4" t="s">
        <v>3433</v>
      </c>
      <c r="Q1337" s="3"/>
      <c r="R1337" s="3"/>
      <c r="S1337" s="6"/>
      <c r="T1337" s="6"/>
      <c r="U1337" s="6"/>
    </row>
    <row r="1338" ht="15.75" customHeight="1">
      <c r="A1338" s="4" t="s">
        <v>3505</v>
      </c>
      <c r="B1338" s="4" t="s">
        <v>3506</v>
      </c>
      <c r="C1338" s="4" t="s">
        <v>39</v>
      </c>
      <c r="D1338" s="6"/>
      <c r="E1338" s="3" t="str">
        <f t="shared" si="3"/>
        <v>現存</v>
      </c>
      <c r="F1338" s="3" t="s">
        <v>148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156</v>
      </c>
      <c r="O1338" s="3"/>
      <c r="P1338" s="4" t="s">
        <v>3433</v>
      </c>
      <c r="Q1338" s="3"/>
      <c r="R1338" s="3"/>
      <c r="S1338" s="6"/>
      <c r="T1338" s="6"/>
      <c r="U1338" s="8" t="s">
        <v>3507</v>
      </c>
    </row>
    <row r="1339" ht="15.75" customHeight="1">
      <c r="A1339" s="4" t="s">
        <v>3508</v>
      </c>
      <c r="B1339" s="4" t="s">
        <v>3509</v>
      </c>
      <c r="C1339" s="4" t="s">
        <v>39</v>
      </c>
      <c r="D1339" s="6"/>
      <c r="E1339" s="3" t="str">
        <f t="shared" si="3"/>
        <v>現存</v>
      </c>
      <c r="F1339" s="3" t="s">
        <v>425</v>
      </c>
      <c r="G1339" s="6"/>
      <c r="H1339" s="3" t="str">
        <f t="shared" si="4"/>
        <v>4,5,6</v>
      </c>
      <c r="I1339" s="3" t="s">
        <v>447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156</v>
      </c>
      <c r="O1339" s="3"/>
      <c r="P1339" s="4" t="s">
        <v>3433</v>
      </c>
      <c r="Q1339" s="3"/>
      <c r="R1339" s="3"/>
      <c r="S1339" s="6"/>
      <c r="T1339" s="6"/>
      <c r="U1339" s="6"/>
    </row>
    <row r="1340" ht="15.75" customHeight="1">
      <c r="A1340" s="4" t="s">
        <v>3510</v>
      </c>
      <c r="B1340" s="4" t="s">
        <v>3511</v>
      </c>
      <c r="C1340" s="4" t="s">
        <v>39</v>
      </c>
      <c r="D1340" s="6"/>
      <c r="E1340" s="3" t="str">
        <f t="shared" si="3"/>
        <v>現存</v>
      </c>
      <c r="F1340" s="3" t="s">
        <v>156</v>
      </c>
      <c r="G1340" s="6"/>
      <c r="H1340" s="3" t="str">
        <f t="shared" si="4"/>
        <v>4</v>
      </c>
      <c r="I1340" s="3" t="s">
        <v>139</v>
      </c>
      <c r="J1340" s="3" t="s">
        <v>125</v>
      </c>
      <c r="K1340" s="3">
        <v>3.0</v>
      </c>
      <c r="L1340" s="3">
        <v>1.0</v>
      </c>
      <c r="M1340" s="4" t="s">
        <v>43</v>
      </c>
      <c r="N1340" s="3" t="s">
        <v>156</v>
      </c>
      <c r="O1340" s="3"/>
      <c r="P1340" s="4" t="s">
        <v>3433</v>
      </c>
      <c r="Q1340" s="3"/>
      <c r="R1340" s="3"/>
      <c r="S1340" s="6"/>
      <c r="T1340" s="6"/>
      <c r="U1340" s="6"/>
    </row>
    <row r="1341" ht="15.75" customHeight="1">
      <c r="A1341" s="4" t="s">
        <v>3512</v>
      </c>
      <c r="B1341" s="4" t="s">
        <v>3513</v>
      </c>
      <c r="C1341" s="4" t="s">
        <v>39</v>
      </c>
      <c r="D1341" s="6"/>
      <c r="E1341" s="3" t="str">
        <f t="shared" si="3"/>
        <v>現存</v>
      </c>
      <c r="F1341" s="3" t="s">
        <v>148</v>
      </c>
      <c r="G1341" s="6"/>
      <c r="H1341" s="3" t="str">
        <f t="shared" si="4"/>
        <v>4,5</v>
      </c>
      <c r="I1341" s="3" t="s">
        <v>426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156</v>
      </c>
      <c r="O1341" s="3"/>
      <c r="P1341" s="4" t="s">
        <v>3433</v>
      </c>
      <c r="Q1341" s="3"/>
      <c r="R1341" s="3"/>
      <c r="S1341" s="6"/>
      <c r="T1341" s="6"/>
      <c r="U1341" s="8" t="s">
        <v>3514</v>
      </c>
    </row>
    <row r="1342" ht="15.75" customHeight="1">
      <c r="A1342" s="4" t="s">
        <v>3515</v>
      </c>
      <c r="B1342" s="4" t="s">
        <v>3516</v>
      </c>
      <c r="C1342" s="4" t="s">
        <v>39</v>
      </c>
      <c r="D1342" s="6"/>
      <c r="E1342" s="3" t="str">
        <f t="shared" si="3"/>
        <v>現存</v>
      </c>
      <c r="F1342" s="3" t="s">
        <v>849</v>
      </c>
      <c r="G1342" s="6"/>
      <c r="H1342" s="3" t="str">
        <f t="shared" si="4"/>
        <v>4,6,7</v>
      </c>
      <c r="I1342" s="3" t="s">
        <v>112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156</v>
      </c>
      <c r="O1342" s="3"/>
      <c r="P1342" s="4" t="s">
        <v>3433</v>
      </c>
      <c r="Q1342" s="3"/>
      <c r="R1342" s="3"/>
      <c r="S1342" s="6"/>
      <c r="T1342" s="6"/>
      <c r="U1342" s="6"/>
    </row>
    <row r="1343" ht="15.75" customHeight="1">
      <c r="A1343" s="4" t="s">
        <v>3517</v>
      </c>
      <c r="B1343" s="4" t="s">
        <v>3518</v>
      </c>
      <c r="C1343" s="4" t="s">
        <v>39</v>
      </c>
      <c r="D1343" s="6"/>
      <c r="E1343" s="3" t="str">
        <f t="shared" si="3"/>
        <v>現存</v>
      </c>
      <c r="F1343" s="3" t="s">
        <v>418</v>
      </c>
      <c r="G1343" s="6"/>
      <c r="H1343" s="3" t="str">
        <f t="shared" si="4"/>
        <v>4,6</v>
      </c>
      <c r="I1343" s="3" t="s">
        <v>444</v>
      </c>
      <c r="J1343" s="3" t="s">
        <v>125</v>
      </c>
      <c r="K1343" s="3">
        <v>3.0</v>
      </c>
      <c r="L1343" s="3">
        <v>1.0</v>
      </c>
      <c r="M1343" s="4" t="s">
        <v>43</v>
      </c>
      <c r="N1343" s="3" t="s">
        <v>156</v>
      </c>
      <c r="O1343" s="3"/>
      <c r="P1343" s="4" t="s">
        <v>3433</v>
      </c>
      <c r="Q1343" s="3"/>
      <c r="R1343" s="3"/>
      <c r="S1343" s="6"/>
      <c r="T1343" s="6"/>
      <c r="U1343" s="6"/>
    </row>
    <row r="1344" ht="15.75" customHeight="1">
      <c r="A1344" s="4" t="s">
        <v>3519</v>
      </c>
      <c r="B1344" s="4" t="s">
        <v>3520</v>
      </c>
      <c r="C1344" s="4" t="s">
        <v>39</v>
      </c>
      <c r="D1344" s="6"/>
      <c r="E1344" s="3" t="str">
        <f t="shared" si="3"/>
        <v>現存</v>
      </c>
      <c r="F1344" s="3" t="s">
        <v>836</v>
      </c>
      <c r="G1344" s="6"/>
      <c r="H1344" s="3" t="str">
        <f t="shared" si="4"/>
        <v>4,7</v>
      </c>
      <c r="I1344" s="3" t="s">
        <v>426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156</v>
      </c>
      <c r="O1344" s="3"/>
      <c r="P1344" s="4" t="s">
        <v>3433</v>
      </c>
      <c r="Q1344" s="3"/>
      <c r="R1344" s="3"/>
      <c r="S1344" s="6"/>
      <c r="T1344" s="6"/>
      <c r="U1344" s="6"/>
    </row>
    <row r="1345" ht="15.75" customHeight="1">
      <c r="A1345" s="4" t="s">
        <v>3521</v>
      </c>
      <c r="B1345" s="4" t="s">
        <v>3522</v>
      </c>
      <c r="C1345" s="4" t="s">
        <v>39</v>
      </c>
      <c r="D1345" s="6"/>
      <c r="E1345" s="3" t="str">
        <f t="shared" si="3"/>
        <v>現存</v>
      </c>
      <c r="F1345" s="3" t="s">
        <v>156</v>
      </c>
      <c r="G1345" s="6"/>
      <c r="H1345" s="3" t="str">
        <f t="shared" si="4"/>
        <v>4</v>
      </c>
      <c r="I1345" s="3" t="s">
        <v>3523</v>
      </c>
      <c r="J1345" s="3" t="s">
        <v>181</v>
      </c>
      <c r="K1345" s="3">
        <v>1.0</v>
      </c>
      <c r="L1345" s="3">
        <v>1.0</v>
      </c>
      <c r="M1345" s="4" t="s">
        <v>43</v>
      </c>
      <c r="N1345" s="3" t="s">
        <v>156</v>
      </c>
      <c r="O1345" s="3"/>
      <c r="P1345" s="4" t="s">
        <v>3433</v>
      </c>
      <c r="Q1345" s="3"/>
      <c r="R1345" s="3"/>
      <c r="S1345" s="6"/>
      <c r="T1345" s="6"/>
      <c r="U1345" s="6"/>
    </row>
    <row r="1346" ht="15.75" customHeight="1">
      <c r="A1346" s="4" t="s">
        <v>3524</v>
      </c>
      <c r="B1346" s="4" t="s">
        <v>3525</v>
      </c>
      <c r="C1346" s="4" t="s">
        <v>39</v>
      </c>
      <c r="D1346" s="6"/>
      <c r="E1346" s="3" t="str">
        <f t="shared" si="3"/>
        <v>現存</v>
      </c>
      <c r="F1346" s="3" t="s">
        <v>717</v>
      </c>
      <c r="G1346" s="6"/>
      <c r="H1346" s="3" t="str">
        <f t="shared" si="4"/>
        <v>4,9</v>
      </c>
      <c r="I1346" s="3" t="s">
        <v>426</v>
      </c>
      <c r="J1346" s="3" t="s">
        <v>125</v>
      </c>
      <c r="K1346" s="3">
        <v>2.0</v>
      </c>
      <c r="L1346" s="3">
        <v>1.0</v>
      </c>
      <c r="M1346" s="4" t="s">
        <v>43</v>
      </c>
      <c r="N1346" s="3" t="s">
        <v>156</v>
      </c>
      <c r="O1346" s="3"/>
      <c r="P1346" s="4" t="s">
        <v>3433</v>
      </c>
      <c r="Q1346" s="3"/>
      <c r="R1346" s="3"/>
      <c r="S1346" s="6"/>
      <c r="T1346" s="6"/>
      <c r="U1346" s="6"/>
    </row>
    <row r="1347" ht="15.75" customHeight="1">
      <c r="A1347" s="4" t="s">
        <v>3526</v>
      </c>
      <c r="B1347" s="4" t="s">
        <v>3527</v>
      </c>
      <c r="C1347" s="4" t="s">
        <v>39</v>
      </c>
      <c r="D1347" s="6"/>
      <c r="E1347" s="3" t="str">
        <f t="shared" si="3"/>
        <v>現存</v>
      </c>
      <c r="F1347" s="3" t="s">
        <v>148</v>
      </c>
      <c r="G1347" s="6"/>
      <c r="H1347" s="3" t="str">
        <f t="shared" si="4"/>
        <v>4,5</v>
      </c>
      <c r="I1347" s="3" t="s">
        <v>160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156</v>
      </c>
      <c r="O1347" s="3"/>
      <c r="P1347" s="4" t="s">
        <v>3433</v>
      </c>
      <c r="Q1347" s="3"/>
      <c r="R1347" s="3"/>
      <c r="S1347" s="6"/>
      <c r="T1347" s="6"/>
      <c r="U1347" s="6"/>
    </row>
    <row r="1348" ht="15.75" customHeight="1">
      <c r="A1348" s="4" t="s">
        <v>3528</v>
      </c>
      <c r="B1348" s="4" t="s">
        <v>729</v>
      </c>
      <c r="C1348" s="4" t="s">
        <v>39</v>
      </c>
      <c r="D1348" s="6"/>
      <c r="E1348" s="3" t="str">
        <f t="shared" si="3"/>
        <v>現存</v>
      </c>
      <c r="F1348" s="3" t="s">
        <v>156</v>
      </c>
      <c r="G1348" s="6"/>
      <c r="H1348" s="3" t="str">
        <f t="shared" si="4"/>
        <v>4</v>
      </c>
      <c r="I1348" s="3" t="s">
        <v>139</v>
      </c>
      <c r="J1348" s="3" t="s">
        <v>135</v>
      </c>
      <c r="K1348" s="3">
        <v>1.0</v>
      </c>
      <c r="L1348" s="3">
        <v>1.0</v>
      </c>
      <c r="M1348" s="4" t="s">
        <v>43</v>
      </c>
      <c r="N1348" s="3" t="s">
        <v>156</v>
      </c>
      <c r="O1348" s="3"/>
      <c r="P1348" s="4" t="s">
        <v>3433</v>
      </c>
      <c r="Q1348" s="3"/>
      <c r="R1348" s="3"/>
      <c r="S1348" s="6"/>
      <c r="T1348" s="6"/>
      <c r="U1348" s="6"/>
    </row>
    <row r="1349" ht="15.75" customHeight="1">
      <c r="A1349" s="4" t="s">
        <v>3529</v>
      </c>
      <c r="B1349" s="4" t="s">
        <v>3530</v>
      </c>
      <c r="C1349" s="4" t="s">
        <v>39</v>
      </c>
      <c r="D1349" s="6"/>
      <c r="E1349" s="3" t="str">
        <f t="shared" si="3"/>
        <v>現存</v>
      </c>
      <c r="F1349" s="3" t="s">
        <v>156</v>
      </c>
      <c r="G1349" s="6"/>
      <c r="H1349" s="3" t="str">
        <f t="shared" si="4"/>
        <v>4</v>
      </c>
      <c r="I1349" s="3" t="s">
        <v>426</v>
      </c>
      <c r="J1349" s="3" t="s">
        <v>135</v>
      </c>
      <c r="K1349" s="3">
        <v>1.0</v>
      </c>
      <c r="L1349" s="3">
        <v>1.0</v>
      </c>
      <c r="M1349" s="4" t="s">
        <v>43</v>
      </c>
      <c r="N1349" s="3" t="s">
        <v>156</v>
      </c>
      <c r="O1349" s="3"/>
      <c r="P1349" s="4" t="s">
        <v>3433</v>
      </c>
      <c r="Q1349" s="3"/>
      <c r="R1349" s="3"/>
      <c r="S1349" s="6"/>
      <c r="T1349" s="6"/>
      <c r="U1349" s="6"/>
    </row>
    <row r="1350" ht="15.75" customHeight="1">
      <c r="A1350" s="4" t="s">
        <v>3531</v>
      </c>
      <c r="B1350" s="4" t="s">
        <v>3532</v>
      </c>
      <c r="C1350" s="4" t="s">
        <v>39</v>
      </c>
      <c r="D1350" s="6"/>
      <c r="E1350" s="3" t="str">
        <f t="shared" si="3"/>
        <v>現存</v>
      </c>
      <c r="F1350" s="3" t="s">
        <v>156</v>
      </c>
      <c r="G1350" s="6"/>
      <c r="H1350" s="3" t="str">
        <f t="shared" si="4"/>
        <v>4</v>
      </c>
      <c r="I1350" s="3" t="s">
        <v>426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156</v>
      </c>
      <c r="O1350" s="3"/>
      <c r="P1350" s="4" t="s">
        <v>3433</v>
      </c>
      <c r="Q1350" s="3"/>
      <c r="R1350" s="3"/>
      <c r="S1350" s="6"/>
      <c r="T1350" s="6"/>
      <c r="U1350" s="6"/>
    </row>
    <row r="1351" ht="15.75" customHeight="1">
      <c r="A1351" s="4" t="s">
        <v>3533</v>
      </c>
      <c r="B1351" s="4" t="s">
        <v>3534</v>
      </c>
      <c r="C1351" s="4" t="s">
        <v>39</v>
      </c>
      <c r="D1351" s="6"/>
      <c r="E1351" s="3" t="str">
        <f t="shared" si="3"/>
        <v>現存</v>
      </c>
      <c r="F1351" s="3" t="s">
        <v>156</v>
      </c>
      <c r="G1351" s="6"/>
      <c r="H1351" s="3" t="str">
        <f t="shared" si="4"/>
        <v>4</v>
      </c>
      <c r="I1351" s="3" t="s">
        <v>257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156</v>
      </c>
      <c r="O1351" s="3"/>
      <c r="P1351" s="4" t="s">
        <v>3433</v>
      </c>
      <c r="Q1351" s="3"/>
      <c r="R1351" s="3"/>
      <c r="S1351" s="6"/>
      <c r="T1351" s="6"/>
      <c r="U1351" s="6"/>
    </row>
    <row r="1352" ht="15.75" customHeight="1">
      <c r="A1352" s="4" t="s">
        <v>3535</v>
      </c>
      <c r="B1352" s="4" t="s">
        <v>3536</v>
      </c>
      <c r="C1352" s="4" t="s">
        <v>39</v>
      </c>
      <c r="D1352" s="6"/>
      <c r="E1352" s="3" t="str">
        <f t="shared" si="3"/>
        <v>現存</v>
      </c>
      <c r="F1352" s="3" t="s">
        <v>418</v>
      </c>
      <c r="G1352" s="6"/>
      <c r="H1352" s="3" t="str">
        <f t="shared" si="4"/>
        <v>4,6</v>
      </c>
      <c r="I1352" s="3" t="s">
        <v>447</v>
      </c>
      <c r="J1352" s="3" t="s">
        <v>125</v>
      </c>
      <c r="K1352" s="3">
        <v>3.0</v>
      </c>
      <c r="L1352" s="3">
        <v>1.0</v>
      </c>
      <c r="M1352" s="4" t="s">
        <v>43</v>
      </c>
      <c r="N1352" s="3" t="s">
        <v>156</v>
      </c>
      <c r="O1352" s="3"/>
      <c r="P1352" s="4" t="s">
        <v>3433</v>
      </c>
      <c r="Q1352" s="3"/>
      <c r="R1352" s="3"/>
      <c r="S1352" s="6"/>
      <c r="T1352" s="6"/>
      <c r="U1352" s="6"/>
    </row>
    <row r="1353" ht="15.75" customHeight="1">
      <c r="A1353" s="4" t="s">
        <v>3537</v>
      </c>
      <c r="B1353" s="9" t="s">
        <v>3538</v>
      </c>
      <c r="C1353" s="4" t="s">
        <v>39</v>
      </c>
      <c r="D1353" s="6"/>
      <c r="E1353" s="3" t="str">
        <f t="shared" si="3"/>
        <v>現存</v>
      </c>
      <c r="F1353" s="3" t="s">
        <v>171</v>
      </c>
      <c r="G1353" s="6"/>
      <c r="H1353" s="3" t="str">
        <f t="shared" si="4"/>
        <v>5,6</v>
      </c>
      <c r="I1353" s="3" t="s">
        <v>430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156</v>
      </c>
      <c r="O1353" s="3"/>
      <c r="P1353" s="4" t="s">
        <v>3433</v>
      </c>
      <c r="Q1353" s="3"/>
      <c r="R1353" s="3"/>
      <c r="S1353" s="6"/>
      <c r="T1353" s="6"/>
      <c r="U1353" s="6"/>
    </row>
    <row r="1354" ht="15.75" customHeight="1">
      <c r="A1354" s="4" t="s">
        <v>3539</v>
      </c>
      <c r="B1354" s="9" t="s">
        <v>3538</v>
      </c>
      <c r="C1354" s="4" t="s">
        <v>39</v>
      </c>
      <c r="D1354" s="8" t="s">
        <v>381</v>
      </c>
      <c r="E1354" s="3" t="str">
        <f t="shared" si="3"/>
        <v>不收錄</v>
      </c>
      <c r="F1354" s="3" t="s">
        <v>171</v>
      </c>
      <c r="G1354" s="6"/>
      <c r="H1354" s="3" t="str">
        <f t="shared" si="4"/>
        <v>5,6</v>
      </c>
      <c r="I1354" s="3" t="s">
        <v>364</v>
      </c>
      <c r="J1354" s="3" t="s">
        <v>135</v>
      </c>
      <c r="K1354" s="3">
        <v>4.0</v>
      </c>
      <c r="L1354" s="3">
        <v>1.0</v>
      </c>
      <c r="M1354" s="4" t="s">
        <v>43</v>
      </c>
      <c r="N1354" s="3" t="s">
        <v>156</v>
      </c>
      <c r="O1354" s="3"/>
      <c r="P1354" s="4" t="s">
        <v>3433</v>
      </c>
      <c r="Q1354" s="3"/>
      <c r="R1354" s="3"/>
      <c r="S1354" s="6"/>
      <c r="T1354" s="6"/>
      <c r="U1354" s="6"/>
    </row>
    <row r="1355" ht="15.75" customHeight="1">
      <c r="A1355" s="4" t="s">
        <v>3540</v>
      </c>
      <c r="B1355" s="4" t="s">
        <v>3541</v>
      </c>
      <c r="C1355" s="4" t="s">
        <v>39</v>
      </c>
      <c r="D1355" s="6"/>
      <c r="E1355" s="3" t="str">
        <f t="shared" si="3"/>
        <v>現存</v>
      </c>
      <c r="F1355" s="3" t="s">
        <v>1613</v>
      </c>
      <c r="G1355" s="6"/>
      <c r="H1355" s="3" t="str">
        <f t="shared" si="4"/>
        <v>5,8</v>
      </c>
      <c r="I1355" s="3" t="s">
        <v>303</v>
      </c>
      <c r="J1355" s="3" t="s">
        <v>135</v>
      </c>
      <c r="K1355" s="3">
        <v>2.0</v>
      </c>
      <c r="L1355" s="3">
        <v>1.0</v>
      </c>
      <c r="M1355" s="4" t="s">
        <v>43</v>
      </c>
      <c r="N1355" s="3" t="s">
        <v>156</v>
      </c>
      <c r="O1355" s="3"/>
      <c r="P1355" s="4" t="s">
        <v>3433</v>
      </c>
      <c r="Q1355" s="3"/>
      <c r="R1355" s="3"/>
      <c r="S1355" s="6"/>
      <c r="T1355" s="6"/>
      <c r="U1355" s="6"/>
    </row>
    <row r="1356" ht="15.75" customHeight="1">
      <c r="A1356" s="4" t="s">
        <v>3542</v>
      </c>
      <c r="B1356" s="4" t="s">
        <v>3543</v>
      </c>
      <c r="C1356" s="4" t="s">
        <v>39</v>
      </c>
      <c r="D1356" s="6"/>
      <c r="E1356" s="3" t="str">
        <f t="shared" si="3"/>
        <v>現存</v>
      </c>
      <c r="F1356" s="3" t="s">
        <v>1606</v>
      </c>
      <c r="G1356" s="6"/>
      <c r="H1356" s="3" t="str">
        <f t="shared" si="4"/>
        <v>5,6,8,9</v>
      </c>
      <c r="I1356" s="3" t="s">
        <v>857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156</v>
      </c>
      <c r="O1356" s="3"/>
      <c r="P1356" s="4" t="s">
        <v>3433</v>
      </c>
      <c r="Q1356" s="3"/>
      <c r="R1356" s="3"/>
      <c r="S1356" s="6"/>
      <c r="T1356" s="6"/>
      <c r="U1356" s="6"/>
    </row>
    <row r="1357" ht="15.75" customHeight="1">
      <c r="A1357" s="4" t="s">
        <v>3544</v>
      </c>
      <c r="B1357" s="4" t="s">
        <v>3545</v>
      </c>
      <c r="C1357" s="4" t="s">
        <v>39</v>
      </c>
      <c r="D1357" s="6"/>
      <c r="E1357" s="3" t="str">
        <f t="shared" si="3"/>
        <v>現存</v>
      </c>
      <c r="F1357" s="3" t="s">
        <v>450</v>
      </c>
      <c r="G1357" s="6"/>
      <c r="H1357" s="3" t="str">
        <f t="shared" si="4"/>
        <v>5</v>
      </c>
      <c r="I1357" s="3" t="s">
        <v>107</v>
      </c>
      <c r="J1357" s="3" t="s">
        <v>135</v>
      </c>
      <c r="K1357" s="3">
        <v>1.0</v>
      </c>
      <c r="L1357" s="3">
        <v>1.0</v>
      </c>
      <c r="M1357" s="4" t="s">
        <v>43</v>
      </c>
      <c r="N1357" s="3" t="s">
        <v>156</v>
      </c>
      <c r="O1357" s="3"/>
      <c r="P1357" s="4" t="s">
        <v>3433</v>
      </c>
      <c r="Q1357" s="3"/>
      <c r="R1357" s="3"/>
      <c r="S1357" s="6"/>
      <c r="T1357" s="6"/>
      <c r="U1357" s="6"/>
    </row>
    <row r="1358" ht="15.75" customHeight="1">
      <c r="A1358" s="4" t="s">
        <v>3546</v>
      </c>
      <c r="B1358" s="4" t="s">
        <v>3547</v>
      </c>
      <c r="C1358" s="4" t="s">
        <v>39</v>
      </c>
      <c r="D1358" s="6"/>
      <c r="E1358" s="3" t="str">
        <f t="shared" si="3"/>
        <v>現存</v>
      </c>
      <c r="F1358" s="3" t="s">
        <v>302</v>
      </c>
      <c r="G1358" s="6"/>
      <c r="H1358" s="3" t="str">
        <f t="shared" si="4"/>
        <v>5,7,8</v>
      </c>
      <c r="I1358" s="3" t="s">
        <v>589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156</v>
      </c>
      <c r="O1358" s="3"/>
      <c r="P1358" s="4" t="s">
        <v>3433</v>
      </c>
      <c r="Q1358" s="3"/>
      <c r="R1358" s="3"/>
      <c r="S1358" s="6"/>
      <c r="T1358" s="6"/>
      <c r="U1358" s="6"/>
    </row>
    <row r="1359" ht="15.75" customHeight="1">
      <c r="A1359" s="4" t="s">
        <v>3548</v>
      </c>
      <c r="B1359" s="4" t="s">
        <v>3549</v>
      </c>
      <c r="C1359" s="4" t="s">
        <v>39</v>
      </c>
      <c r="D1359" s="6"/>
      <c r="E1359" s="3" t="str">
        <f t="shared" si="3"/>
        <v>現存</v>
      </c>
      <c r="F1359" s="3" t="s">
        <v>450</v>
      </c>
      <c r="G1359" s="6"/>
      <c r="H1359" s="3" t="str">
        <f t="shared" si="4"/>
        <v>5</v>
      </c>
      <c r="I1359" s="3" t="s">
        <v>160</v>
      </c>
      <c r="J1359" s="3" t="s">
        <v>135</v>
      </c>
      <c r="K1359" s="3">
        <v>1.0</v>
      </c>
      <c r="L1359" s="3">
        <v>1.0</v>
      </c>
      <c r="M1359" s="4" t="s">
        <v>43</v>
      </c>
      <c r="N1359" s="3" t="s">
        <v>156</v>
      </c>
      <c r="O1359" s="3"/>
      <c r="P1359" s="4" t="s">
        <v>3433</v>
      </c>
      <c r="Q1359" s="3"/>
      <c r="R1359" s="3"/>
      <c r="S1359" s="6"/>
      <c r="T1359" s="6"/>
      <c r="U1359" s="6"/>
    </row>
    <row r="1360" ht="15.75" customHeight="1">
      <c r="A1360" s="4" t="s">
        <v>3550</v>
      </c>
      <c r="B1360" s="4" t="s">
        <v>3551</v>
      </c>
      <c r="C1360" s="4" t="s">
        <v>39</v>
      </c>
      <c r="D1360" s="6"/>
      <c r="E1360" s="3" t="str">
        <f t="shared" si="3"/>
        <v>現存</v>
      </c>
      <c r="F1360" s="3" t="s">
        <v>3552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156</v>
      </c>
      <c r="O1360" s="3"/>
      <c r="P1360" s="4" t="s">
        <v>3433</v>
      </c>
      <c r="Q1360" s="3"/>
      <c r="R1360" s="3"/>
      <c r="S1360" s="6"/>
      <c r="T1360" s="6"/>
      <c r="U1360" s="6"/>
    </row>
    <row r="1361" ht="15.75" customHeight="1">
      <c r="A1361" s="4" t="s">
        <v>3553</v>
      </c>
      <c r="B1361" s="4" t="s">
        <v>3554</v>
      </c>
      <c r="C1361" s="4" t="s">
        <v>39</v>
      </c>
      <c r="D1361" s="6"/>
      <c r="E1361" s="3" t="str">
        <f t="shared" si="3"/>
        <v>現存</v>
      </c>
      <c r="F1361" s="3" t="s">
        <v>171</v>
      </c>
      <c r="G1361" s="6"/>
      <c r="H1361" s="3" t="str">
        <f t="shared" si="4"/>
        <v>5,6</v>
      </c>
      <c r="I1361" s="3" t="s">
        <v>145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156</v>
      </c>
      <c r="O1361" s="3"/>
      <c r="P1361" s="4" t="s">
        <v>3433</v>
      </c>
      <c r="Q1361" s="3"/>
      <c r="R1361" s="3"/>
      <c r="S1361" s="6"/>
      <c r="T1361" s="6"/>
      <c r="U1361" s="6"/>
    </row>
    <row r="1362" ht="15.75" customHeight="1">
      <c r="A1362" s="4" t="s">
        <v>3555</v>
      </c>
      <c r="B1362" s="4" t="s">
        <v>3556</v>
      </c>
      <c r="C1362" s="4" t="s">
        <v>39</v>
      </c>
      <c r="D1362" s="6"/>
      <c r="E1362" s="3" t="str">
        <f t="shared" si="3"/>
        <v>現存</v>
      </c>
      <c r="F1362" s="3" t="s">
        <v>2211</v>
      </c>
      <c r="G1362" s="6"/>
      <c r="H1362" s="3" t="str">
        <f t="shared" si="4"/>
        <v>5,7</v>
      </c>
      <c r="I1362" s="3" t="s">
        <v>107</v>
      </c>
      <c r="J1362" s="3" t="s">
        <v>125</v>
      </c>
      <c r="K1362" s="3">
        <v>2.0</v>
      </c>
      <c r="L1362" s="3">
        <v>1.0</v>
      </c>
      <c r="M1362" s="4" t="s">
        <v>43</v>
      </c>
      <c r="N1362" s="3" t="s">
        <v>156</v>
      </c>
      <c r="O1362" s="3"/>
      <c r="P1362" s="4" t="s">
        <v>3433</v>
      </c>
      <c r="Q1362" s="3"/>
      <c r="R1362" s="3"/>
      <c r="S1362" s="6"/>
      <c r="T1362" s="6"/>
      <c r="U1362" s="6"/>
    </row>
    <row r="1363" ht="15.75" customHeight="1">
      <c r="A1363" s="4" t="s">
        <v>3557</v>
      </c>
      <c r="B1363" s="4" t="s">
        <v>3558</v>
      </c>
      <c r="C1363" s="4" t="s">
        <v>39</v>
      </c>
      <c r="D1363" s="6"/>
      <c r="E1363" s="3" t="str">
        <f t="shared" si="3"/>
        <v>現存</v>
      </c>
      <c r="F1363" s="3" t="s">
        <v>171</v>
      </c>
      <c r="G1363" s="6"/>
      <c r="H1363" s="3" t="str">
        <f t="shared" si="4"/>
        <v>5,6</v>
      </c>
      <c r="I1363" s="3" t="s">
        <v>364</v>
      </c>
      <c r="J1363" s="3" t="s">
        <v>135</v>
      </c>
      <c r="K1363" s="3">
        <v>3.0</v>
      </c>
      <c r="L1363" s="3">
        <v>1.0</v>
      </c>
      <c r="M1363" s="4" t="s">
        <v>43</v>
      </c>
      <c r="N1363" s="3" t="s">
        <v>156</v>
      </c>
      <c r="O1363" s="3"/>
      <c r="P1363" s="4" t="s">
        <v>3433</v>
      </c>
      <c r="Q1363" s="3"/>
      <c r="R1363" s="3"/>
      <c r="S1363" s="6"/>
      <c r="T1363" s="6"/>
      <c r="U1363" s="6"/>
    </row>
    <row r="1364" ht="15.75" customHeight="1">
      <c r="A1364" s="4" t="s">
        <v>3559</v>
      </c>
      <c r="B1364" s="4" t="s">
        <v>3560</v>
      </c>
      <c r="C1364" s="4" t="s">
        <v>39</v>
      </c>
      <c r="D1364" s="6"/>
      <c r="E1364" s="3" t="str">
        <f t="shared" si="3"/>
        <v>現存</v>
      </c>
      <c r="F1364" s="3" t="s">
        <v>171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156</v>
      </c>
      <c r="O1364" s="3"/>
      <c r="P1364" s="4" t="s">
        <v>3433</v>
      </c>
      <c r="Q1364" s="3"/>
      <c r="R1364" s="3"/>
      <c r="S1364" s="6"/>
      <c r="T1364" s="6"/>
      <c r="U1364" s="6"/>
    </row>
    <row r="1365" ht="15.75" customHeight="1">
      <c r="A1365" s="4" t="s">
        <v>3561</v>
      </c>
      <c r="B1365" s="4" t="s">
        <v>3562</v>
      </c>
      <c r="C1365" s="4" t="s">
        <v>39</v>
      </c>
      <c r="D1365" s="6"/>
      <c r="E1365" s="3" t="str">
        <f t="shared" si="3"/>
        <v>現存</v>
      </c>
      <c r="F1365" s="3" t="s">
        <v>171</v>
      </c>
      <c r="G1365" s="6"/>
      <c r="H1365" s="3" t="str">
        <f t="shared" si="4"/>
        <v>5,6</v>
      </c>
      <c r="I1365" s="3" t="s">
        <v>149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156</v>
      </c>
      <c r="O1365" s="3"/>
      <c r="P1365" s="4" t="s">
        <v>3433</v>
      </c>
      <c r="Q1365" s="3"/>
      <c r="R1365" s="3"/>
      <c r="S1365" s="6"/>
      <c r="T1365" s="6"/>
      <c r="U1365" s="6"/>
    </row>
    <row r="1366" ht="15.75" customHeight="1">
      <c r="A1366" s="4" t="s">
        <v>3563</v>
      </c>
      <c r="B1366" s="4" t="s">
        <v>3564</v>
      </c>
      <c r="C1366" s="4" t="s">
        <v>39</v>
      </c>
      <c r="D1366" s="6"/>
      <c r="E1366" s="3" t="str">
        <f t="shared" si="3"/>
        <v>現存</v>
      </c>
      <c r="F1366" s="3" t="s">
        <v>450</v>
      </c>
      <c r="G1366" s="6"/>
      <c r="H1366" s="3" t="str">
        <f t="shared" si="4"/>
        <v>5</v>
      </c>
      <c r="I1366" s="3" t="s">
        <v>145</v>
      </c>
      <c r="J1366" s="3" t="s">
        <v>125</v>
      </c>
      <c r="K1366" s="3">
        <v>2.0</v>
      </c>
      <c r="L1366" s="3">
        <v>1.0</v>
      </c>
      <c r="M1366" s="4" t="s">
        <v>43</v>
      </c>
      <c r="N1366" s="3" t="s">
        <v>156</v>
      </c>
      <c r="O1366" s="3"/>
      <c r="P1366" s="4" t="s">
        <v>3433</v>
      </c>
      <c r="Q1366" s="3"/>
      <c r="R1366" s="3"/>
      <c r="S1366" s="6"/>
      <c r="T1366" s="6"/>
      <c r="U1366" s="6"/>
    </row>
    <row r="1367" ht="15.75" customHeight="1">
      <c r="A1367" s="4" t="s">
        <v>3565</v>
      </c>
      <c r="B1367" s="9" t="s">
        <v>3558</v>
      </c>
      <c r="C1367" s="4" t="s">
        <v>39</v>
      </c>
      <c r="D1367" s="8" t="s">
        <v>381</v>
      </c>
      <c r="E1367" s="3" t="str">
        <f t="shared" si="3"/>
        <v>不收錄</v>
      </c>
      <c r="F1367" s="3" t="s">
        <v>171</v>
      </c>
      <c r="G1367" s="6"/>
      <c r="H1367" s="3" t="str">
        <f t="shared" si="4"/>
        <v>5,6</v>
      </c>
      <c r="I1367" s="3" t="s">
        <v>472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156</v>
      </c>
      <c r="O1367" s="3"/>
      <c r="P1367" s="4" t="s">
        <v>3433</v>
      </c>
      <c r="Q1367" s="3"/>
      <c r="R1367" s="3"/>
      <c r="S1367" s="6"/>
      <c r="T1367" s="6"/>
      <c r="U1367" s="6"/>
    </row>
    <row r="1368" ht="15.75" customHeight="1">
      <c r="A1368" s="4" t="s">
        <v>3566</v>
      </c>
      <c r="B1368" s="4" t="s">
        <v>3567</v>
      </c>
      <c r="C1368" s="4" t="s">
        <v>39</v>
      </c>
      <c r="D1368" s="6"/>
      <c r="E1368" s="3" t="str">
        <f t="shared" si="3"/>
        <v>現存</v>
      </c>
      <c r="F1368" s="3" t="s">
        <v>171</v>
      </c>
      <c r="G1368" s="6"/>
      <c r="H1368" s="3" t="str">
        <f t="shared" si="4"/>
        <v>5,6</v>
      </c>
      <c r="I1368" s="3" t="s">
        <v>430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156</v>
      </c>
      <c r="O1368" s="3"/>
      <c r="P1368" s="4" t="s">
        <v>3433</v>
      </c>
      <c r="Q1368" s="3"/>
      <c r="R1368" s="3"/>
      <c r="S1368" s="6"/>
      <c r="T1368" s="6"/>
      <c r="U1368" s="6"/>
    </row>
    <row r="1369" ht="15.75" customHeight="1">
      <c r="A1369" s="4" t="s">
        <v>3568</v>
      </c>
      <c r="B1369" s="4" t="s">
        <v>3569</v>
      </c>
      <c r="C1369" s="4" t="s">
        <v>39</v>
      </c>
      <c r="D1369" s="6"/>
      <c r="E1369" s="3" t="str">
        <f t="shared" si="3"/>
        <v>現存</v>
      </c>
      <c r="F1369" s="3" t="s">
        <v>450</v>
      </c>
      <c r="G1369" s="6"/>
      <c r="H1369" s="3" t="str">
        <f t="shared" si="4"/>
        <v>5</v>
      </c>
      <c r="I1369" s="3" t="s">
        <v>160</v>
      </c>
      <c r="J1369" s="3" t="s">
        <v>135</v>
      </c>
      <c r="K1369" s="3">
        <v>1.0</v>
      </c>
      <c r="L1369" s="3">
        <v>1.0</v>
      </c>
      <c r="M1369" s="4" t="s">
        <v>43</v>
      </c>
      <c r="N1369" s="3" t="s">
        <v>156</v>
      </c>
      <c r="O1369" s="3"/>
      <c r="P1369" s="4" t="s">
        <v>3433</v>
      </c>
      <c r="Q1369" s="3"/>
      <c r="R1369" s="3"/>
      <c r="S1369" s="6"/>
      <c r="T1369" s="6"/>
      <c r="U1369" s="6"/>
    </row>
    <row r="1370" ht="15.75" customHeight="1">
      <c r="A1370" s="4" t="s">
        <v>3570</v>
      </c>
      <c r="B1370" s="9" t="s">
        <v>3571</v>
      </c>
      <c r="C1370" s="4" t="s">
        <v>39</v>
      </c>
      <c r="D1370" s="6"/>
      <c r="E1370" s="3" t="str">
        <f t="shared" si="3"/>
        <v>現存</v>
      </c>
      <c r="F1370" s="3" t="s">
        <v>450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156</v>
      </c>
      <c r="O1370" s="3"/>
      <c r="P1370" s="4" t="s">
        <v>3433</v>
      </c>
      <c r="Q1370" s="3"/>
      <c r="R1370" s="3"/>
      <c r="S1370" s="6"/>
      <c r="T1370" s="6"/>
      <c r="U1370" s="6"/>
    </row>
    <row r="1371" ht="15.75" customHeight="1">
      <c r="A1371" s="4" t="s">
        <v>3572</v>
      </c>
      <c r="B1371" s="4" t="s">
        <v>3573</v>
      </c>
      <c r="C1371" s="4" t="s">
        <v>39</v>
      </c>
      <c r="D1371" s="6"/>
      <c r="E1371" s="3" t="str">
        <f t="shared" si="3"/>
        <v>現存</v>
      </c>
      <c r="F1371" s="3" t="s">
        <v>3323</v>
      </c>
      <c r="G1371" s="6"/>
      <c r="H1371" s="3" t="str">
        <f t="shared" si="4"/>
        <v>5,6,7,9,11</v>
      </c>
      <c r="I1371" s="3" t="s">
        <v>738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156</v>
      </c>
      <c r="O1371" s="3"/>
      <c r="P1371" s="4" t="s">
        <v>3433</v>
      </c>
      <c r="Q1371" s="3"/>
      <c r="R1371" s="3"/>
      <c r="S1371" s="6"/>
      <c r="T1371" s="6"/>
      <c r="U1371" s="6"/>
    </row>
    <row r="1372" ht="15.75" customHeight="1">
      <c r="A1372" s="4" t="s">
        <v>3574</v>
      </c>
      <c r="B1372" s="4" t="s">
        <v>3575</v>
      </c>
      <c r="C1372" s="4" t="s">
        <v>39</v>
      </c>
      <c r="D1372" s="6"/>
      <c r="E1372" s="3" t="str">
        <f t="shared" si="3"/>
        <v>現存</v>
      </c>
      <c r="F1372" s="3" t="s">
        <v>171</v>
      </c>
      <c r="G1372" s="6"/>
      <c r="H1372" s="3" t="str">
        <f t="shared" si="4"/>
        <v>5,6</v>
      </c>
      <c r="I1372" s="3" t="s">
        <v>444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156</v>
      </c>
      <c r="O1372" s="3"/>
      <c r="P1372" s="4" t="s">
        <v>3433</v>
      </c>
      <c r="Q1372" s="3"/>
      <c r="R1372" s="3"/>
      <c r="S1372" s="6"/>
      <c r="T1372" s="6"/>
      <c r="U1372" s="6"/>
    </row>
    <row r="1373" ht="15.75" customHeight="1">
      <c r="A1373" s="4" t="s">
        <v>3576</v>
      </c>
      <c r="B1373" s="4" t="s">
        <v>3577</v>
      </c>
      <c r="C1373" s="4" t="s">
        <v>39</v>
      </c>
      <c r="D1373" s="6"/>
      <c r="E1373" s="3" t="str">
        <f t="shared" si="3"/>
        <v>現存</v>
      </c>
      <c r="F1373" s="3" t="s">
        <v>171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156</v>
      </c>
      <c r="O1373" s="3"/>
      <c r="P1373" s="4" t="s">
        <v>3433</v>
      </c>
      <c r="Q1373" s="3"/>
      <c r="R1373" s="3"/>
      <c r="S1373" s="6"/>
      <c r="T1373" s="6"/>
      <c r="U1373" s="6"/>
    </row>
    <row r="1374" ht="15.75" customHeight="1">
      <c r="A1374" s="4" t="s">
        <v>3578</v>
      </c>
      <c r="B1374" s="4" t="s">
        <v>3579</v>
      </c>
      <c r="C1374" s="4" t="s">
        <v>39</v>
      </c>
      <c r="D1374" s="6"/>
      <c r="E1374" s="3" t="str">
        <f t="shared" si="3"/>
        <v>現存</v>
      </c>
      <c r="F1374" s="3" t="s">
        <v>450</v>
      </c>
      <c r="G1374" s="6"/>
      <c r="H1374" s="3" t="str">
        <f t="shared" si="4"/>
        <v>5</v>
      </c>
      <c r="I1374" s="3" t="s">
        <v>149</v>
      </c>
      <c r="J1374" s="3" t="s">
        <v>135</v>
      </c>
      <c r="K1374" s="3">
        <v>1.0</v>
      </c>
      <c r="L1374" s="3">
        <v>1.0</v>
      </c>
      <c r="M1374" s="4" t="s">
        <v>43</v>
      </c>
      <c r="N1374" s="3" t="s">
        <v>156</v>
      </c>
      <c r="O1374" s="3"/>
      <c r="P1374" s="4" t="s">
        <v>3433</v>
      </c>
      <c r="Q1374" s="3"/>
      <c r="R1374" s="3"/>
      <c r="S1374" s="6"/>
      <c r="T1374" s="6"/>
      <c r="U1374" s="6"/>
    </row>
    <row r="1375" ht="15.75" customHeight="1">
      <c r="A1375" s="4" t="s">
        <v>3580</v>
      </c>
      <c r="B1375" s="4" t="s">
        <v>3581</v>
      </c>
      <c r="C1375" s="4" t="s">
        <v>39</v>
      </c>
      <c r="D1375" s="6"/>
      <c r="E1375" s="3" t="str">
        <f t="shared" si="3"/>
        <v>現存</v>
      </c>
      <c r="F1375" s="3" t="s">
        <v>3582</v>
      </c>
      <c r="G1375" s="6"/>
      <c r="H1375" s="3" t="str">
        <f t="shared" si="4"/>
        <v>5,6,8,10</v>
      </c>
      <c r="I1375" s="3" t="s">
        <v>447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156</v>
      </c>
      <c r="O1375" s="3"/>
      <c r="P1375" s="4" t="s">
        <v>3433</v>
      </c>
      <c r="Q1375" s="3"/>
      <c r="R1375" s="3"/>
      <c r="S1375" s="6"/>
      <c r="T1375" s="6"/>
      <c r="U1375" s="6"/>
    </row>
    <row r="1376" ht="15.75" customHeight="1">
      <c r="A1376" s="4" t="s">
        <v>3583</v>
      </c>
      <c r="B1376" s="4" t="s">
        <v>3584</v>
      </c>
      <c r="C1376" s="4" t="s">
        <v>39</v>
      </c>
      <c r="D1376" s="6"/>
      <c r="E1376" s="3" t="str">
        <f t="shared" si="3"/>
        <v>現存</v>
      </c>
      <c r="F1376" s="3" t="s">
        <v>588</v>
      </c>
      <c r="G1376" s="6"/>
      <c r="H1376" s="3" t="str">
        <f t="shared" si="4"/>
        <v>6,7</v>
      </c>
      <c r="I1376" s="3" t="s">
        <v>1217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156</v>
      </c>
      <c r="O1376" s="3"/>
      <c r="P1376" s="4" t="s">
        <v>3433</v>
      </c>
      <c r="Q1376" s="3"/>
      <c r="R1376" s="3"/>
      <c r="S1376" s="6"/>
      <c r="T1376" s="6"/>
      <c r="U1376" s="8" t="s">
        <v>3585</v>
      </c>
    </row>
    <row r="1377" ht="15.75" customHeight="1">
      <c r="A1377" s="4" t="s">
        <v>3586</v>
      </c>
      <c r="B1377" s="4" t="s">
        <v>3587</v>
      </c>
      <c r="C1377" s="4" t="s">
        <v>39</v>
      </c>
      <c r="D1377" s="6"/>
      <c r="E1377" s="3" t="str">
        <f t="shared" si="3"/>
        <v>現存</v>
      </c>
      <c r="F1377" s="3" t="s">
        <v>588</v>
      </c>
      <c r="G1377" s="6"/>
      <c r="H1377" s="3" t="str">
        <f t="shared" si="4"/>
        <v>6,7</v>
      </c>
      <c r="I1377" s="3" t="s">
        <v>1217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156</v>
      </c>
      <c r="O1377" s="3"/>
      <c r="P1377" s="4" t="s">
        <v>3433</v>
      </c>
      <c r="Q1377" s="3"/>
      <c r="R1377" s="3"/>
      <c r="S1377" s="6"/>
      <c r="T1377" s="6"/>
      <c r="U1377" s="6"/>
    </row>
    <row r="1378" ht="15.75" customHeight="1">
      <c r="A1378" s="4" t="s">
        <v>3588</v>
      </c>
      <c r="B1378" s="9" t="s">
        <v>3541</v>
      </c>
      <c r="C1378" s="4" t="s">
        <v>39</v>
      </c>
      <c r="D1378" s="6"/>
      <c r="E1378" s="3" t="str">
        <f t="shared" si="3"/>
        <v>現存</v>
      </c>
      <c r="F1378" s="3" t="s">
        <v>310</v>
      </c>
      <c r="G1378" s="6"/>
      <c r="H1378" s="3" t="str">
        <f t="shared" si="4"/>
        <v>6</v>
      </c>
      <c r="I1378" s="3" t="s">
        <v>1856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156</v>
      </c>
      <c r="O1378" s="3"/>
      <c r="P1378" s="4" t="s">
        <v>3433</v>
      </c>
      <c r="Q1378" s="3"/>
      <c r="R1378" s="3"/>
      <c r="S1378" s="6"/>
      <c r="T1378" s="6"/>
      <c r="U1378" s="6"/>
    </row>
    <row r="1379" ht="15.75" customHeight="1">
      <c r="A1379" s="4" t="s">
        <v>3589</v>
      </c>
      <c r="B1379" s="4" t="s">
        <v>3590</v>
      </c>
      <c r="C1379" s="4" t="s">
        <v>39</v>
      </c>
      <c r="D1379" s="6"/>
      <c r="E1379" s="3" t="str">
        <f t="shared" si="3"/>
        <v>現存</v>
      </c>
      <c r="F1379" s="3" t="s">
        <v>588</v>
      </c>
      <c r="G1379" s="6"/>
      <c r="H1379" s="3" t="str">
        <f t="shared" si="4"/>
        <v>6,7</v>
      </c>
      <c r="I1379" s="3" t="s">
        <v>857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156</v>
      </c>
      <c r="O1379" s="3"/>
      <c r="P1379" s="4" t="s">
        <v>3433</v>
      </c>
      <c r="Q1379" s="3"/>
      <c r="R1379" s="3"/>
      <c r="S1379" s="6"/>
      <c r="T1379" s="6"/>
      <c r="U1379" s="6"/>
    </row>
    <row r="1380" ht="15.75" customHeight="1">
      <c r="A1380" s="4" t="s">
        <v>3591</v>
      </c>
      <c r="B1380" s="4" t="s">
        <v>3592</v>
      </c>
      <c r="C1380" s="4" t="s">
        <v>39</v>
      </c>
      <c r="D1380" s="6"/>
      <c r="E1380" s="3" t="str">
        <f t="shared" si="3"/>
        <v>現存</v>
      </c>
      <c r="F1380" s="3" t="s">
        <v>1220</v>
      </c>
      <c r="G1380" s="6"/>
      <c r="H1380" s="3" t="str">
        <f t="shared" si="4"/>
        <v>6,8</v>
      </c>
      <c r="I1380" s="3" t="s">
        <v>585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156</v>
      </c>
      <c r="O1380" s="3"/>
      <c r="P1380" s="4" t="s">
        <v>3433</v>
      </c>
      <c r="Q1380" s="3"/>
      <c r="R1380" s="3"/>
      <c r="S1380" s="6"/>
      <c r="T1380" s="6"/>
      <c r="U1380" s="6"/>
    </row>
    <row r="1381" ht="15.75" customHeight="1">
      <c r="A1381" s="4" t="s">
        <v>3593</v>
      </c>
      <c r="B1381" s="4" t="s">
        <v>3594</v>
      </c>
      <c r="C1381" s="4" t="s">
        <v>39</v>
      </c>
      <c r="D1381" s="6"/>
      <c r="E1381" s="3" t="str">
        <f t="shared" si="3"/>
        <v>現存</v>
      </c>
      <c r="F1381" s="3" t="s">
        <v>310</v>
      </c>
      <c r="G1381" s="6"/>
      <c r="H1381" s="3" t="str">
        <f t="shared" si="4"/>
        <v>6</v>
      </c>
      <c r="I1381" s="3" t="s">
        <v>3595</v>
      </c>
      <c r="J1381" s="3" t="s">
        <v>181</v>
      </c>
      <c r="K1381" s="3">
        <v>1.0</v>
      </c>
      <c r="L1381" s="3">
        <v>1.0</v>
      </c>
      <c r="M1381" s="4" t="s">
        <v>43</v>
      </c>
      <c r="N1381" s="3" t="s">
        <v>156</v>
      </c>
      <c r="O1381" s="3"/>
      <c r="P1381" s="4" t="s">
        <v>3433</v>
      </c>
      <c r="Q1381" s="3"/>
      <c r="R1381" s="3"/>
      <c r="S1381" s="6"/>
      <c r="T1381" s="6"/>
      <c r="U1381" s="6"/>
    </row>
    <row r="1382" ht="15.75" customHeight="1">
      <c r="A1382" s="4" t="s">
        <v>3596</v>
      </c>
      <c r="B1382" s="4" t="s">
        <v>3597</v>
      </c>
      <c r="C1382" s="4" t="s">
        <v>39</v>
      </c>
      <c r="D1382" s="6"/>
      <c r="E1382" s="3" t="str">
        <f t="shared" si="3"/>
        <v>現存</v>
      </c>
      <c r="F1382" s="3" t="s">
        <v>795</v>
      </c>
      <c r="G1382" s="6"/>
      <c r="H1382" s="3" t="str">
        <f t="shared" si="4"/>
        <v>6,7,8</v>
      </c>
      <c r="I1382" s="3" t="s">
        <v>1865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156</v>
      </c>
      <c r="O1382" s="3"/>
      <c r="P1382" s="4" t="s">
        <v>3433</v>
      </c>
      <c r="Q1382" s="3"/>
      <c r="R1382" s="3"/>
      <c r="S1382" s="6"/>
      <c r="T1382" s="6"/>
      <c r="U1382" s="6"/>
    </row>
    <row r="1383" ht="15.75" customHeight="1">
      <c r="A1383" s="4" t="s">
        <v>3598</v>
      </c>
      <c r="B1383" s="4" t="s">
        <v>3599</v>
      </c>
      <c r="C1383" s="4" t="s">
        <v>39</v>
      </c>
      <c r="D1383" s="6"/>
      <c r="E1383" s="3" t="str">
        <f t="shared" si="3"/>
        <v>現存</v>
      </c>
      <c r="F1383" s="3" t="s">
        <v>972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156</v>
      </c>
      <c r="O1383" s="3"/>
      <c r="P1383" s="4" t="s">
        <v>3433</v>
      </c>
      <c r="Q1383" s="3"/>
      <c r="R1383" s="3"/>
      <c r="S1383" s="6"/>
      <c r="T1383" s="6"/>
      <c r="U1383" s="6"/>
    </row>
    <row r="1384" ht="15.75" customHeight="1">
      <c r="A1384" s="4" t="s">
        <v>3600</v>
      </c>
      <c r="B1384" s="4" t="s">
        <v>2052</v>
      </c>
      <c r="C1384" s="4" t="s">
        <v>39</v>
      </c>
      <c r="D1384" s="6"/>
      <c r="E1384" s="3" t="str">
        <f t="shared" si="3"/>
        <v>現存</v>
      </c>
      <c r="F1384" s="3" t="s">
        <v>872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156</v>
      </c>
      <c r="O1384" s="3"/>
      <c r="P1384" s="4" t="s">
        <v>3433</v>
      </c>
      <c r="Q1384" s="3"/>
      <c r="R1384" s="3"/>
      <c r="S1384" s="6"/>
      <c r="T1384" s="6"/>
      <c r="U1384" s="6"/>
    </row>
    <row r="1385" ht="15.75" customHeight="1">
      <c r="A1385" s="4" t="s">
        <v>3601</v>
      </c>
      <c r="B1385" s="4" t="s">
        <v>3602</v>
      </c>
      <c r="C1385" s="4" t="s">
        <v>39</v>
      </c>
      <c r="D1385" s="6"/>
      <c r="E1385" s="3" t="str">
        <f t="shared" si="3"/>
        <v>現存</v>
      </c>
      <c r="F1385" s="3" t="s">
        <v>1634</v>
      </c>
      <c r="G1385" s="6"/>
      <c r="H1385" s="3" t="str">
        <f t="shared" si="4"/>
        <v>6,11</v>
      </c>
      <c r="I1385" s="3" t="s">
        <v>516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156</v>
      </c>
      <c r="O1385" s="3"/>
      <c r="P1385" s="4" t="s">
        <v>3433</v>
      </c>
      <c r="Q1385" s="3"/>
      <c r="R1385" s="3"/>
      <c r="S1385" s="6"/>
      <c r="T1385" s="6"/>
      <c r="U1385" s="6"/>
    </row>
    <row r="1386" ht="15.75" customHeight="1">
      <c r="A1386" s="4" t="s">
        <v>3603</v>
      </c>
      <c r="B1386" s="4" t="s">
        <v>3604</v>
      </c>
      <c r="C1386" s="4" t="s">
        <v>39</v>
      </c>
      <c r="D1386" s="6"/>
      <c r="E1386" s="3" t="str">
        <f t="shared" si="3"/>
        <v>現存</v>
      </c>
      <c r="F1386" s="3" t="s">
        <v>972</v>
      </c>
      <c r="G1386" s="6"/>
      <c r="H1386" s="3" t="str">
        <f t="shared" si="4"/>
        <v>6,9</v>
      </c>
      <c r="I1386" s="3" t="s">
        <v>3605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156</v>
      </c>
      <c r="O1386" s="3"/>
      <c r="P1386" s="4" t="s">
        <v>3433</v>
      </c>
      <c r="Q1386" s="3"/>
      <c r="R1386" s="3"/>
      <c r="S1386" s="6"/>
      <c r="T1386" s="6"/>
      <c r="U1386" s="6"/>
    </row>
    <row r="1387" ht="15.75" customHeight="1">
      <c r="A1387" s="4" t="s">
        <v>3606</v>
      </c>
      <c r="B1387" s="4" t="s">
        <v>3607</v>
      </c>
      <c r="C1387" s="4" t="s">
        <v>39</v>
      </c>
      <c r="D1387" s="6"/>
      <c r="E1387" s="3" t="str">
        <f t="shared" si="3"/>
        <v>現存</v>
      </c>
      <c r="F1387" s="3" t="s">
        <v>2240</v>
      </c>
      <c r="G1387" s="6"/>
      <c r="H1387" s="3" t="str">
        <f t="shared" si="4"/>
        <v>6,7,10,11</v>
      </c>
      <c r="I1387" s="3" t="s">
        <v>112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156</v>
      </c>
      <c r="O1387" s="3"/>
      <c r="P1387" s="4" t="s">
        <v>3433</v>
      </c>
      <c r="Q1387" s="3"/>
      <c r="R1387" s="3"/>
      <c r="S1387" s="6"/>
      <c r="T1387" s="6"/>
      <c r="U1387" s="6"/>
    </row>
    <row r="1388" ht="15.75" customHeight="1">
      <c r="A1388" s="4" t="s">
        <v>3608</v>
      </c>
      <c r="B1388" s="4" t="s">
        <v>3571</v>
      </c>
      <c r="C1388" s="4" t="s">
        <v>39</v>
      </c>
      <c r="D1388" s="6"/>
      <c r="E1388" s="3" t="str">
        <f t="shared" si="3"/>
        <v>現存</v>
      </c>
      <c r="F1388" s="3" t="s">
        <v>310</v>
      </c>
      <c r="G1388" s="6"/>
      <c r="H1388" s="3" t="str">
        <f t="shared" si="4"/>
        <v>6</v>
      </c>
      <c r="I1388" s="3" t="s">
        <v>472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156</v>
      </c>
      <c r="O1388" s="3"/>
      <c r="P1388" s="4" t="s">
        <v>3433</v>
      </c>
      <c r="Q1388" s="3"/>
      <c r="R1388" s="3"/>
      <c r="S1388" s="6"/>
      <c r="T1388" s="6"/>
      <c r="U1388" s="6"/>
    </row>
    <row r="1389" ht="15.75" customHeight="1">
      <c r="A1389" s="4" t="s">
        <v>3609</v>
      </c>
      <c r="B1389" s="4" t="s">
        <v>3610</v>
      </c>
      <c r="C1389" s="4" t="s">
        <v>39</v>
      </c>
      <c r="D1389" s="6"/>
      <c r="E1389" s="3" t="str">
        <f t="shared" si="3"/>
        <v>現存</v>
      </c>
      <c r="F1389" s="3" t="s">
        <v>310</v>
      </c>
      <c r="G1389" s="6"/>
      <c r="H1389" s="3" t="str">
        <f t="shared" si="4"/>
        <v>6</v>
      </c>
      <c r="I1389" s="3" t="s">
        <v>444</v>
      </c>
      <c r="J1389" s="3" t="s">
        <v>135</v>
      </c>
      <c r="K1389" s="3">
        <v>1.0</v>
      </c>
      <c r="L1389" s="3">
        <v>1.0</v>
      </c>
      <c r="M1389" s="4" t="s">
        <v>43</v>
      </c>
      <c r="N1389" s="3" t="s">
        <v>156</v>
      </c>
      <c r="O1389" s="3"/>
      <c r="P1389" s="4" t="s">
        <v>3433</v>
      </c>
      <c r="Q1389" s="3"/>
      <c r="R1389" s="3"/>
      <c r="S1389" s="6"/>
      <c r="T1389" s="6"/>
      <c r="U1389" s="6"/>
    </row>
    <row r="1390" ht="15.75" customHeight="1">
      <c r="A1390" s="4" t="s">
        <v>3611</v>
      </c>
      <c r="B1390" s="4" t="s">
        <v>3612</v>
      </c>
      <c r="C1390" s="4" t="s">
        <v>39</v>
      </c>
      <c r="D1390" s="6"/>
      <c r="E1390" s="3" t="str">
        <f t="shared" si="3"/>
        <v>現存</v>
      </c>
      <c r="F1390" s="3" t="s">
        <v>1200</v>
      </c>
      <c r="G1390" s="6"/>
      <c r="H1390" s="3" t="str">
        <f t="shared" si="4"/>
        <v>6,7,8,9</v>
      </c>
      <c r="I1390" s="3" t="s">
        <v>88</v>
      </c>
      <c r="J1390" s="3" t="s">
        <v>193</v>
      </c>
      <c r="K1390" s="3">
        <v>14.0</v>
      </c>
      <c r="L1390" s="3">
        <v>1.0</v>
      </c>
      <c r="M1390" s="4" t="s">
        <v>43</v>
      </c>
      <c r="N1390" s="3" t="s">
        <v>156</v>
      </c>
      <c r="O1390" s="3"/>
      <c r="P1390" s="4" t="s">
        <v>3433</v>
      </c>
      <c r="Q1390" s="3"/>
      <c r="R1390" s="3"/>
      <c r="S1390" s="6"/>
      <c r="T1390" s="6"/>
      <c r="U1390" s="6"/>
    </row>
    <row r="1391" ht="15.75" customHeight="1">
      <c r="A1391" s="4" t="s">
        <v>3613</v>
      </c>
      <c r="B1391" s="4" t="s">
        <v>3614</v>
      </c>
      <c r="C1391" s="4" t="s">
        <v>39</v>
      </c>
      <c r="D1391" s="6"/>
      <c r="E1391" s="3" t="str">
        <f t="shared" si="3"/>
        <v>現存</v>
      </c>
      <c r="F1391" s="3" t="s">
        <v>3615</v>
      </c>
      <c r="G1391" s="6"/>
      <c r="H1391" s="3" t="str">
        <f t="shared" si="4"/>
        <v>6,7,9,11</v>
      </c>
      <c r="I1391" s="3" t="s">
        <v>112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156</v>
      </c>
      <c r="O1391" s="3"/>
      <c r="P1391" s="4" t="s">
        <v>3433</v>
      </c>
      <c r="Q1391" s="3"/>
      <c r="R1391" s="3"/>
      <c r="S1391" s="6"/>
      <c r="T1391" s="6"/>
      <c r="U1391" s="6"/>
    </row>
    <row r="1392" ht="15.75" customHeight="1">
      <c r="A1392" s="4" t="s">
        <v>3616</v>
      </c>
      <c r="B1392" s="4" t="s">
        <v>3617</v>
      </c>
      <c r="C1392" s="4" t="s">
        <v>39</v>
      </c>
      <c r="D1392" s="6"/>
      <c r="E1392" s="3" t="str">
        <f t="shared" si="3"/>
        <v>現存</v>
      </c>
      <c r="F1392" s="3" t="s">
        <v>795</v>
      </c>
      <c r="G1392" s="6"/>
      <c r="H1392" s="3" t="str">
        <f t="shared" si="4"/>
        <v>6,7,8</v>
      </c>
      <c r="I1392" s="3" t="s">
        <v>1217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156</v>
      </c>
      <c r="O1392" s="3"/>
      <c r="P1392" s="4" t="s">
        <v>3433</v>
      </c>
      <c r="Q1392" s="3"/>
      <c r="R1392" s="3"/>
      <c r="S1392" s="6"/>
      <c r="T1392" s="6"/>
      <c r="U1392" s="6"/>
    </row>
    <row r="1393" ht="15.75" customHeight="1">
      <c r="A1393" s="4" t="s">
        <v>3618</v>
      </c>
      <c r="B1393" s="4" t="s">
        <v>3619</v>
      </c>
      <c r="C1393" s="4" t="s">
        <v>39</v>
      </c>
      <c r="D1393" s="6"/>
      <c r="E1393" s="3" t="str">
        <f t="shared" si="3"/>
        <v>現存</v>
      </c>
      <c r="F1393" s="3" t="s">
        <v>310</v>
      </c>
      <c r="G1393" s="6"/>
      <c r="H1393" s="3" t="str">
        <f t="shared" si="4"/>
        <v>6</v>
      </c>
      <c r="I1393" s="3" t="s">
        <v>444</v>
      </c>
      <c r="J1393" s="3" t="s">
        <v>135</v>
      </c>
      <c r="K1393" s="3">
        <v>1.0</v>
      </c>
      <c r="L1393" s="3">
        <v>1.0</v>
      </c>
      <c r="M1393" s="4" t="s">
        <v>43</v>
      </c>
      <c r="N1393" s="3" t="s">
        <v>156</v>
      </c>
      <c r="O1393" s="3"/>
      <c r="P1393" s="4" t="s">
        <v>3433</v>
      </c>
      <c r="Q1393" s="3"/>
      <c r="R1393" s="3"/>
      <c r="S1393" s="6"/>
      <c r="T1393" s="6"/>
      <c r="U1393" s="6"/>
    </row>
    <row r="1394" ht="15.75" customHeight="1">
      <c r="A1394" s="4" t="s">
        <v>3620</v>
      </c>
      <c r="B1394" s="4" t="s">
        <v>3621</v>
      </c>
      <c r="C1394" s="4" t="s">
        <v>39</v>
      </c>
      <c r="D1394" s="6"/>
      <c r="E1394" s="3" t="str">
        <f t="shared" si="3"/>
        <v>現存</v>
      </c>
      <c r="F1394" s="3" t="s">
        <v>1784</v>
      </c>
      <c r="G1394" s="6"/>
      <c r="H1394" s="3" t="str">
        <f t="shared" si="4"/>
        <v>7,10</v>
      </c>
      <c r="I1394" s="3" t="s">
        <v>990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156</v>
      </c>
      <c r="O1394" s="3"/>
      <c r="P1394" s="4" t="s">
        <v>3433</v>
      </c>
      <c r="Q1394" s="3"/>
      <c r="R1394" s="3"/>
      <c r="S1394" s="6"/>
      <c r="T1394" s="6"/>
      <c r="U1394" s="6"/>
    </row>
    <row r="1395" ht="15.75" customHeight="1">
      <c r="A1395" s="4" t="s">
        <v>3622</v>
      </c>
      <c r="B1395" s="4" t="s">
        <v>3623</v>
      </c>
      <c r="C1395" s="4" t="s">
        <v>39</v>
      </c>
      <c r="D1395" s="6"/>
      <c r="E1395" s="3" t="str">
        <f t="shared" si="3"/>
        <v>現存</v>
      </c>
      <c r="F1395" s="3" t="s">
        <v>314</v>
      </c>
      <c r="G1395" s="6"/>
      <c r="H1395" s="3" t="str">
        <f t="shared" si="4"/>
        <v>7</v>
      </c>
      <c r="I1395" s="3" t="s">
        <v>1225</v>
      </c>
      <c r="J1395" s="3" t="s">
        <v>125</v>
      </c>
      <c r="K1395" s="3">
        <v>2.0</v>
      </c>
      <c r="L1395" s="3">
        <v>1.0</v>
      </c>
      <c r="M1395" s="4" t="s">
        <v>43</v>
      </c>
      <c r="N1395" s="3" t="s">
        <v>156</v>
      </c>
      <c r="O1395" s="3"/>
      <c r="P1395" s="4" t="s">
        <v>3433</v>
      </c>
      <c r="Q1395" s="3"/>
      <c r="R1395" s="3"/>
      <c r="S1395" s="6"/>
      <c r="T1395" s="6"/>
      <c r="U1395" s="6"/>
    </row>
    <row r="1396" ht="15.75" customHeight="1">
      <c r="A1396" s="4" t="s">
        <v>3624</v>
      </c>
      <c r="B1396" s="4" t="s">
        <v>3625</v>
      </c>
      <c r="C1396" s="4" t="s">
        <v>39</v>
      </c>
      <c r="D1396" s="6"/>
      <c r="E1396" s="3" t="str">
        <f t="shared" si="3"/>
        <v>現存</v>
      </c>
      <c r="F1396" s="3" t="s">
        <v>478</v>
      </c>
      <c r="G1396" s="6"/>
      <c r="H1396" s="3" t="str">
        <f t="shared" si="4"/>
        <v>7,8</v>
      </c>
      <c r="I1396" s="3" t="s">
        <v>1372</v>
      </c>
      <c r="J1396" s="3" t="s">
        <v>135</v>
      </c>
      <c r="K1396" s="3">
        <v>2.0</v>
      </c>
      <c r="L1396" s="3">
        <v>1.0</v>
      </c>
      <c r="M1396" s="4" t="s">
        <v>43</v>
      </c>
      <c r="N1396" s="3" t="s">
        <v>156</v>
      </c>
      <c r="O1396" s="3"/>
      <c r="P1396" s="4" t="s">
        <v>3433</v>
      </c>
      <c r="Q1396" s="3"/>
      <c r="R1396" s="3"/>
      <c r="S1396" s="6"/>
      <c r="T1396" s="6"/>
      <c r="U1396" s="6"/>
    </row>
    <row r="1397" ht="15.75" customHeight="1">
      <c r="A1397" s="4" t="s">
        <v>3626</v>
      </c>
      <c r="B1397" s="4" t="s">
        <v>3627</v>
      </c>
      <c r="C1397" s="4" t="s">
        <v>39</v>
      </c>
      <c r="D1397" s="6"/>
      <c r="E1397" s="3" t="str">
        <f t="shared" si="3"/>
        <v>現存</v>
      </c>
      <c r="F1397" s="3" t="s">
        <v>179</v>
      </c>
      <c r="G1397" s="6"/>
      <c r="H1397" s="3" t="str">
        <f t="shared" si="4"/>
        <v>8</v>
      </c>
      <c r="I1397" s="3" t="s">
        <v>817</v>
      </c>
      <c r="J1397" s="3" t="s">
        <v>181</v>
      </c>
      <c r="K1397" s="3">
        <v>1.0</v>
      </c>
      <c r="L1397" s="3">
        <v>1.0</v>
      </c>
      <c r="M1397" s="4" t="s">
        <v>43</v>
      </c>
      <c r="N1397" s="3" t="s">
        <v>156</v>
      </c>
      <c r="O1397" s="3"/>
      <c r="P1397" s="4" t="s">
        <v>3433</v>
      </c>
      <c r="Q1397" s="3"/>
      <c r="R1397" s="3"/>
      <c r="S1397" s="6"/>
      <c r="T1397" s="6"/>
      <c r="U1397" s="6"/>
    </row>
    <row r="1398" ht="15.75" customHeight="1">
      <c r="A1398" s="4" t="s">
        <v>3628</v>
      </c>
      <c r="B1398" s="4" t="s">
        <v>3629</v>
      </c>
      <c r="C1398" s="4" t="s">
        <v>39</v>
      </c>
      <c r="D1398" s="6"/>
      <c r="E1398" s="3" t="str">
        <f t="shared" si="3"/>
        <v>現存</v>
      </c>
      <c r="F1398" s="3" t="s">
        <v>175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156</v>
      </c>
      <c r="O1398" s="3"/>
      <c r="P1398" s="4" t="s">
        <v>3433</v>
      </c>
      <c r="Q1398" s="3"/>
      <c r="R1398" s="3"/>
      <c r="S1398" s="6"/>
      <c r="T1398" s="6"/>
      <c r="U1398" s="6"/>
    </row>
    <row r="1399" ht="15.75" customHeight="1">
      <c r="A1399" s="4" t="s">
        <v>3630</v>
      </c>
      <c r="B1399" s="4" t="s">
        <v>3631</v>
      </c>
      <c r="C1399" s="4" t="s">
        <v>39</v>
      </c>
      <c r="D1399" s="6"/>
      <c r="E1399" s="3" t="str">
        <f t="shared" si="3"/>
        <v>現存</v>
      </c>
      <c r="F1399" s="3" t="s">
        <v>813</v>
      </c>
      <c r="G1399" s="6"/>
      <c r="H1399" s="3" t="str">
        <f t="shared" si="4"/>
        <v>8,10</v>
      </c>
      <c r="I1399" s="3" t="s">
        <v>2575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156</v>
      </c>
      <c r="O1399" s="3"/>
      <c r="P1399" s="4" t="s">
        <v>3433</v>
      </c>
      <c r="Q1399" s="3"/>
      <c r="R1399" s="3"/>
      <c r="S1399" s="6"/>
      <c r="T1399" s="6"/>
      <c r="U1399" s="6"/>
    </row>
    <row r="1400" ht="15.75" customHeight="1">
      <c r="A1400" s="4" t="s">
        <v>3632</v>
      </c>
      <c r="B1400" s="4" t="s">
        <v>3633</v>
      </c>
      <c r="C1400" s="4" t="s">
        <v>39</v>
      </c>
      <c r="D1400" s="6"/>
      <c r="E1400" s="3" t="str">
        <f t="shared" si="3"/>
        <v>現存</v>
      </c>
      <c r="F1400" s="3" t="s">
        <v>498</v>
      </c>
      <c r="G1400" s="6"/>
      <c r="H1400" s="3" t="str">
        <f t="shared" si="4"/>
        <v>9,10</v>
      </c>
      <c r="I1400" s="3" t="s">
        <v>1845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156</v>
      </c>
      <c r="O1400" s="3"/>
      <c r="P1400" s="4" t="s">
        <v>3433</v>
      </c>
      <c r="Q1400" s="3"/>
      <c r="R1400" s="3"/>
      <c r="S1400" s="6"/>
      <c r="T1400" s="6"/>
      <c r="U1400" s="6"/>
    </row>
    <row r="1401" ht="15.75" customHeight="1">
      <c r="A1401" s="4" t="s">
        <v>3634</v>
      </c>
      <c r="B1401" s="4" t="s">
        <v>3635</v>
      </c>
      <c r="C1401" s="4" t="s">
        <v>39</v>
      </c>
      <c r="D1401" s="6"/>
      <c r="E1401" s="3" t="str">
        <f t="shared" si="3"/>
        <v>現存</v>
      </c>
      <c r="F1401" s="3" t="s">
        <v>326</v>
      </c>
      <c r="G1401" s="6"/>
      <c r="H1401" s="3" t="str">
        <f t="shared" si="4"/>
        <v>9</v>
      </c>
      <c r="I1401" s="3" t="s">
        <v>502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156</v>
      </c>
      <c r="O1401" s="3"/>
      <c r="P1401" s="4" t="s">
        <v>3433</v>
      </c>
      <c r="Q1401" s="3"/>
      <c r="R1401" s="3"/>
      <c r="S1401" s="6"/>
      <c r="T1401" s="6"/>
      <c r="U1401" s="6"/>
    </row>
    <row r="1402" ht="15.75" customHeight="1">
      <c r="A1402" s="4" t="s">
        <v>3636</v>
      </c>
      <c r="B1402" s="4" t="s">
        <v>3637</v>
      </c>
      <c r="C1402" s="4" t="s">
        <v>39</v>
      </c>
      <c r="D1402" s="6"/>
      <c r="E1402" s="3" t="str">
        <f t="shared" si="3"/>
        <v>現存</v>
      </c>
      <c r="F1402" s="3" t="s">
        <v>326</v>
      </c>
      <c r="G1402" s="6"/>
      <c r="H1402" s="3" t="str">
        <f t="shared" si="4"/>
        <v>9</v>
      </c>
      <c r="I1402" s="3" t="s">
        <v>3638</v>
      </c>
      <c r="J1402" s="3" t="s">
        <v>893</v>
      </c>
      <c r="K1402" s="3">
        <v>1.0</v>
      </c>
      <c r="L1402" s="3">
        <v>1.0</v>
      </c>
      <c r="M1402" s="4" t="s">
        <v>43</v>
      </c>
      <c r="N1402" s="3" t="s">
        <v>156</v>
      </c>
      <c r="O1402" s="3"/>
      <c r="P1402" s="4" t="s">
        <v>3433</v>
      </c>
      <c r="Q1402" s="3"/>
      <c r="R1402" s="3"/>
      <c r="S1402" s="6"/>
      <c r="T1402" s="6"/>
      <c r="U1402" s="6"/>
    </row>
    <row r="1403" ht="15.75" customHeight="1">
      <c r="A1403" s="4" t="s">
        <v>3639</v>
      </c>
      <c r="B1403" s="4" t="s">
        <v>3640</v>
      </c>
      <c r="C1403" s="4" t="s">
        <v>39</v>
      </c>
      <c r="D1403" s="6"/>
      <c r="E1403" s="3" t="str">
        <f t="shared" si="3"/>
        <v>現存</v>
      </c>
      <c r="F1403" s="3" t="s">
        <v>188</v>
      </c>
      <c r="G1403" s="6"/>
      <c r="H1403" s="3" t="str">
        <f t="shared" si="4"/>
        <v>10</v>
      </c>
      <c r="I1403" s="3" t="s">
        <v>1799</v>
      </c>
      <c r="J1403" s="3" t="s">
        <v>181</v>
      </c>
      <c r="K1403" s="3">
        <v>1.0</v>
      </c>
      <c r="L1403" s="3">
        <v>1.0</v>
      </c>
      <c r="M1403" s="4" t="s">
        <v>43</v>
      </c>
      <c r="N1403" s="3" t="s">
        <v>156</v>
      </c>
      <c r="O1403" s="3"/>
      <c r="P1403" s="4" t="s">
        <v>3433</v>
      </c>
      <c r="Q1403" s="3"/>
      <c r="R1403" s="3"/>
      <c r="S1403" s="6"/>
      <c r="T1403" s="6"/>
      <c r="U1403" s="6"/>
    </row>
    <row r="1404" ht="15.75" customHeight="1">
      <c r="A1404" s="4" t="s">
        <v>3641</v>
      </c>
      <c r="B1404" s="4" t="s">
        <v>3642</v>
      </c>
      <c r="C1404" s="4" t="s">
        <v>39</v>
      </c>
      <c r="D1404" s="6"/>
      <c r="E1404" s="3" t="str">
        <f t="shared" si="3"/>
        <v>現存</v>
      </c>
      <c r="F1404" s="3" t="s">
        <v>188</v>
      </c>
      <c r="G1404" s="6"/>
      <c r="H1404" s="3" t="str">
        <f t="shared" si="4"/>
        <v>10</v>
      </c>
      <c r="I1404" s="3" t="s">
        <v>1596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3433</v>
      </c>
      <c r="Q1404" s="3"/>
      <c r="R1404" s="3"/>
      <c r="S1404" s="6"/>
      <c r="T1404" s="6"/>
      <c r="U1404" s="6"/>
    </row>
    <row r="1405" ht="15.75" customHeight="1">
      <c r="A1405" s="4" t="s">
        <v>3643</v>
      </c>
      <c r="B1405" s="4" t="s">
        <v>3644</v>
      </c>
      <c r="C1405" s="4" t="s">
        <v>39</v>
      </c>
      <c r="D1405" s="6"/>
      <c r="E1405" s="3" t="str">
        <f t="shared" si="3"/>
        <v>現存</v>
      </c>
      <c r="F1405" s="3" t="s">
        <v>188</v>
      </c>
      <c r="G1405" s="6"/>
      <c r="H1405" s="3" t="str">
        <f t="shared" si="4"/>
        <v>10</v>
      </c>
      <c r="I1405" s="3" t="s">
        <v>509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156</v>
      </c>
      <c r="O1405" s="3"/>
      <c r="P1405" s="4" t="s">
        <v>3433</v>
      </c>
      <c r="Q1405" s="3"/>
      <c r="R1405" s="3"/>
      <c r="S1405" s="6"/>
      <c r="T1405" s="6"/>
      <c r="U1405" s="6"/>
    </row>
    <row r="1406" ht="15.75" customHeight="1">
      <c r="A1406" s="4" t="s">
        <v>3645</v>
      </c>
      <c r="B1406" s="4" t="s">
        <v>3646</v>
      </c>
      <c r="C1406" s="4" t="s">
        <v>39</v>
      </c>
      <c r="D1406" s="6"/>
      <c r="E1406" s="3" t="str">
        <f t="shared" si="3"/>
        <v>現存</v>
      </c>
      <c r="F1406" s="3" t="s">
        <v>188</v>
      </c>
      <c r="G1406" s="6"/>
      <c r="H1406" s="3" t="str">
        <f t="shared" si="4"/>
        <v>10</v>
      </c>
      <c r="I1406" s="3" t="s">
        <v>1229</v>
      </c>
      <c r="J1406" s="3" t="s">
        <v>181</v>
      </c>
      <c r="K1406" s="3">
        <v>1.0</v>
      </c>
      <c r="L1406" s="3">
        <v>1.0</v>
      </c>
      <c r="M1406" s="4" t="s">
        <v>43</v>
      </c>
      <c r="N1406" s="3" t="s">
        <v>156</v>
      </c>
      <c r="O1406" s="3"/>
      <c r="P1406" s="4" t="s">
        <v>3433</v>
      </c>
      <c r="Q1406" s="3"/>
      <c r="R1406" s="3"/>
      <c r="S1406" s="6"/>
      <c r="T1406" s="6"/>
      <c r="U1406" s="6"/>
    </row>
    <row r="1407" ht="15.75" customHeight="1">
      <c r="A1407" s="4" t="s">
        <v>3647</v>
      </c>
      <c r="B1407" s="4" t="s">
        <v>3648</v>
      </c>
      <c r="C1407" s="4" t="s">
        <v>170</v>
      </c>
      <c r="D1407" s="8" t="s">
        <v>381</v>
      </c>
      <c r="E1407" s="3" t="str">
        <f t="shared" si="3"/>
        <v>不收錄</v>
      </c>
      <c r="F1407" s="3" t="s">
        <v>188</v>
      </c>
      <c r="G1407" s="6"/>
      <c r="H1407" s="3" t="str">
        <f t="shared" si="4"/>
        <v>10</v>
      </c>
      <c r="I1407" s="3" t="s">
        <v>189</v>
      </c>
      <c r="J1407" s="3" t="s">
        <v>181</v>
      </c>
      <c r="K1407" s="3">
        <v>1.0</v>
      </c>
      <c r="L1407" s="3">
        <v>0.0</v>
      </c>
      <c r="M1407" s="4" t="s">
        <v>236</v>
      </c>
      <c r="N1407" s="3"/>
      <c r="O1407" s="3"/>
      <c r="P1407" s="4" t="s">
        <v>3433</v>
      </c>
      <c r="Q1407" s="3"/>
      <c r="R1407" s="3"/>
      <c r="S1407" s="6"/>
      <c r="T1407" s="6"/>
      <c r="U1407" s="6"/>
    </row>
    <row r="1408" ht="15.75" customHeight="1">
      <c r="A1408" s="4" t="s">
        <v>3649</v>
      </c>
      <c r="B1408" s="4" t="s">
        <v>3650</v>
      </c>
      <c r="C1408" s="4" t="s">
        <v>39</v>
      </c>
      <c r="D1408" s="6"/>
      <c r="E1408" s="3" t="str">
        <f t="shared" si="3"/>
        <v>現存</v>
      </c>
      <c r="F1408" s="3" t="s">
        <v>616</v>
      </c>
      <c r="G1408" s="6"/>
      <c r="H1408" s="3" t="str">
        <f t="shared" si="4"/>
        <v>10,11</v>
      </c>
      <c r="I1408" s="3" t="s">
        <v>1008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156</v>
      </c>
      <c r="O1408" s="3"/>
      <c r="P1408" s="4" t="s">
        <v>3433</v>
      </c>
      <c r="Q1408" s="3"/>
      <c r="R1408" s="3"/>
      <c r="S1408" s="6"/>
      <c r="T1408" s="6"/>
      <c r="U1408" s="6"/>
    </row>
    <row r="1409" ht="15.75" customHeight="1">
      <c r="A1409" s="4" t="s">
        <v>3651</v>
      </c>
      <c r="B1409" s="4" t="s">
        <v>3652</v>
      </c>
      <c r="C1409" s="4" t="s">
        <v>170</v>
      </c>
      <c r="D1409" s="6"/>
      <c r="E1409" s="3" t="str">
        <f t="shared" si="3"/>
        <v>近年未見</v>
      </c>
      <c r="F1409" s="3" t="s">
        <v>911</v>
      </c>
      <c r="G1409" s="6"/>
      <c r="H1409" s="3" t="str">
        <f t="shared" si="4"/>
        <v>1,12</v>
      </c>
      <c r="I1409" s="3" t="s">
        <v>346</v>
      </c>
      <c r="J1409" s="3" t="s">
        <v>98</v>
      </c>
      <c r="K1409" s="3">
        <v>3.0</v>
      </c>
      <c r="L1409" s="3">
        <v>0.0</v>
      </c>
      <c r="M1409" s="4" t="s">
        <v>236</v>
      </c>
      <c r="N1409" s="3"/>
      <c r="O1409" s="3"/>
      <c r="P1409" s="4" t="s">
        <v>3653</v>
      </c>
      <c r="Q1409" s="3"/>
      <c r="R1409" s="3"/>
      <c r="S1409" s="6"/>
      <c r="T1409" s="6"/>
      <c r="U1409" s="6"/>
    </row>
    <row r="1410" ht="15.75" customHeight="1">
      <c r="A1410" s="4" t="s">
        <v>3654</v>
      </c>
      <c r="B1410" s="4" t="s">
        <v>3655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3653</v>
      </c>
      <c r="Q1410" s="3"/>
      <c r="R1410" s="3"/>
      <c r="S1410" s="6"/>
      <c r="T1410" s="6"/>
      <c r="U1410" s="8" t="s">
        <v>3656</v>
      </c>
    </row>
    <row r="1411" ht="15.75" customHeight="1">
      <c r="A1411" s="4" t="s">
        <v>3657</v>
      </c>
      <c r="B1411" s="4" t="s">
        <v>3658</v>
      </c>
      <c r="C1411" s="4" t="s">
        <v>39</v>
      </c>
      <c r="D1411" s="6"/>
      <c r="E1411" s="3" t="str">
        <f t="shared" si="3"/>
        <v>現存</v>
      </c>
      <c r="F1411" s="3" t="s">
        <v>3659</v>
      </c>
      <c r="G1411" s="6"/>
      <c r="H1411" s="3" t="str">
        <f t="shared" si="4"/>
        <v>1,2,3,5</v>
      </c>
      <c r="I1411" s="3" t="s">
        <v>145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3653</v>
      </c>
      <c r="Q1411" s="3"/>
      <c r="R1411" s="3"/>
      <c r="S1411" s="6"/>
      <c r="T1411" s="6"/>
      <c r="U1411" s="6"/>
    </row>
    <row r="1412" ht="15.75" customHeight="1">
      <c r="A1412" s="4" t="s">
        <v>3660</v>
      </c>
      <c r="B1412" s="4" t="s">
        <v>3661</v>
      </c>
      <c r="C1412" s="4" t="s">
        <v>39</v>
      </c>
      <c r="D1412" s="6"/>
      <c r="E1412" s="3" t="str">
        <f t="shared" si="3"/>
        <v>現存</v>
      </c>
      <c r="F1412" s="3" t="s">
        <v>3662</v>
      </c>
      <c r="G1412" s="6"/>
      <c r="H1412" s="3" t="str">
        <f t="shared" si="4"/>
        <v>1,5,12</v>
      </c>
      <c r="I1412" s="3" t="s">
        <v>160</v>
      </c>
      <c r="J1412" s="3" t="s">
        <v>193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3653</v>
      </c>
      <c r="Q1412" s="3"/>
      <c r="R1412" s="3"/>
      <c r="S1412" s="6"/>
      <c r="T1412" s="6"/>
      <c r="U1412" s="6"/>
    </row>
    <row r="1413" ht="15.75" customHeight="1">
      <c r="A1413" s="4" t="s">
        <v>3663</v>
      </c>
      <c r="B1413" s="4" t="s">
        <v>3664</v>
      </c>
      <c r="C1413" s="4" t="s">
        <v>39</v>
      </c>
      <c r="D1413" s="6"/>
      <c r="E1413" s="3" t="str">
        <f t="shared" si="3"/>
        <v>現存</v>
      </c>
      <c r="F1413" s="3" t="s">
        <v>3665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3653</v>
      </c>
      <c r="Q1413" s="3"/>
      <c r="R1413" s="3"/>
      <c r="S1413" s="6"/>
      <c r="T1413" s="6"/>
      <c r="U1413" s="8" t="s">
        <v>3666</v>
      </c>
    </row>
    <row r="1414" ht="15.75" customHeight="1">
      <c r="A1414" s="4" t="s">
        <v>3667</v>
      </c>
      <c r="B1414" s="4" t="s">
        <v>3668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3669</v>
      </c>
      <c r="J1414" s="3" t="s">
        <v>181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3653</v>
      </c>
      <c r="Q1414" s="3"/>
      <c r="R1414" s="3"/>
      <c r="S1414" s="6"/>
      <c r="T1414" s="6"/>
      <c r="U1414" s="6"/>
    </row>
    <row r="1415" ht="15.75" customHeight="1">
      <c r="A1415" s="4" t="s">
        <v>3670</v>
      </c>
      <c r="B1415" s="4" t="s">
        <v>3671</v>
      </c>
      <c r="C1415" s="4" t="s">
        <v>39</v>
      </c>
      <c r="D1415" s="6"/>
      <c r="E1415" s="3" t="str">
        <f t="shared" si="3"/>
        <v>現存</v>
      </c>
      <c r="F1415" s="3" t="s">
        <v>911</v>
      </c>
      <c r="G1415" s="6"/>
      <c r="H1415" s="3" t="str">
        <f t="shared" si="4"/>
        <v>1,12</v>
      </c>
      <c r="I1415" s="3" t="s">
        <v>3672</v>
      </c>
      <c r="J1415" s="3" t="s">
        <v>1230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3653</v>
      </c>
      <c r="Q1415" s="3"/>
      <c r="R1415" s="3"/>
      <c r="S1415" s="6"/>
      <c r="T1415" s="6"/>
      <c r="U1415" s="6"/>
    </row>
    <row r="1416" ht="15.75" customHeight="1">
      <c r="A1416" s="4" t="s">
        <v>3673</v>
      </c>
      <c r="B1416" s="4" t="s">
        <v>3674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3653</v>
      </c>
      <c r="Q1416" s="3"/>
      <c r="R1416" s="3"/>
      <c r="S1416" s="6"/>
      <c r="T1416" s="6"/>
      <c r="U1416" s="6"/>
    </row>
    <row r="1417" ht="15.75" customHeight="1">
      <c r="A1417" s="4" t="s">
        <v>3675</v>
      </c>
      <c r="B1417" s="4" t="s">
        <v>3676</v>
      </c>
      <c r="C1417" s="4" t="s">
        <v>39</v>
      </c>
      <c r="D1417" s="6"/>
      <c r="E1417" s="3" t="str">
        <f t="shared" si="3"/>
        <v>現存</v>
      </c>
      <c r="F1417" s="3" t="s">
        <v>202</v>
      </c>
      <c r="G1417" s="6"/>
      <c r="H1417" s="3" t="str">
        <f t="shared" si="4"/>
        <v>1,2,3,12</v>
      </c>
      <c r="I1417" s="3" t="s">
        <v>338</v>
      </c>
      <c r="J1417" s="3" t="s">
        <v>193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3653</v>
      </c>
      <c r="Q1417" s="3"/>
      <c r="R1417" s="3"/>
      <c r="S1417" s="6"/>
      <c r="T1417" s="6"/>
      <c r="U1417" s="6"/>
    </row>
    <row r="1418" ht="15.75" customHeight="1">
      <c r="A1418" s="4" t="s">
        <v>3677</v>
      </c>
      <c r="B1418" s="4" t="s">
        <v>3678</v>
      </c>
      <c r="C1418" s="4" t="s">
        <v>39</v>
      </c>
      <c r="D1418" s="6"/>
      <c r="E1418" s="3" t="str">
        <f t="shared" si="3"/>
        <v>現存</v>
      </c>
      <c r="F1418" s="3" t="s">
        <v>3679</v>
      </c>
      <c r="G1418" s="6"/>
      <c r="H1418" s="3" t="str">
        <f t="shared" si="4"/>
        <v>1,2,4,5</v>
      </c>
      <c r="I1418" s="3" t="s">
        <v>149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3653</v>
      </c>
      <c r="Q1418" s="3"/>
      <c r="R1418" s="3"/>
      <c r="S1418" s="6"/>
      <c r="T1418" s="6"/>
      <c r="U1418" s="6"/>
    </row>
    <row r="1419" ht="15.75" customHeight="1">
      <c r="A1419" s="4" t="s">
        <v>3680</v>
      </c>
      <c r="B1419" s="4" t="s">
        <v>3681</v>
      </c>
      <c r="C1419" s="4" t="s">
        <v>39</v>
      </c>
      <c r="D1419" s="6"/>
      <c r="E1419" s="3" t="str">
        <f t="shared" si="3"/>
        <v>現存</v>
      </c>
      <c r="F1419" s="3" t="s">
        <v>3682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3683</v>
      </c>
      <c r="O1419" s="3"/>
      <c r="P1419" s="4" t="s">
        <v>3653</v>
      </c>
      <c r="Q1419" s="3"/>
      <c r="R1419" s="3"/>
      <c r="S1419" s="6"/>
      <c r="T1419" s="6"/>
      <c r="U1419" s="6"/>
    </row>
    <row r="1420" ht="15.75" customHeight="1">
      <c r="A1420" s="4" t="s">
        <v>3684</v>
      </c>
      <c r="B1420" s="4" t="s">
        <v>3685</v>
      </c>
      <c r="C1420" s="4" t="s">
        <v>39</v>
      </c>
      <c r="D1420" s="6"/>
      <c r="E1420" s="3" t="str">
        <f t="shared" si="3"/>
        <v>現存</v>
      </c>
      <c r="F1420" s="3" t="s">
        <v>3686</v>
      </c>
      <c r="G1420" s="6"/>
      <c r="H1420" s="3" t="str">
        <f t="shared" si="4"/>
        <v>1,3,4,7</v>
      </c>
      <c r="I1420" s="3" t="s">
        <v>142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3653</v>
      </c>
      <c r="Q1420" s="3"/>
      <c r="R1420" s="3"/>
      <c r="S1420" s="6"/>
      <c r="T1420" s="6"/>
      <c r="U1420" s="6"/>
    </row>
    <row r="1421" ht="15.75" customHeight="1">
      <c r="A1421" s="4" t="s">
        <v>3687</v>
      </c>
      <c r="B1421" s="4" t="s">
        <v>3688</v>
      </c>
      <c r="C1421" s="4" t="s">
        <v>39</v>
      </c>
      <c r="D1421" s="6"/>
      <c r="E1421" s="3" t="str">
        <f t="shared" si="3"/>
        <v>現存</v>
      </c>
      <c r="F1421" s="3" t="s">
        <v>221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3653</v>
      </c>
      <c r="Q1421" s="4" t="s">
        <v>1494</v>
      </c>
      <c r="R1421" s="3"/>
      <c r="S1421" s="6"/>
      <c r="T1421" s="6"/>
      <c r="U1421" s="6"/>
    </row>
    <row r="1422" ht="15.75" customHeight="1">
      <c r="A1422" s="4" t="s">
        <v>3689</v>
      </c>
      <c r="B1422" s="4" t="s">
        <v>3690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198</v>
      </c>
      <c r="J1422" s="3" t="s">
        <v>135</v>
      </c>
      <c r="K1422" s="3">
        <v>1.0</v>
      </c>
      <c r="L1422" s="3">
        <v>1.0</v>
      </c>
      <c r="M1422" s="4" t="s">
        <v>43</v>
      </c>
      <c r="N1422" s="3" t="s">
        <v>130</v>
      </c>
      <c r="O1422" s="3"/>
      <c r="P1422" s="4" t="s">
        <v>3653</v>
      </c>
      <c r="Q1422" s="3"/>
      <c r="R1422" s="3"/>
      <c r="S1422" s="6"/>
      <c r="T1422" s="6"/>
      <c r="U1422" s="6"/>
    </row>
    <row r="1423" ht="15.75" customHeight="1">
      <c r="A1423" s="4" t="s">
        <v>3691</v>
      </c>
      <c r="B1423" s="4" t="s">
        <v>3692</v>
      </c>
      <c r="C1423" s="4" t="s">
        <v>39</v>
      </c>
      <c r="D1423" s="6"/>
      <c r="E1423" s="3" t="str">
        <f t="shared" si="3"/>
        <v>現存</v>
      </c>
      <c r="F1423" s="3" t="s">
        <v>3693</v>
      </c>
      <c r="G1423" s="6"/>
      <c r="H1423" s="3" t="str">
        <f t="shared" si="4"/>
        <v>2,3,12</v>
      </c>
      <c r="I1423" s="3" t="s">
        <v>69</v>
      </c>
      <c r="J1423" s="3" t="s">
        <v>193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3653</v>
      </c>
      <c r="Q1423" s="3"/>
      <c r="R1423" s="3"/>
      <c r="S1423" s="6"/>
      <c r="T1423" s="6"/>
      <c r="U1423" s="6"/>
    </row>
    <row r="1424" ht="15.75" customHeight="1">
      <c r="A1424" s="4" t="s">
        <v>3694</v>
      </c>
      <c r="B1424" s="4" t="s">
        <v>3695</v>
      </c>
      <c r="C1424" s="4" t="s">
        <v>39</v>
      </c>
      <c r="D1424" s="6"/>
      <c r="E1424" s="3" t="str">
        <f t="shared" si="3"/>
        <v>現存</v>
      </c>
      <c r="F1424" s="3" t="s">
        <v>218</v>
      </c>
      <c r="G1424" s="6"/>
      <c r="H1424" s="3" t="str">
        <f t="shared" si="4"/>
        <v>2,3</v>
      </c>
      <c r="I1424" s="3" t="s">
        <v>117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3653</v>
      </c>
      <c r="Q1424" s="3"/>
      <c r="R1424" s="3"/>
      <c r="S1424" s="6"/>
      <c r="T1424" s="6"/>
      <c r="U1424" s="6"/>
    </row>
    <row r="1425" ht="15.75" customHeight="1">
      <c r="A1425" s="4" t="s">
        <v>3696</v>
      </c>
      <c r="B1425" s="4" t="s">
        <v>3697</v>
      </c>
      <c r="C1425" s="4" t="s">
        <v>39</v>
      </c>
      <c r="D1425" s="6"/>
      <c r="E1425" s="3" t="str">
        <f t="shared" si="3"/>
        <v>現存</v>
      </c>
      <c r="F1425" s="3" t="s">
        <v>2463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3653</v>
      </c>
      <c r="Q1425" s="3"/>
      <c r="R1425" s="3"/>
      <c r="S1425" s="6"/>
      <c r="T1425" s="6"/>
      <c r="U1425" s="8" t="s">
        <v>3698</v>
      </c>
    </row>
    <row r="1426" ht="15.75" customHeight="1">
      <c r="A1426" s="4" t="s">
        <v>3699</v>
      </c>
      <c r="B1426" s="4" t="s">
        <v>3700</v>
      </c>
      <c r="C1426" s="4" t="s">
        <v>39</v>
      </c>
      <c r="D1426" s="6"/>
      <c r="E1426" s="3" t="str">
        <f t="shared" si="3"/>
        <v>現存</v>
      </c>
      <c r="F1426" s="3" t="s">
        <v>677</v>
      </c>
      <c r="G1426" s="6"/>
      <c r="H1426" s="3" t="str">
        <f t="shared" si="4"/>
        <v>2,3,11</v>
      </c>
      <c r="I1426" s="3" t="s">
        <v>117</v>
      </c>
      <c r="J1426" s="3" t="s">
        <v>912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3653</v>
      </c>
      <c r="Q1426" s="3"/>
      <c r="R1426" s="3"/>
      <c r="S1426" s="6"/>
      <c r="T1426" s="6"/>
      <c r="U1426" s="8" t="s">
        <v>3701</v>
      </c>
    </row>
    <row r="1427" ht="15.75" customHeight="1">
      <c r="A1427" s="4" t="s">
        <v>3702</v>
      </c>
      <c r="B1427" s="4" t="s">
        <v>3703</v>
      </c>
      <c r="C1427" s="4" t="s">
        <v>39</v>
      </c>
      <c r="D1427" s="6"/>
      <c r="E1427" s="3" t="str">
        <f t="shared" si="3"/>
        <v>現存</v>
      </c>
      <c r="F1427" s="3" t="s">
        <v>3704</v>
      </c>
      <c r="G1427" s="6"/>
      <c r="H1427" s="3" t="str">
        <f t="shared" si="4"/>
        <v>2,6</v>
      </c>
      <c r="I1427" s="3" t="s">
        <v>55</v>
      </c>
      <c r="J1427" s="3" t="s">
        <v>125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3653</v>
      </c>
      <c r="Q1427" s="3"/>
      <c r="R1427" s="3"/>
      <c r="S1427" s="6"/>
      <c r="T1427" s="6"/>
      <c r="U1427" s="6"/>
    </row>
    <row r="1428" ht="15.75" customHeight="1">
      <c r="A1428" s="4" t="s">
        <v>3705</v>
      </c>
      <c r="B1428" s="4" t="s">
        <v>3706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117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3653</v>
      </c>
      <c r="Q1428" s="3"/>
      <c r="R1428" s="3"/>
      <c r="S1428" s="6"/>
      <c r="T1428" s="6"/>
      <c r="U1428" s="6"/>
    </row>
    <row r="1429" ht="15.75" customHeight="1">
      <c r="A1429" s="4" t="s">
        <v>3707</v>
      </c>
      <c r="B1429" s="4" t="s">
        <v>3708</v>
      </c>
      <c r="C1429" s="4" t="s">
        <v>39</v>
      </c>
      <c r="D1429" s="8" t="s">
        <v>170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1313</v>
      </c>
      <c r="J1429" s="3" t="s">
        <v>181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3653</v>
      </c>
      <c r="Q1429" s="3"/>
      <c r="R1429" s="3"/>
      <c r="S1429" s="6"/>
      <c r="T1429" s="6"/>
      <c r="U1429" s="8" t="s">
        <v>3709</v>
      </c>
    </row>
    <row r="1430" ht="15.75" customHeight="1">
      <c r="A1430" s="4" t="s">
        <v>3710</v>
      </c>
      <c r="B1430" s="4" t="s">
        <v>3711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3653</v>
      </c>
      <c r="Q1430" s="3"/>
      <c r="R1430" s="3"/>
      <c r="S1430" s="6"/>
      <c r="T1430" s="6"/>
      <c r="U1430" s="6"/>
    </row>
    <row r="1431" ht="15.75" customHeight="1">
      <c r="A1431" s="4" t="s">
        <v>3712</v>
      </c>
      <c r="B1431" s="4" t="s">
        <v>3713</v>
      </c>
      <c r="C1431" s="4" t="s">
        <v>39</v>
      </c>
      <c r="D1431" s="6"/>
      <c r="E1431" s="3" t="str">
        <f t="shared" si="3"/>
        <v>現存</v>
      </c>
      <c r="F1431" s="3" t="s">
        <v>148</v>
      </c>
      <c r="G1431" s="6"/>
      <c r="H1431" s="3" t="str">
        <f t="shared" si="4"/>
        <v>4,5</v>
      </c>
      <c r="I1431" s="3" t="s">
        <v>107</v>
      </c>
      <c r="J1431" s="3" t="s">
        <v>125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3653</v>
      </c>
      <c r="Q1431" s="3"/>
      <c r="R1431" s="3"/>
      <c r="S1431" s="6"/>
      <c r="T1431" s="6"/>
      <c r="U1431" s="6"/>
    </row>
    <row r="1432" ht="15.75" customHeight="1">
      <c r="A1432" s="4" t="s">
        <v>3714</v>
      </c>
      <c r="B1432" s="4" t="s">
        <v>3715</v>
      </c>
      <c r="C1432" s="4" t="s">
        <v>39</v>
      </c>
      <c r="D1432" s="6"/>
      <c r="E1432" s="3" t="str">
        <f t="shared" si="3"/>
        <v>現存</v>
      </c>
      <c r="F1432" s="3" t="s">
        <v>156</v>
      </c>
      <c r="G1432" s="6"/>
      <c r="H1432" s="3" t="str">
        <f t="shared" si="4"/>
        <v>4</v>
      </c>
      <c r="I1432" s="3" t="s">
        <v>2739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3653</v>
      </c>
      <c r="Q1432" s="3"/>
      <c r="R1432" s="3"/>
      <c r="S1432" s="6"/>
      <c r="T1432" s="6"/>
      <c r="U1432" s="6"/>
    </row>
    <row r="1433" ht="15.75" customHeight="1">
      <c r="A1433" s="4" t="s">
        <v>3716</v>
      </c>
      <c r="B1433" s="4" t="s">
        <v>3717</v>
      </c>
      <c r="C1433" s="4" t="s">
        <v>39</v>
      </c>
      <c r="D1433" s="6"/>
      <c r="E1433" s="3" t="str">
        <f t="shared" si="3"/>
        <v>現存</v>
      </c>
      <c r="F1433" s="3" t="s">
        <v>2174</v>
      </c>
      <c r="G1433" s="6"/>
      <c r="H1433" s="3" t="str">
        <f t="shared" si="4"/>
        <v>4,6,9</v>
      </c>
      <c r="I1433" s="3" t="s">
        <v>447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3653</v>
      </c>
      <c r="Q1433" s="3"/>
      <c r="R1433" s="3"/>
      <c r="S1433" s="6"/>
      <c r="T1433" s="6"/>
      <c r="U1433" s="8" t="s">
        <v>3718</v>
      </c>
    </row>
    <row r="1434" ht="15.75" customHeight="1">
      <c r="A1434" s="4" t="s">
        <v>3719</v>
      </c>
      <c r="B1434" s="4" t="s">
        <v>3720</v>
      </c>
      <c r="C1434" s="4" t="s">
        <v>39</v>
      </c>
      <c r="D1434" s="6"/>
      <c r="E1434" s="3" t="str">
        <f t="shared" si="3"/>
        <v>現存</v>
      </c>
      <c r="F1434" s="3" t="s">
        <v>148</v>
      </c>
      <c r="G1434" s="6"/>
      <c r="H1434" s="3" t="str">
        <f t="shared" si="4"/>
        <v>4,5</v>
      </c>
      <c r="I1434" s="3" t="s">
        <v>160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3653</v>
      </c>
      <c r="Q1434" s="3"/>
      <c r="R1434" s="3"/>
      <c r="S1434" s="6"/>
      <c r="T1434" s="6"/>
      <c r="U1434" s="6"/>
    </row>
    <row r="1435" ht="15.75" customHeight="1">
      <c r="A1435" s="4" t="s">
        <v>3721</v>
      </c>
      <c r="B1435" s="4" t="s">
        <v>3722</v>
      </c>
      <c r="C1435" s="4" t="s">
        <v>39</v>
      </c>
      <c r="D1435" s="6"/>
      <c r="E1435" s="3" t="str">
        <f t="shared" si="3"/>
        <v>現存</v>
      </c>
      <c r="F1435" s="3" t="s">
        <v>156</v>
      </c>
      <c r="G1435" s="6"/>
      <c r="H1435" s="3" t="str">
        <f t="shared" si="4"/>
        <v>4</v>
      </c>
      <c r="I1435" s="3" t="s">
        <v>726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3653</v>
      </c>
      <c r="Q1435" s="3"/>
      <c r="R1435" s="3"/>
      <c r="S1435" s="6"/>
      <c r="T1435" s="6"/>
      <c r="U1435" s="6"/>
    </row>
    <row r="1436" ht="15.75" customHeight="1">
      <c r="A1436" s="4" t="s">
        <v>3723</v>
      </c>
      <c r="B1436" s="4" t="s">
        <v>3724</v>
      </c>
      <c r="C1436" s="4" t="s">
        <v>39</v>
      </c>
      <c r="D1436" s="6"/>
      <c r="E1436" s="3" t="str">
        <f t="shared" si="3"/>
        <v>現存</v>
      </c>
      <c r="F1436" s="3" t="s">
        <v>156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3653</v>
      </c>
      <c r="Q1436" s="3"/>
      <c r="R1436" s="3"/>
      <c r="S1436" s="6"/>
      <c r="T1436" s="6"/>
      <c r="U1436" s="6"/>
    </row>
    <row r="1437" ht="15.75" customHeight="1">
      <c r="A1437" s="4" t="s">
        <v>3725</v>
      </c>
      <c r="B1437" s="4" t="s">
        <v>3726</v>
      </c>
      <c r="C1437" s="4" t="s">
        <v>39</v>
      </c>
      <c r="D1437" s="6"/>
      <c r="E1437" s="3" t="str">
        <f t="shared" si="3"/>
        <v>現存</v>
      </c>
      <c r="F1437" s="3" t="s">
        <v>148</v>
      </c>
      <c r="G1437" s="6"/>
      <c r="H1437" s="3" t="str">
        <f t="shared" si="4"/>
        <v>4,5</v>
      </c>
      <c r="I1437" s="3" t="s">
        <v>426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3653</v>
      </c>
      <c r="Q1437" s="3"/>
      <c r="R1437" s="3"/>
      <c r="S1437" s="6"/>
      <c r="T1437" s="6"/>
      <c r="U1437" s="8" t="s">
        <v>3727</v>
      </c>
    </row>
    <row r="1438" ht="15.75" customHeight="1">
      <c r="A1438" s="4" t="s">
        <v>3728</v>
      </c>
      <c r="B1438" s="4" t="s">
        <v>3729</v>
      </c>
      <c r="C1438" s="4" t="s">
        <v>39</v>
      </c>
      <c r="D1438" s="8" t="s">
        <v>170</v>
      </c>
      <c r="E1438" s="3" t="str">
        <f t="shared" si="3"/>
        <v>近年未見</v>
      </c>
      <c r="F1438" s="3" t="s">
        <v>156</v>
      </c>
      <c r="G1438" s="6"/>
      <c r="H1438" s="3" t="str">
        <f t="shared" si="4"/>
        <v>4</v>
      </c>
      <c r="I1438" s="3" t="s">
        <v>726</v>
      </c>
      <c r="J1438" s="3" t="s">
        <v>42</v>
      </c>
      <c r="K1438" s="3">
        <v>1.0</v>
      </c>
      <c r="L1438" s="3">
        <v>1.0</v>
      </c>
      <c r="M1438" s="9" t="s">
        <v>236</v>
      </c>
      <c r="N1438" s="3" t="s">
        <v>56</v>
      </c>
      <c r="O1438" s="3"/>
      <c r="P1438" s="4" t="s">
        <v>3653</v>
      </c>
      <c r="Q1438" s="3"/>
      <c r="R1438" s="3"/>
      <c r="S1438" s="6"/>
      <c r="T1438" s="6"/>
      <c r="U1438" s="6"/>
    </row>
    <row r="1439" ht="15.75" customHeight="1">
      <c r="A1439" s="4" t="s">
        <v>3730</v>
      </c>
      <c r="B1439" s="4" t="s">
        <v>3731</v>
      </c>
      <c r="C1439" s="4" t="s">
        <v>39</v>
      </c>
      <c r="D1439" s="8" t="s">
        <v>170</v>
      </c>
      <c r="E1439" s="3" t="str">
        <f t="shared" si="3"/>
        <v>近年未見</v>
      </c>
      <c r="F1439" s="3" t="s">
        <v>156</v>
      </c>
      <c r="G1439" s="6"/>
      <c r="H1439" s="3" t="str">
        <f t="shared" si="4"/>
        <v>4</v>
      </c>
      <c r="I1439" s="3" t="s">
        <v>3502</v>
      </c>
      <c r="J1439" s="3" t="s">
        <v>181</v>
      </c>
      <c r="K1439" s="3">
        <v>1.0</v>
      </c>
      <c r="L1439" s="3">
        <v>1.0</v>
      </c>
      <c r="M1439" s="9" t="s">
        <v>236</v>
      </c>
      <c r="N1439" s="3" t="s">
        <v>56</v>
      </c>
      <c r="O1439" s="3"/>
      <c r="P1439" s="4" t="s">
        <v>3653</v>
      </c>
      <c r="Q1439" s="3"/>
      <c r="R1439" s="3"/>
      <c r="S1439" s="6"/>
      <c r="T1439" s="6"/>
      <c r="U1439" s="6"/>
    </row>
    <row r="1440" ht="15.75" customHeight="1">
      <c r="A1440" s="4" t="s">
        <v>3732</v>
      </c>
      <c r="B1440" s="4" t="s">
        <v>3733</v>
      </c>
      <c r="C1440" s="4" t="s">
        <v>39</v>
      </c>
      <c r="D1440" s="8" t="s">
        <v>170</v>
      </c>
      <c r="E1440" s="3" t="str">
        <f t="shared" si="3"/>
        <v>近年未見</v>
      </c>
      <c r="F1440" s="3" t="s">
        <v>450</v>
      </c>
      <c r="G1440" s="6"/>
      <c r="H1440" s="3" t="str">
        <f t="shared" si="4"/>
        <v>5</v>
      </c>
      <c r="I1440" s="3" t="s">
        <v>3326</v>
      </c>
      <c r="J1440" s="3" t="s">
        <v>181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3653</v>
      </c>
      <c r="Q1440" s="3"/>
      <c r="R1440" s="3"/>
      <c r="S1440" s="6"/>
      <c r="T1440" s="6"/>
      <c r="U1440" s="6"/>
    </row>
    <row r="1441" ht="15.75" customHeight="1">
      <c r="A1441" s="4" t="s">
        <v>3734</v>
      </c>
      <c r="B1441" s="4" t="s">
        <v>3735</v>
      </c>
      <c r="C1441" s="4" t="s">
        <v>39</v>
      </c>
      <c r="D1441" s="6"/>
      <c r="E1441" s="3" t="str">
        <f t="shared" si="3"/>
        <v>現存</v>
      </c>
      <c r="F1441" s="3" t="s">
        <v>2211</v>
      </c>
      <c r="G1441" s="6"/>
      <c r="H1441" s="3" t="str">
        <f t="shared" si="4"/>
        <v>5,7</v>
      </c>
      <c r="I1441" s="3" t="s">
        <v>803</v>
      </c>
      <c r="J1441" s="3" t="s">
        <v>181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3653</v>
      </c>
      <c r="Q1441" s="3"/>
      <c r="R1441" s="3"/>
      <c r="S1441" s="6"/>
      <c r="T1441" s="6"/>
      <c r="U1441" s="6"/>
    </row>
    <row r="1442" ht="15.75" customHeight="1">
      <c r="A1442" s="4" t="s">
        <v>3736</v>
      </c>
      <c r="B1442" s="4" t="s">
        <v>3737</v>
      </c>
      <c r="C1442" s="4" t="s">
        <v>39</v>
      </c>
      <c r="D1442" s="6"/>
      <c r="E1442" s="3" t="str">
        <f t="shared" si="3"/>
        <v>現存</v>
      </c>
      <c r="F1442" s="3" t="s">
        <v>450</v>
      </c>
      <c r="G1442" s="6"/>
      <c r="H1442" s="3" t="str">
        <f t="shared" si="4"/>
        <v>5</v>
      </c>
      <c r="I1442" s="3" t="s">
        <v>1758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3653</v>
      </c>
      <c r="Q1442" s="3"/>
      <c r="R1442" s="3"/>
      <c r="S1442" s="6"/>
      <c r="T1442" s="6"/>
      <c r="U1442" s="6"/>
    </row>
    <row r="1443" ht="15.75" customHeight="1">
      <c r="A1443" s="4" t="s">
        <v>3738</v>
      </c>
      <c r="B1443" s="4" t="s">
        <v>3739</v>
      </c>
      <c r="C1443" s="4" t="s">
        <v>39</v>
      </c>
      <c r="D1443" s="6"/>
      <c r="E1443" s="3" t="str">
        <f t="shared" si="3"/>
        <v>現存</v>
      </c>
      <c r="F1443" s="3" t="s">
        <v>171</v>
      </c>
      <c r="G1443" s="6"/>
      <c r="H1443" s="3" t="str">
        <f t="shared" si="4"/>
        <v>5,6</v>
      </c>
      <c r="I1443" s="3" t="s">
        <v>472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3653</v>
      </c>
      <c r="Q1443" s="3"/>
      <c r="R1443" s="3"/>
      <c r="S1443" s="6"/>
      <c r="T1443" s="6"/>
      <c r="U1443" s="6"/>
    </row>
    <row r="1444" ht="15.75" customHeight="1">
      <c r="A1444" s="4" t="s">
        <v>3740</v>
      </c>
      <c r="B1444" s="4" t="s">
        <v>3741</v>
      </c>
      <c r="C1444" s="4" t="s">
        <v>39</v>
      </c>
      <c r="D1444" s="6"/>
      <c r="E1444" s="3" t="str">
        <f t="shared" si="3"/>
        <v>現存</v>
      </c>
      <c r="F1444" s="3" t="s">
        <v>171</v>
      </c>
      <c r="G1444" s="6"/>
      <c r="H1444" s="3" t="str">
        <f t="shared" si="4"/>
        <v>5,6</v>
      </c>
      <c r="I1444" s="3" t="s">
        <v>444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3653</v>
      </c>
      <c r="Q1444" s="3"/>
      <c r="R1444" s="3"/>
      <c r="S1444" s="6"/>
      <c r="T1444" s="6"/>
      <c r="U1444" s="6"/>
    </row>
    <row r="1445" ht="15.75" customHeight="1">
      <c r="A1445" s="4" t="s">
        <v>3742</v>
      </c>
      <c r="B1445" s="9" t="s">
        <v>3726</v>
      </c>
      <c r="C1445" s="4" t="s">
        <v>39</v>
      </c>
      <c r="D1445" s="6"/>
      <c r="E1445" s="3" t="str">
        <f t="shared" si="3"/>
        <v>現存</v>
      </c>
      <c r="F1445" s="3" t="s">
        <v>450</v>
      </c>
      <c r="G1445" s="6"/>
      <c r="H1445" s="3" t="str">
        <f t="shared" si="4"/>
        <v>5</v>
      </c>
      <c r="I1445" s="3" t="s">
        <v>2185</v>
      </c>
      <c r="J1445" s="3" t="s">
        <v>181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3653</v>
      </c>
      <c r="Q1445" s="3"/>
      <c r="R1445" s="3"/>
      <c r="S1445" s="6"/>
      <c r="T1445" s="6"/>
      <c r="U1445" s="6"/>
    </row>
    <row r="1446" ht="15.75" customHeight="1">
      <c r="A1446" s="4" t="s">
        <v>3743</v>
      </c>
      <c r="B1446" s="9" t="s">
        <v>2366</v>
      </c>
      <c r="C1446" s="4" t="s">
        <v>39</v>
      </c>
      <c r="D1446" s="6"/>
      <c r="E1446" s="3" t="str">
        <f t="shared" si="3"/>
        <v>現存</v>
      </c>
      <c r="F1446" s="3" t="s">
        <v>450</v>
      </c>
      <c r="G1446" s="6"/>
      <c r="H1446" s="3" t="str">
        <f t="shared" si="4"/>
        <v>5</v>
      </c>
      <c r="I1446" s="3" t="s">
        <v>160</v>
      </c>
      <c r="J1446" s="3" t="s">
        <v>135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3653</v>
      </c>
      <c r="Q1446" s="3"/>
      <c r="R1446" s="3"/>
      <c r="S1446" s="6"/>
      <c r="T1446" s="6"/>
      <c r="U1446" s="6"/>
    </row>
    <row r="1447" ht="15.75" customHeight="1">
      <c r="A1447" s="4" t="s">
        <v>3744</v>
      </c>
      <c r="B1447" s="4" t="s">
        <v>3745</v>
      </c>
      <c r="C1447" s="4" t="s">
        <v>39</v>
      </c>
      <c r="D1447" s="6"/>
      <c r="E1447" s="3" t="str">
        <f t="shared" si="3"/>
        <v>現存</v>
      </c>
      <c r="F1447" s="3" t="s">
        <v>450</v>
      </c>
      <c r="G1447" s="6"/>
      <c r="H1447" s="3" t="str">
        <f t="shared" si="4"/>
        <v>5</v>
      </c>
      <c r="I1447" s="3" t="s">
        <v>145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3653</v>
      </c>
      <c r="Q1447" s="3"/>
      <c r="R1447" s="3"/>
      <c r="S1447" s="6"/>
      <c r="T1447" s="6"/>
      <c r="U1447" s="6"/>
    </row>
    <row r="1448" ht="15.75" customHeight="1">
      <c r="A1448" s="4" t="s">
        <v>3746</v>
      </c>
      <c r="B1448" s="4" t="s">
        <v>3747</v>
      </c>
      <c r="C1448" s="4" t="s">
        <v>39</v>
      </c>
      <c r="D1448" s="6"/>
      <c r="E1448" s="3" t="str">
        <f t="shared" si="3"/>
        <v>現存</v>
      </c>
      <c r="F1448" s="3" t="s">
        <v>465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3653</v>
      </c>
      <c r="Q1448" s="3"/>
      <c r="R1448" s="3"/>
      <c r="S1448" s="6"/>
      <c r="T1448" s="6"/>
      <c r="U1448" s="6"/>
    </row>
    <row r="1449" ht="15.75" customHeight="1">
      <c r="A1449" s="4" t="s">
        <v>3748</v>
      </c>
      <c r="B1449" s="4" t="s">
        <v>3749</v>
      </c>
      <c r="C1449" s="4" t="s">
        <v>39</v>
      </c>
      <c r="D1449" s="6"/>
      <c r="E1449" s="3" t="str">
        <f t="shared" si="3"/>
        <v>現存</v>
      </c>
      <c r="F1449" s="3" t="s">
        <v>310</v>
      </c>
      <c r="G1449" s="6"/>
      <c r="H1449" s="3" t="str">
        <f t="shared" si="4"/>
        <v>6</v>
      </c>
      <c r="I1449" s="3" t="s">
        <v>857</v>
      </c>
      <c r="J1449" s="3" t="s">
        <v>135</v>
      </c>
      <c r="K1449" s="3">
        <v>1.0</v>
      </c>
      <c r="L1449" s="3">
        <v>1.0</v>
      </c>
      <c r="M1449" s="4" t="s">
        <v>43</v>
      </c>
      <c r="N1449" s="3" t="s">
        <v>130</v>
      </c>
      <c r="O1449" s="3"/>
      <c r="P1449" s="4" t="s">
        <v>3653</v>
      </c>
      <c r="Q1449" s="3"/>
      <c r="R1449" s="3"/>
      <c r="S1449" s="6"/>
      <c r="T1449" s="6"/>
      <c r="U1449" s="6"/>
    </row>
    <row r="1450" ht="15.75" customHeight="1">
      <c r="A1450" s="4" t="s">
        <v>3750</v>
      </c>
      <c r="B1450" s="4" t="s">
        <v>3751</v>
      </c>
      <c r="C1450" s="4" t="s">
        <v>39</v>
      </c>
      <c r="D1450" s="6"/>
      <c r="E1450" s="3" t="str">
        <f t="shared" si="3"/>
        <v>現存</v>
      </c>
      <c r="F1450" s="3" t="s">
        <v>588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3653</v>
      </c>
      <c r="Q1450" s="3"/>
      <c r="R1450" s="3"/>
      <c r="S1450" s="6"/>
      <c r="T1450" s="6"/>
      <c r="U1450" s="6"/>
    </row>
    <row r="1451" ht="15.75" customHeight="1">
      <c r="A1451" s="4" t="s">
        <v>3752</v>
      </c>
      <c r="B1451" s="4" t="s">
        <v>3753</v>
      </c>
      <c r="C1451" s="4" t="s">
        <v>39</v>
      </c>
      <c r="D1451" s="6"/>
      <c r="E1451" s="3" t="str">
        <f t="shared" si="3"/>
        <v>現存</v>
      </c>
      <c r="F1451" s="3" t="s">
        <v>3754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3653</v>
      </c>
      <c r="Q1451" s="3"/>
      <c r="R1451" s="3"/>
      <c r="S1451" s="6"/>
      <c r="T1451" s="6"/>
      <c r="U1451" s="6"/>
    </row>
    <row r="1452" ht="15.75" customHeight="1">
      <c r="A1452" s="4" t="s">
        <v>3755</v>
      </c>
      <c r="B1452" s="4" t="s">
        <v>3756</v>
      </c>
      <c r="C1452" s="4" t="s">
        <v>39</v>
      </c>
      <c r="D1452" s="6"/>
      <c r="E1452" s="3" t="str">
        <f t="shared" si="3"/>
        <v>現存</v>
      </c>
      <c r="F1452" s="3" t="s">
        <v>1200</v>
      </c>
      <c r="G1452" s="6"/>
      <c r="H1452" s="3" t="str">
        <f t="shared" si="4"/>
        <v>6,7,8,9</v>
      </c>
      <c r="I1452" s="3" t="s">
        <v>1865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3653</v>
      </c>
      <c r="Q1452" s="3"/>
      <c r="R1452" s="3"/>
      <c r="S1452" s="6"/>
      <c r="T1452" s="6"/>
      <c r="U1452" s="6"/>
    </row>
    <row r="1453" ht="15.75" customHeight="1">
      <c r="A1453" s="4" t="s">
        <v>3757</v>
      </c>
      <c r="B1453" s="4" t="s">
        <v>3758</v>
      </c>
      <c r="C1453" s="4" t="s">
        <v>39</v>
      </c>
      <c r="D1453" s="6"/>
      <c r="E1453" s="3" t="str">
        <f t="shared" si="3"/>
        <v>現存</v>
      </c>
      <c r="F1453" s="3" t="s">
        <v>3759</v>
      </c>
      <c r="G1453" s="6"/>
      <c r="H1453" s="3" t="str">
        <f t="shared" si="4"/>
        <v>7,8,11</v>
      </c>
      <c r="I1453" s="3" t="s">
        <v>1072</v>
      </c>
      <c r="J1453" s="3" t="s">
        <v>98</v>
      </c>
      <c r="K1453" s="3">
        <v>3.0</v>
      </c>
      <c r="L1453" s="3">
        <v>1.0</v>
      </c>
      <c r="M1453" s="9" t="s">
        <v>236</v>
      </c>
      <c r="N1453" s="3" t="s">
        <v>56</v>
      </c>
      <c r="O1453" s="3"/>
      <c r="P1453" s="4" t="s">
        <v>3653</v>
      </c>
      <c r="Q1453" s="3"/>
      <c r="R1453" s="3"/>
      <c r="S1453" s="6"/>
      <c r="T1453" s="6"/>
      <c r="U1453" s="6"/>
    </row>
    <row r="1454" ht="15.75" customHeight="1">
      <c r="A1454" s="4" t="s">
        <v>3760</v>
      </c>
      <c r="B1454" s="4" t="s">
        <v>3761</v>
      </c>
      <c r="C1454" s="4" t="s">
        <v>39</v>
      </c>
      <c r="D1454" s="6"/>
      <c r="E1454" s="3" t="str">
        <f t="shared" si="3"/>
        <v>現存</v>
      </c>
      <c r="F1454" s="3" t="s">
        <v>498</v>
      </c>
      <c r="G1454" s="6"/>
      <c r="H1454" s="3" t="str">
        <f t="shared" si="4"/>
        <v>9,10</v>
      </c>
      <c r="I1454" s="3" t="s">
        <v>2004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130</v>
      </c>
      <c r="O1454" s="3"/>
      <c r="P1454" s="4" t="s">
        <v>3653</v>
      </c>
      <c r="Q1454" s="4" t="s">
        <v>1688</v>
      </c>
      <c r="R1454" s="3"/>
      <c r="S1454" s="6"/>
      <c r="T1454" s="6"/>
      <c r="U1454" s="6"/>
    </row>
    <row r="1455" ht="15.75" customHeight="1">
      <c r="A1455" s="4" t="s">
        <v>3762</v>
      </c>
      <c r="B1455" s="4" t="s">
        <v>3763</v>
      </c>
      <c r="C1455" s="4" t="s">
        <v>39</v>
      </c>
      <c r="D1455" s="6"/>
      <c r="E1455" s="3" t="str">
        <f t="shared" si="3"/>
        <v>現存</v>
      </c>
      <c r="F1455" s="3" t="s">
        <v>498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3653</v>
      </c>
      <c r="Q1455" s="3"/>
      <c r="R1455" s="3"/>
      <c r="S1455" s="6"/>
      <c r="T1455" s="6"/>
      <c r="U1455" s="6"/>
    </row>
    <row r="1456" ht="15.75" customHeight="1">
      <c r="A1456" s="4" t="s">
        <v>3764</v>
      </c>
      <c r="B1456" s="9" t="s">
        <v>3703</v>
      </c>
      <c r="C1456" s="4" t="s">
        <v>39</v>
      </c>
      <c r="D1456" s="6"/>
      <c r="E1456" s="3" t="str">
        <f t="shared" si="3"/>
        <v>現存</v>
      </c>
      <c r="F1456" s="3" t="s">
        <v>326</v>
      </c>
      <c r="G1456" s="6"/>
      <c r="H1456" s="3" t="str">
        <f t="shared" si="4"/>
        <v>9</v>
      </c>
      <c r="I1456" s="3" t="s">
        <v>3605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3653</v>
      </c>
      <c r="Q1456" s="3"/>
      <c r="R1456" s="3"/>
      <c r="S1456" s="6"/>
      <c r="T1456" s="6"/>
      <c r="U1456" s="6"/>
    </row>
    <row r="1457" ht="15.75" customHeight="1">
      <c r="A1457" s="4" t="s">
        <v>3765</v>
      </c>
      <c r="B1457" s="4" t="s">
        <v>3766</v>
      </c>
      <c r="C1457" s="4" t="s">
        <v>39</v>
      </c>
      <c r="D1457" s="6"/>
      <c r="E1457" s="3" t="str">
        <f t="shared" si="3"/>
        <v>現存</v>
      </c>
      <c r="F1457" s="3" t="s">
        <v>515</v>
      </c>
      <c r="G1457" s="6"/>
      <c r="H1457" s="3" t="str">
        <f t="shared" si="4"/>
        <v>11</v>
      </c>
      <c r="I1457" s="3" t="s">
        <v>516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3653</v>
      </c>
      <c r="Q1457" s="3"/>
      <c r="R1457" s="3"/>
      <c r="S1457" s="6"/>
      <c r="T1457" s="6"/>
      <c r="U1457" s="6"/>
    </row>
    <row r="1458" ht="15.75" customHeight="1">
      <c r="A1458" s="4" t="s">
        <v>3767</v>
      </c>
      <c r="B1458" s="4" t="s">
        <v>3768</v>
      </c>
      <c r="C1458" s="4" t="s">
        <v>170</v>
      </c>
      <c r="D1458" s="6"/>
      <c r="E1458" s="3" t="str">
        <f t="shared" si="3"/>
        <v>近年未見</v>
      </c>
      <c r="F1458" s="3" t="s">
        <v>634</v>
      </c>
      <c r="G1458" s="6"/>
      <c r="H1458" s="3" t="str">
        <f t="shared" si="4"/>
        <v>12</v>
      </c>
      <c r="I1458" s="3" t="s">
        <v>2641</v>
      </c>
      <c r="J1458" s="3" t="s">
        <v>181</v>
      </c>
      <c r="K1458" s="3">
        <v>1.0</v>
      </c>
      <c r="L1458" s="3">
        <v>0.0</v>
      </c>
      <c r="M1458" s="4" t="s">
        <v>236</v>
      </c>
      <c r="N1458" s="3"/>
      <c r="O1458" s="3"/>
      <c r="P1458" s="4" t="s">
        <v>3653</v>
      </c>
      <c r="Q1458" s="3"/>
      <c r="R1458" s="3"/>
      <c r="S1458" s="6"/>
      <c r="T1458" s="6"/>
      <c r="U1458" s="6"/>
    </row>
    <row r="1459" ht="15.75" customHeight="1">
      <c r="A1459" s="4" t="s">
        <v>3769</v>
      </c>
      <c r="B1459" s="4" t="s">
        <v>3770</v>
      </c>
      <c r="C1459" s="4" t="s">
        <v>39</v>
      </c>
      <c r="D1459" s="6"/>
      <c r="E1459" s="3" t="str">
        <f t="shared" si="3"/>
        <v>現存</v>
      </c>
      <c r="F1459" s="3" t="s">
        <v>634</v>
      </c>
      <c r="G1459" s="6"/>
      <c r="H1459" s="3" t="str">
        <f t="shared" si="4"/>
        <v>12</v>
      </c>
      <c r="I1459" s="3" t="s">
        <v>3771</v>
      </c>
      <c r="J1459" s="3" t="s">
        <v>893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3653</v>
      </c>
      <c r="Q1459" s="3"/>
      <c r="R1459" s="3"/>
      <c r="S1459" s="6"/>
      <c r="T1459" s="6"/>
      <c r="U1459" s="6"/>
    </row>
    <row r="1460" ht="15.75" customHeight="1">
      <c r="A1460" s="4" t="s">
        <v>3772</v>
      </c>
      <c r="B1460" s="4" t="s">
        <v>3773</v>
      </c>
      <c r="C1460" s="4" t="s">
        <v>39</v>
      </c>
      <c r="D1460" s="6"/>
      <c r="E1460" s="3" t="str">
        <f t="shared" si="3"/>
        <v>現存</v>
      </c>
      <c r="F1460" s="3" t="s">
        <v>3774</v>
      </c>
      <c r="G1460" s="6"/>
      <c r="H1460" s="3" t="str">
        <f t="shared" si="4"/>
        <v>1,3,7,11</v>
      </c>
      <c r="I1460" s="3" t="s">
        <v>738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3094</v>
      </c>
      <c r="Q1460" s="3"/>
      <c r="R1460" s="3"/>
      <c r="S1460" s="6"/>
      <c r="T1460" s="6"/>
      <c r="U1460" s="6"/>
    </row>
    <row r="1461" ht="15.75" customHeight="1">
      <c r="A1461" s="4" t="s">
        <v>3775</v>
      </c>
      <c r="B1461" s="4" t="s">
        <v>3776</v>
      </c>
      <c r="C1461" s="4" t="s">
        <v>39</v>
      </c>
      <c r="D1461" s="6"/>
      <c r="E1461" s="3" t="str">
        <f t="shared" si="3"/>
        <v>現存</v>
      </c>
      <c r="F1461" s="3" t="s">
        <v>130</v>
      </c>
      <c r="G1461" s="6"/>
      <c r="H1461" s="3" t="str">
        <f t="shared" si="4"/>
        <v>1</v>
      </c>
      <c r="I1461" s="3" t="s">
        <v>534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3094</v>
      </c>
      <c r="Q1461" s="3"/>
      <c r="R1461" s="3"/>
      <c r="S1461" s="6"/>
      <c r="T1461" s="6"/>
      <c r="U1461" s="6"/>
    </row>
    <row r="1462" ht="15.75" customHeight="1">
      <c r="A1462" s="4" t="s">
        <v>3777</v>
      </c>
      <c r="B1462" s="4" t="s">
        <v>3778</v>
      </c>
      <c r="C1462" s="4" t="s">
        <v>39</v>
      </c>
      <c r="D1462" s="6"/>
      <c r="E1462" s="3" t="str">
        <f t="shared" si="3"/>
        <v>現存</v>
      </c>
      <c r="F1462" s="3" t="s">
        <v>3662</v>
      </c>
      <c r="G1462" s="6"/>
      <c r="H1462" s="3" t="str">
        <f t="shared" si="4"/>
        <v>1,5,12</v>
      </c>
      <c r="I1462" s="3" t="s">
        <v>107</v>
      </c>
      <c r="J1462" s="3" t="s">
        <v>193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3094</v>
      </c>
      <c r="Q1462" s="3"/>
      <c r="R1462" s="3"/>
      <c r="S1462" s="6"/>
      <c r="T1462" s="6"/>
      <c r="U1462" s="6"/>
    </row>
    <row r="1463" ht="15.75" customHeight="1">
      <c r="A1463" s="4" t="s">
        <v>3779</v>
      </c>
      <c r="B1463" s="9" t="s">
        <v>3120</v>
      </c>
      <c r="C1463" s="4" t="s">
        <v>39</v>
      </c>
      <c r="D1463" s="8" t="s">
        <v>381</v>
      </c>
      <c r="E1463" s="3" t="str">
        <f t="shared" si="3"/>
        <v>不收錄</v>
      </c>
      <c r="F1463" s="3" t="s">
        <v>130</v>
      </c>
      <c r="G1463" s="6"/>
      <c r="H1463" s="3" t="str">
        <f t="shared" si="4"/>
        <v>1</v>
      </c>
      <c r="I1463" s="3" t="s">
        <v>530</v>
      </c>
      <c r="J1463" s="3" t="s">
        <v>135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3094</v>
      </c>
      <c r="Q1463" s="3"/>
      <c r="R1463" s="3"/>
      <c r="S1463" s="6"/>
      <c r="T1463" s="6"/>
      <c r="U1463" s="6"/>
    </row>
    <row r="1464" ht="15.75" customHeight="1">
      <c r="A1464" s="4" t="s">
        <v>3780</v>
      </c>
      <c r="B1464" s="4" t="s">
        <v>3781</v>
      </c>
      <c r="C1464" s="4" t="s">
        <v>39</v>
      </c>
      <c r="D1464" s="6"/>
      <c r="E1464" s="3" t="str">
        <f t="shared" si="3"/>
        <v>現存</v>
      </c>
      <c r="F1464" s="3" t="s">
        <v>3782</v>
      </c>
      <c r="G1464" s="6"/>
      <c r="H1464" s="3" t="str">
        <f t="shared" si="4"/>
        <v>1,3,4,9</v>
      </c>
      <c r="I1464" s="3" t="s">
        <v>139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3094</v>
      </c>
      <c r="Q1464" s="3"/>
      <c r="R1464" s="3"/>
      <c r="S1464" s="6"/>
      <c r="T1464" s="6"/>
      <c r="U1464" s="6"/>
    </row>
    <row r="1465" ht="15.75" customHeight="1">
      <c r="A1465" s="4" t="s">
        <v>3783</v>
      </c>
      <c r="B1465" s="4" t="s">
        <v>3784</v>
      </c>
      <c r="C1465" s="4" t="s">
        <v>39</v>
      </c>
      <c r="D1465" s="6"/>
      <c r="E1465" s="3" t="str">
        <f t="shared" si="3"/>
        <v>現存</v>
      </c>
      <c r="F1465" s="3" t="s">
        <v>218</v>
      </c>
      <c r="G1465" s="6"/>
      <c r="H1465" s="3" t="str">
        <f t="shared" si="4"/>
        <v>2,3</v>
      </c>
      <c r="I1465" s="3" t="s">
        <v>69</v>
      </c>
      <c r="J1465" s="3" t="s">
        <v>135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3094</v>
      </c>
      <c r="Q1465" s="3"/>
      <c r="R1465" s="3"/>
      <c r="S1465" s="6"/>
      <c r="T1465" s="6"/>
      <c r="U1465" s="6"/>
    </row>
    <row r="1466" ht="15.75" customHeight="1">
      <c r="A1466" s="4" t="s">
        <v>3785</v>
      </c>
      <c r="B1466" s="4" t="s">
        <v>3786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135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3094</v>
      </c>
      <c r="Q1466" s="3"/>
      <c r="R1466" s="3"/>
      <c r="S1466" s="6"/>
      <c r="T1466" s="6"/>
      <c r="U1466" s="6"/>
    </row>
    <row r="1467" ht="15.75" customHeight="1">
      <c r="A1467" s="4" t="s">
        <v>3787</v>
      </c>
      <c r="B1467" s="4" t="s">
        <v>3788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709</v>
      </c>
      <c r="J1467" s="3" t="s">
        <v>135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3094</v>
      </c>
      <c r="Q1467" s="3"/>
      <c r="R1467" s="3"/>
      <c r="S1467" s="6"/>
      <c r="T1467" s="6"/>
      <c r="U1467" s="6"/>
    </row>
    <row r="1468" ht="15.75" customHeight="1">
      <c r="A1468" s="4" t="s">
        <v>3789</v>
      </c>
      <c r="B1468" s="4" t="s">
        <v>3790</v>
      </c>
      <c r="C1468" s="4" t="s">
        <v>39</v>
      </c>
      <c r="D1468" s="8" t="s">
        <v>170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3791</v>
      </c>
      <c r="J1468" s="3" t="s">
        <v>181</v>
      </c>
      <c r="K1468" s="3">
        <v>1.0</v>
      </c>
      <c r="L1468" s="3">
        <v>1.0</v>
      </c>
      <c r="M1468" s="9" t="s">
        <v>236</v>
      </c>
      <c r="N1468" s="3" t="s">
        <v>44</v>
      </c>
      <c r="O1468" s="3"/>
      <c r="P1468" s="4" t="s">
        <v>3094</v>
      </c>
      <c r="Q1468" s="3"/>
      <c r="R1468" s="3"/>
      <c r="S1468" s="6"/>
      <c r="T1468" s="6"/>
      <c r="U1468" s="6"/>
    </row>
    <row r="1469" ht="15.75" customHeight="1">
      <c r="A1469" s="4" t="s">
        <v>3792</v>
      </c>
      <c r="B1469" s="4" t="s">
        <v>3793</v>
      </c>
      <c r="C1469" s="4" t="s">
        <v>39</v>
      </c>
      <c r="D1469" s="6"/>
      <c r="E1469" s="3" t="str">
        <f t="shared" si="3"/>
        <v>現存</v>
      </c>
      <c r="F1469" s="3" t="s">
        <v>116</v>
      </c>
      <c r="G1469" s="6"/>
      <c r="H1469" s="3" t="str">
        <f t="shared" si="4"/>
        <v>3,4</v>
      </c>
      <c r="I1469" s="3" t="s">
        <v>142</v>
      </c>
      <c r="J1469" s="3" t="s">
        <v>135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3094</v>
      </c>
      <c r="Q1469" s="3"/>
      <c r="R1469" s="3"/>
      <c r="S1469" s="6"/>
      <c r="T1469" s="6"/>
      <c r="U1469" s="6"/>
    </row>
    <row r="1470" ht="15.75" customHeight="1">
      <c r="A1470" s="4" t="s">
        <v>3794</v>
      </c>
      <c r="B1470" s="4" t="s">
        <v>3795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117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3094</v>
      </c>
      <c r="Q1470" s="3"/>
      <c r="R1470" s="3"/>
      <c r="S1470" s="6"/>
      <c r="T1470" s="6"/>
      <c r="U1470" s="6"/>
    </row>
    <row r="1471" ht="15.75" customHeight="1">
      <c r="A1471" s="4" t="s">
        <v>3796</v>
      </c>
      <c r="B1471" s="4" t="s">
        <v>3797</v>
      </c>
      <c r="C1471" s="4" t="s">
        <v>170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391</v>
      </c>
      <c r="J1471" s="3" t="s">
        <v>42</v>
      </c>
      <c r="K1471" s="3">
        <v>1.0</v>
      </c>
      <c r="L1471" s="3">
        <v>0.0</v>
      </c>
      <c r="M1471" s="4" t="s">
        <v>236</v>
      </c>
      <c r="N1471" s="3"/>
      <c r="O1471" s="3"/>
      <c r="P1471" s="4" t="s">
        <v>3094</v>
      </c>
      <c r="Q1471" s="3"/>
      <c r="R1471" s="3"/>
      <c r="S1471" s="6"/>
      <c r="T1471" s="6"/>
      <c r="U1471" s="6"/>
    </row>
    <row r="1472" ht="15.75" customHeight="1">
      <c r="A1472" s="4" t="s">
        <v>3798</v>
      </c>
      <c r="B1472" s="4" t="s">
        <v>3799</v>
      </c>
      <c r="C1472" s="4" t="s">
        <v>39</v>
      </c>
      <c r="D1472" s="6"/>
      <c r="E1472" s="3" t="str">
        <f t="shared" si="3"/>
        <v>現存</v>
      </c>
      <c r="F1472" s="3" t="s">
        <v>122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3094</v>
      </c>
      <c r="Q1472" s="3"/>
      <c r="R1472" s="3"/>
      <c r="S1472" s="6"/>
      <c r="T1472" s="6"/>
      <c r="U1472" s="6"/>
    </row>
    <row r="1473" ht="15.75" customHeight="1">
      <c r="A1473" s="4" t="s">
        <v>3800</v>
      </c>
      <c r="B1473" s="4" t="s">
        <v>3801</v>
      </c>
      <c r="C1473" s="4" t="s">
        <v>39</v>
      </c>
      <c r="D1473" s="6"/>
      <c r="E1473" s="3" t="str">
        <f t="shared" si="3"/>
        <v>現存</v>
      </c>
      <c r="F1473" s="3" t="s">
        <v>138</v>
      </c>
      <c r="G1473" s="6"/>
      <c r="H1473" s="3" t="str">
        <f t="shared" si="4"/>
        <v>3,4,5</v>
      </c>
      <c r="I1473" s="3" t="s">
        <v>83</v>
      </c>
      <c r="J1473" s="3" t="s">
        <v>125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3094</v>
      </c>
      <c r="Q1473" s="3"/>
      <c r="R1473" s="3"/>
      <c r="S1473" s="6"/>
      <c r="T1473" s="6"/>
      <c r="U1473" s="6"/>
    </row>
    <row r="1474" ht="15.75" customHeight="1">
      <c r="A1474" s="4" t="s">
        <v>3802</v>
      </c>
      <c r="B1474" s="4" t="s">
        <v>3803</v>
      </c>
      <c r="C1474" s="4" t="s">
        <v>39</v>
      </c>
      <c r="D1474" s="6"/>
      <c r="E1474" s="3" t="str">
        <f t="shared" si="3"/>
        <v>現存</v>
      </c>
      <c r="F1474" s="3" t="s">
        <v>138</v>
      </c>
      <c r="G1474" s="6"/>
      <c r="H1474" s="3" t="str">
        <f t="shared" si="4"/>
        <v>3,4,5</v>
      </c>
      <c r="I1474" s="3" t="s">
        <v>107</v>
      </c>
      <c r="J1474" s="3" t="s">
        <v>125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3094</v>
      </c>
      <c r="Q1474" s="3"/>
      <c r="R1474" s="3"/>
      <c r="S1474" s="6"/>
      <c r="T1474" s="6"/>
      <c r="U1474" s="6"/>
    </row>
    <row r="1475" ht="15.75" customHeight="1">
      <c r="A1475" s="4" t="s">
        <v>3804</v>
      </c>
      <c r="B1475" s="4" t="s">
        <v>3805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709</v>
      </c>
      <c r="J1475" s="3" t="s">
        <v>125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3094</v>
      </c>
      <c r="Q1475" s="3"/>
      <c r="R1475" s="3"/>
      <c r="S1475" s="6"/>
      <c r="T1475" s="6"/>
      <c r="U1475" s="6"/>
    </row>
    <row r="1476" ht="15.75" customHeight="1">
      <c r="A1476" s="4" t="s">
        <v>3806</v>
      </c>
      <c r="B1476" s="4" t="s">
        <v>3807</v>
      </c>
      <c r="C1476" s="4" t="s">
        <v>39</v>
      </c>
      <c r="D1476" s="6"/>
      <c r="E1476" s="3" t="str">
        <f t="shared" si="3"/>
        <v>現存</v>
      </c>
      <c r="F1476" s="3" t="s">
        <v>138</v>
      </c>
      <c r="G1476" s="6"/>
      <c r="H1476" s="3" t="str">
        <f t="shared" si="4"/>
        <v>3,4,5</v>
      </c>
      <c r="I1476" s="3" t="s">
        <v>107</v>
      </c>
      <c r="J1476" s="3" t="s">
        <v>135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3094</v>
      </c>
      <c r="Q1476" s="3"/>
      <c r="R1476" s="3"/>
      <c r="S1476" s="6"/>
      <c r="T1476" s="6"/>
      <c r="U1476" s="6"/>
    </row>
    <row r="1477" ht="15.75" customHeight="1">
      <c r="A1477" s="4" t="s">
        <v>3808</v>
      </c>
      <c r="B1477" s="4" t="s">
        <v>3809</v>
      </c>
      <c r="C1477" s="4" t="s">
        <v>39</v>
      </c>
      <c r="D1477" s="6"/>
      <c r="E1477" s="3" t="str">
        <f t="shared" si="3"/>
        <v>現存</v>
      </c>
      <c r="F1477" s="3" t="s">
        <v>3810</v>
      </c>
      <c r="G1477" s="6"/>
      <c r="H1477" s="3" t="str">
        <f t="shared" si="4"/>
        <v>3,9,11</v>
      </c>
      <c r="I1477" s="3" t="s">
        <v>1072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3094</v>
      </c>
      <c r="Q1477" s="3"/>
      <c r="R1477" s="3"/>
      <c r="S1477" s="6"/>
      <c r="T1477" s="6"/>
      <c r="U1477" s="6"/>
    </row>
    <row r="1478" ht="15.75" customHeight="1">
      <c r="A1478" s="4" t="s">
        <v>3811</v>
      </c>
      <c r="B1478" s="4" t="s">
        <v>3812</v>
      </c>
      <c r="C1478" s="4" t="s">
        <v>39</v>
      </c>
      <c r="D1478" s="8" t="s">
        <v>170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1287</v>
      </c>
      <c r="J1478" s="3" t="s">
        <v>181</v>
      </c>
      <c r="K1478" s="3">
        <v>1.0</v>
      </c>
      <c r="L1478" s="3">
        <v>1.0</v>
      </c>
      <c r="M1478" s="9" t="s">
        <v>236</v>
      </c>
      <c r="N1478" s="3" t="s">
        <v>44</v>
      </c>
      <c r="O1478" s="3"/>
      <c r="P1478" s="4" t="s">
        <v>3094</v>
      </c>
      <c r="Q1478" s="3"/>
      <c r="R1478" s="3"/>
      <c r="S1478" s="6"/>
      <c r="T1478" s="6"/>
      <c r="U1478" s="6"/>
    </row>
    <row r="1479" ht="15.75" customHeight="1">
      <c r="A1479" s="4" t="s">
        <v>3813</v>
      </c>
      <c r="B1479" s="4" t="s">
        <v>3814</v>
      </c>
      <c r="C1479" s="4" t="s">
        <v>39</v>
      </c>
      <c r="D1479" s="8" t="s">
        <v>170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699</v>
      </c>
      <c r="J1479" s="3" t="s">
        <v>98</v>
      </c>
      <c r="K1479" s="3">
        <v>3.0</v>
      </c>
      <c r="L1479" s="3">
        <v>1.0</v>
      </c>
      <c r="M1479" s="9" t="s">
        <v>236</v>
      </c>
      <c r="N1479" s="3" t="s">
        <v>44</v>
      </c>
      <c r="O1479" s="3"/>
      <c r="P1479" s="4" t="s">
        <v>3094</v>
      </c>
      <c r="Q1479" s="3"/>
      <c r="R1479" s="3"/>
      <c r="S1479" s="6"/>
      <c r="T1479" s="6"/>
      <c r="U1479" s="6"/>
    </row>
    <row r="1480" ht="15.75" customHeight="1">
      <c r="A1480" s="4" t="s">
        <v>3815</v>
      </c>
      <c r="B1480" s="4" t="s">
        <v>3816</v>
      </c>
      <c r="C1480" s="4" t="s">
        <v>39</v>
      </c>
      <c r="D1480" s="6"/>
      <c r="E1480" s="3" t="str">
        <f t="shared" si="3"/>
        <v>現存</v>
      </c>
      <c r="F1480" s="3" t="s">
        <v>3817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3818</v>
      </c>
      <c r="O1480" s="3"/>
      <c r="P1480" s="4" t="s">
        <v>3094</v>
      </c>
      <c r="Q1480" s="3"/>
      <c r="R1480" s="3"/>
      <c r="S1480" s="6"/>
      <c r="T1480" s="6"/>
      <c r="U1480" s="6"/>
    </row>
    <row r="1481" ht="15.75" customHeight="1">
      <c r="A1481" s="4" t="s">
        <v>3819</v>
      </c>
      <c r="B1481" s="9" t="s">
        <v>3820</v>
      </c>
      <c r="C1481" s="4" t="s">
        <v>39</v>
      </c>
      <c r="D1481" s="6"/>
      <c r="E1481" s="3" t="str">
        <f t="shared" si="3"/>
        <v>現存</v>
      </c>
      <c r="F1481" s="3" t="s">
        <v>1568</v>
      </c>
      <c r="G1481" s="6"/>
      <c r="H1481" s="3" t="str">
        <f t="shared" si="4"/>
        <v>4,5,6,7,11</v>
      </c>
      <c r="I1481" s="3" t="s">
        <v>1072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3094</v>
      </c>
      <c r="Q1481" s="3"/>
      <c r="R1481" s="3"/>
      <c r="S1481" s="6"/>
      <c r="T1481" s="6"/>
      <c r="U1481" s="6"/>
    </row>
    <row r="1482" ht="15.75" customHeight="1">
      <c r="A1482" s="4" t="s">
        <v>3821</v>
      </c>
      <c r="B1482" s="9" t="s">
        <v>3820</v>
      </c>
      <c r="C1482" s="4" t="s">
        <v>39</v>
      </c>
      <c r="D1482" s="8" t="s">
        <v>381</v>
      </c>
      <c r="E1482" s="3" t="str">
        <f t="shared" si="3"/>
        <v>不收錄</v>
      </c>
      <c r="F1482" s="3" t="s">
        <v>156</v>
      </c>
      <c r="G1482" s="6"/>
      <c r="H1482" s="3" t="str">
        <f t="shared" si="4"/>
        <v>4</v>
      </c>
      <c r="I1482" s="3" t="s">
        <v>142</v>
      </c>
      <c r="J1482" s="3" t="s">
        <v>135</v>
      </c>
      <c r="K1482" s="3">
        <v>1.0</v>
      </c>
      <c r="L1482" s="3">
        <v>1.0</v>
      </c>
      <c r="M1482" s="9" t="s">
        <v>236</v>
      </c>
      <c r="N1482" s="3" t="s">
        <v>44</v>
      </c>
      <c r="O1482" s="3"/>
      <c r="P1482" s="4" t="s">
        <v>3094</v>
      </c>
      <c r="Q1482" s="3"/>
      <c r="R1482" s="3"/>
      <c r="S1482" s="6"/>
      <c r="T1482" s="6"/>
      <c r="U1482" s="6"/>
    </row>
    <row r="1483" ht="15.75" customHeight="1">
      <c r="A1483" s="4" t="s">
        <v>3822</v>
      </c>
      <c r="B1483" s="4" t="s">
        <v>3823</v>
      </c>
      <c r="C1483" s="4" t="s">
        <v>39</v>
      </c>
      <c r="D1483" s="6"/>
      <c r="E1483" s="3" t="str">
        <f t="shared" si="3"/>
        <v>現存</v>
      </c>
      <c r="F1483" s="3" t="s">
        <v>425</v>
      </c>
      <c r="G1483" s="6"/>
      <c r="H1483" s="3" t="str">
        <f t="shared" si="4"/>
        <v>4,5,6</v>
      </c>
      <c r="I1483" s="3" t="s">
        <v>160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3094</v>
      </c>
      <c r="Q1483" s="3"/>
      <c r="R1483" s="3"/>
      <c r="S1483" s="6"/>
      <c r="T1483" s="6"/>
      <c r="U1483" s="6"/>
    </row>
    <row r="1484" ht="15.75" customHeight="1">
      <c r="A1484" s="4" t="s">
        <v>3824</v>
      </c>
      <c r="B1484" s="4" t="s">
        <v>3825</v>
      </c>
      <c r="C1484" s="4" t="s">
        <v>39</v>
      </c>
      <c r="D1484" s="6"/>
      <c r="E1484" s="3" t="str">
        <f t="shared" si="3"/>
        <v>現存</v>
      </c>
      <c r="F1484" s="3" t="s">
        <v>1751</v>
      </c>
      <c r="G1484" s="6"/>
      <c r="H1484" s="3" t="str">
        <f t="shared" si="4"/>
        <v>4,5,6,7,8</v>
      </c>
      <c r="I1484" s="3" t="s">
        <v>2231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3094</v>
      </c>
      <c r="Q1484" s="3"/>
      <c r="R1484" s="3"/>
      <c r="S1484" s="6"/>
      <c r="T1484" s="6"/>
      <c r="U1484" s="6"/>
    </row>
    <row r="1485" ht="15.75" customHeight="1">
      <c r="A1485" s="4" t="s">
        <v>3826</v>
      </c>
      <c r="B1485" s="4" t="s">
        <v>3827</v>
      </c>
      <c r="C1485" s="4" t="s">
        <v>39</v>
      </c>
      <c r="D1485" s="6"/>
      <c r="E1485" s="3" t="str">
        <f t="shared" si="3"/>
        <v>現存</v>
      </c>
      <c r="F1485" s="3" t="s">
        <v>3183</v>
      </c>
      <c r="G1485" s="6"/>
      <c r="H1485" s="3" t="str">
        <f t="shared" si="4"/>
        <v>4,9,10</v>
      </c>
      <c r="I1485" s="3" t="s">
        <v>426</v>
      </c>
      <c r="J1485" s="3" t="s">
        <v>912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3094</v>
      </c>
      <c r="Q1485" s="3"/>
      <c r="R1485" s="3"/>
      <c r="S1485" s="6"/>
      <c r="T1485" s="6"/>
      <c r="U1485" s="6"/>
    </row>
    <row r="1486" ht="15.75" customHeight="1">
      <c r="A1486" s="4" t="s">
        <v>3828</v>
      </c>
      <c r="B1486" s="4" t="s">
        <v>3829</v>
      </c>
      <c r="C1486" s="4" t="s">
        <v>39</v>
      </c>
      <c r="D1486" s="6"/>
      <c r="E1486" s="3" t="str">
        <f t="shared" si="3"/>
        <v>現存</v>
      </c>
      <c r="F1486" s="3" t="s">
        <v>148</v>
      </c>
      <c r="G1486" s="6"/>
      <c r="H1486" s="3" t="str">
        <f t="shared" si="4"/>
        <v>4,5</v>
      </c>
      <c r="I1486" s="3" t="s">
        <v>853</v>
      </c>
      <c r="J1486" s="3" t="s">
        <v>98</v>
      </c>
      <c r="K1486" s="3">
        <v>3.0</v>
      </c>
      <c r="L1486" s="3">
        <v>1.0</v>
      </c>
      <c r="M1486" s="9" t="s">
        <v>236</v>
      </c>
      <c r="N1486" s="3" t="s">
        <v>44</v>
      </c>
      <c r="O1486" s="3"/>
      <c r="P1486" s="4" t="s">
        <v>3094</v>
      </c>
      <c r="Q1486" s="3"/>
      <c r="R1486" s="3"/>
      <c r="S1486" s="6"/>
      <c r="T1486" s="6"/>
      <c r="U1486" s="6"/>
    </row>
    <row r="1487" ht="15.75" customHeight="1">
      <c r="A1487" s="4" t="s">
        <v>3830</v>
      </c>
      <c r="B1487" s="4" t="s">
        <v>3831</v>
      </c>
      <c r="C1487" s="4" t="s">
        <v>39</v>
      </c>
      <c r="D1487" s="6"/>
      <c r="E1487" s="3" t="str">
        <f t="shared" si="3"/>
        <v>現存</v>
      </c>
      <c r="F1487" s="3" t="s">
        <v>148</v>
      </c>
      <c r="G1487" s="6"/>
      <c r="H1487" s="3" t="str">
        <f t="shared" si="4"/>
        <v>4,5</v>
      </c>
      <c r="I1487" s="3" t="s">
        <v>160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3094</v>
      </c>
      <c r="Q1487" s="3"/>
      <c r="R1487" s="3"/>
      <c r="S1487" s="6"/>
      <c r="T1487" s="6"/>
      <c r="U1487" s="6"/>
    </row>
    <row r="1488" ht="15.75" customHeight="1">
      <c r="A1488" s="4" t="s">
        <v>3832</v>
      </c>
      <c r="B1488" s="4" t="s">
        <v>3833</v>
      </c>
      <c r="C1488" s="4" t="s">
        <v>39</v>
      </c>
      <c r="D1488" s="6"/>
      <c r="E1488" s="3" t="str">
        <f t="shared" si="3"/>
        <v>現存</v>
      </c>
      <c r="F1488" s="3" t="s">
        <v>450</v>
      </c>
      <c r="G1488" s="6"/>
      <c r="H1488" s="3" t="str">
        <f t="shared" si="4"/>
        <v>5</v>
      </c>
      <c r="I1488" s="3" t="s">
        <v>160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3094</v>
      </c>
      <c r="Q1488" s="3"/>
      <c r="R1488" s="3"/>
      <c r="S1488" s="6"/>
      <c r="T1488" s="6"/>
      <c r="U1488" s="6"/>
    </row>
    <row r="1489" ht="15.75" customHeight="1">
      <c r="A1489" s="4" t="s">
        <v>3834</v>
      </c>
      <c r="B1489" s="4" t="s">
        <v>3835</v>
      </c>
      <c r="C1489" s="4" t="s">
        <v>39</v>
      </c>
      <c r="D1489" s="6"/>
      <c r="E1489" s="3" t="str">
        <f t="shared" si="3"/>
        <v>現存</v>
      </c>
      <c r="F1489" s="3" t="s">
        <v>450</v>
      </c>
      <c r="G1489" s="6"/>
      <c r="H1489" s="3" t="str">
        <f t="shared" si="4"/>
        <v>5</v>
      </c>
      <c r="I1489" s="3" t="s">
        <v>160</v>
      </c>
      <c r="J1489" s="3" t="s">
        <v>135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3094</v>
      </c>
      <c r="Q1489" s="3"/>
      <c r="R1489" s="3"/>
      <c r="S1489" s="6"/>
      <c r="T1489" s="6"/>
      <c r="U1489" s="6"/>
    </row>
    <row r="1490" ht="15.75" customHeight="1">
      <c r="A1490" s="4" t="s">
        <v>3836</v>
      </c>
      <c r="B1490" s="4" t="s">
        <v>3837</v>
      </c>
      <c r="C1490" s="4" t="s">
        <v>39</v>
      </c>
      <c r="D1490" s="6"/>
      <c r="E1490" s="3" t="str">
        <f t="shared" si="3"/>
        <v>現存</v>
      </c>
      <c r="F1490" s="3" t="s">
        <v>1613</v>
      </c>
      <c r="G1490" s="6"/>
      <c r="H1490" s="3" t="str">
        <f t="shared" si="4"/>
        <v>5,8</v>
      </c>
      <c r="I1490" s="3" t="s">
        <v>481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3094</v>
      </c>
      <c r="Q1490" s="3"/>
      <c r="R1490" s="3"/>
      <c r="S1490" s="6"/>
      <c r="T1490" s="6"/>
      <c r="U1490" s="6"/>
    </row>
    <row r="1491" ht="15.75" customHeight="1">
      <c r="A1491" s="4" t="s">
        <v>3838</v>
      </c>
      <c r="B1491" s="9" t="s">
        <v>1291</v>
      </c>
      <c r="C1491" s="4" t="s">
        <v>39</v>
      </c>
      <c r="D1491" s="6"/>
      <c r="E1491" s="3" t="str">
        <f t="shared" si="3"/>
        <v>現存</v>
      </c>
      <c r="F1491" s="3" t="s">
        <v>450</v>
      </c>
      <c r="G1491" s="6"/>
      <c r="H1491" s="3" t="str">
        <f t="shared" si="4"/>
        <v>5</v>
      </c>
      <c r="I1491" s="3" t="s">
        <v>3839</v>
      </c>
      <c r="J1491" s="3" t="s">
        <v>181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3094</v>
      </c>
      <c r="Q1491" s="3"/>
      <c r="R1491" s="3"/>
      <c r="S1491" s="6"/>
      <c r="T1491" s="6"/>
      <c r="U1491" s="6"/>
    </row>
    <row r="1492" ht="15.75" customHeight="1">
      <c r="A1492" s="4" t="s">
        <v>3840</v>
      </c>
      <c r="B1492" s="4" t="s">
        <v>3841</v>
      </c>
      <c r="C1492" s="4" t="s">
        <v>39</v>
      </c>
      <c r="D1492" s="6"/>
      <c r="E1492" s="3" t="str">
        <f t="shared" si="3"/>
        <v>現存</v>
      </c>
      <c r="F1492" s="3" t="s">
        <v>443</v>
      </c>
      <c r="G1492" s="6"/>
      <c r="H1492" s="3" t="str">
        <f t="shared" si="4"/>
        <v>5,6,7</v>
      </c>
      <c r="I1492" s="3" t="s">
        <v>444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3094</v>
      </c>
      <c r="Q1492" s="3"/>
      <c r="R1492" s="3"/>
      <c r="S1492" s="6"/>
      <c r="T1492" s="6"/>
      <c r="U1492" s="6"/>
    </row>
    <row r="1493" ht="15.75" customHeight="1">
      <c r="A1493" s="4" t="s">
        <v>3842</v>
      </c>
      <c r="B1493" s="4" t="s">
        <v>3843</v>
      </c>
      <c r="C1493" s="4" t="s">
        <v>39</v>
      </c>
      <c r="D1493" s="8" t="s">
        <v>170</v>
      </c>
      <c r="E1493" s="3" t="str">
        <f t="shared" si="3"/>
        <v>近年未見</v>
      </c>
      <c r="F1493" s="3" t="s">
        <v>450</v>
      </c>
      <c r="G1493" s="6"/>
      <c r="H1493" s="3" t="str">
        <f t="shared" si="4"/>
        <v>5</v>
      </c>
      <c r="I1493" s="3" t="s">
        <v>3326</v>
      </c>
      <c r="J1493" s="3" t="s">
        <v>181</v>
      </c>
      <c r="K1493" s="3">
        <v>1.0</v>
      </c>
      <c r="L1493" s="3">
        <v>1.0</v>
      </c>
      <c r="M1493" s="9" t="s">
        <v>236</v>
      </c>
      <c r="N1493" s="3" t="s">
        <v>44</v>
      </c>
      <c r="O1493" s="3"/>
      <c r="P1493" s="4" t="s">
        <v>3094</v>
      </c>
      <c r="Q1493" s="3"/>
      <c r="R1493" s="3"/>
      <c r="S1493" s="6"/>
      <c r="T1493" s="6"/>
      <c r="U1493" s="6"/>
    </row>
    <row r="1494" ht="15.75" customHeight="1">
      <c r="A1494" s="4" t="s">
        <v>3844</v>
      </c>
      <c r="B1494" s="4" t="s">
        <v>3845</v>
      </c>
      <c r="C1494" s="4" t="s">
        <v>39</v>
      </c>
      <c r="D1494" s="6"/>
      <c r="E1494" s="3" t="str">
        <f t="shared" si="3"/>
        <v>現存</v>
      </c>
      <c r="F1494" s="3" t="s">
        <v>450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3094</v>
      </c>
      <c r="Q1494" s="3"/>
      <c r="R1494" s="3"/>
      <c r="S1494" s="6"/>
      <c r="T1494" s="6"/>
      <c r="U1494" s="6"/>
    </row>
    <row r="1495" ht="15.75" customHeight="1">
      <c r="A1495" s="4" t="s">
        <v>3846</v>
      </c>
      <c r="B1495" s="4" t="s">
        <v>3847</v>
      </c>
      <c r="C1495" s="4" t="s">
        <v>39</v>
      </c>
      <c r="D1495" s="6"/>
      <c r="E1495" s="3" t="str">
        <f t="shared" si="3"/>
        <v>現存</v>
      </c>
      <c r="F1495" s="3" t="s">
        <v>450</v>
      </c>
      <c r="G1495" s="6"/>
      <c r="H1495" s="3" t="str">
        <f t="shared" si="4"/>
        <v>5</v>
      </c>
      <c r="I1495" s="3" t="s">
        <v>276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3094</v>
      </c>
      <c r="Q1495" s="3"/>
      <c r="R1495" s="3"/>
      <c r="S1495" s="6"/>
      <c r="T1495" s="6"/>
      <c r="U1495" s="6"/>
    </row>
    <row r="1496" ht="15.75" customHeight="1">
      <c r="A1496" s="4" t="s">
        <v>3848</v>
      </c>
      <c r="B1496" s="4" t="s">
        <v>3849</v>
      </c>
      <c r="C1496" s="4" t="s">
        <v>39</v>
      </c>
      <c r="D1496" s="6"/>
      <c r="E1496" s="3" t="str">
        <f t="shared" si="3"/>
        <v>現存</v>
      </c>
      <c r="F1496" s="3" t="s">
        <v>171</v>
      </c>
      <c r="G1496" s="6"/>
      <c r="H1496" s="3" t="str">
        <f t="shared" si="4"/>
        <v>5,6</v>
      </c>
      <c r="I1496" s="3" t="s">
        <v>364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3094</v>
      </c>
      <c r="Q1496" s="3"/>
      <c r="R1496" s="3"/>
      <c r="S1496" s="6"/>
      <c r="T1496" s="6"/>
      <c r="U1496" s="6"/>
    </row>
    <row r="1497" ht="15.75" customHeight="1">
      <c r="A1497" s="4" t="s">
        <v>3850</v>
      </c>
      <c r="B1497" s="4" t="s">
        <v>3851</v>
      </c>
      <c r="C1497" s="4" t="s">
        <v>39</v>
      </c>
      <c r="D1497" s="6"/>
      <c r="E1497" s="3" t="str">
        <f t="shared" si="3"/>
        <v>現存</v>
      </c>
      <c r="F1497" s="3" t="s">
        <v>283</v>
      </c>
      <c r="G1497" s="6"/>
      <c r="H1497" s="3" t="str">
        <f t="shared" si="4"/>
        <v>5,6,8</v>
      </c>
      <c r="I1497" s="3" t="s">
        <v>303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3094</v>
      </c>
      <c r="Q1497" s="3"/>
      <c r="R1497" s="3"/>
      <c r="S1497" s="6"/>
      <c r="T1497" s="6"/>
      <c r="U1497" s="6"/>
    </row>
    <row r="1498" ht="15.75" customHeight="1">
      <c r="A1498" s="4" t="s">
        <v>3852</v>
      </c>
      <c r="B1498" s="4" t="s">
        <v>3853</v>
      </c>
      <c r="C1498" s="4" t="s">
        <v>39</v>
      </c>
      <c r="D1498" s="8" t="s">
        <v>170</v>
      </c>
      <c r="E1498" s="3" t="str">
        <f t="shared" si="3"/>
        <v>近年未見</v>
      </c>
      <c r="F1498" s="3" t="s">
        <v>310</v>
      </c>
      <c r="G1498" s="6"/>
      <c r="H1498" s="3" t="str">
        <f t="shared" si="4"/>
        <v>6</v>
      </c>
      <c r="I1498" s="3" t="s">
        <v>1623</v>
      </c>
      <c r="J1498" s="3" t="s">
        <v>181</v>
      </c>
      <c r="K1498" s="3">
        <v>1.0</v>
      </c>
      <c r="L1498" s="3">
        <v>1.0</v>
      </c>
      <c r="M1498" s="9" t="s">
        <v>236</v>
      </c>
      <c r="N1498" s="3" t="s">
        <v>44</v>
      </c>
      <c r="O1498" s="3"/>
      <c r="P1498" s="4" t="s">
        <v>3094</v>
      </c>
      <c r="Q1498" s="3"/>
      <c r="R1498" s="3"/>
      <c r="S1498" s="6"/>
      <c r="T1498" s="6"/>
      <c r="U1498" s="6"/>
    </row>
    <row r="1499" ht="15.75" customHeight="1">
      <c r="A1499" s="4" t="s">
        <v>3854</v>
      </c>
      <c r="B1499" s="4" t="s">
        <v>3855</v>
      </c>
      <c r="C1499" s="4" t="s">
        <v>39</v>
      </c>
      <c r="D1499" s="8" t="s">
        <v>170</v>
      </c>
      <c r="E1499" s="3" t="str">
        <f t="shared" si="3"/>
        <v>近年未見</v>
      </c>
      <c r="F1499" s="3" t="s">
        <v>310</v>
      </c>
      <c r="G1499" s="6"/>
      <c r="H1499" s="3" t="str">
        <f t="shared" si="4"/>
        <v>6</v>
      </c>
      <c r="I1499" s="3" t="s">
        <v>1631</v>
      </c>
      <c r="J1499" s="3" t="s">
        <v>181</v>
      </c>
      <c r="K1499" s="3">
        <v>3.0</v>
      </c>
      <c r="L1499" s="3">
        <v>1.0</v>
      </c>
      <c r="M1499" s="9" t="s">
        <v>236</v>
      </c>
      <c r="N1499" s="3" t="s">
        <v>44</v>
      </c>
      <c r="O1499" s="3"/>
      <c r="P1499" s="4" t="s">
        <v>3094</v>
      </c>
      <c r="Q1499" s="3"/>
      <c r="R1499" s="3"/>
      <c r="S1499" s="6"/>
      <c r="T1499" s="6"/>
      <c r="U1499" s="6"/>
    </row>
    <row r="1500" ht="15.75" customHeight="1">
      <c r="A1500" s="4" t="s">
        <v>3856</v>
      </c>
      <c r="B1500" s="4" t="s">
        <v>3857</v>
      </c>
      <c r="C1500" s="4" t="s">
        <v>39</v>
      </c>
      <c r="D1500" s="6"/>
      <c r="E1500" s="3" t="str">
        <f t="shared" si="3"/>
        <v>現存</v>
      </c>
      <c r="F1500" s="3" t="s">
        <v>314</v>
      </c>
      <c r="G1500" s="6"/>
      <c r="H1500" s="3" t="str">
        <f t="shared" si="4"/>
        <v>7</v>
      </c>
      <c r="I1500" s="3" t="s">
        <v>738</v>
      </c>
      <c r="J1500" s="3" t="s">
        <v>135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3094</v>
      </c>
      <c r="Q1500" s="3"/>
      <c r="R1500" s="3"/>
      <c r="S1500" s="6"/>
      <c r="T1500" s="6"/>
      <c r="U1500" s="6"/>
    </row>
    <row r="1501" ht="15.75" customHeight="1">
      <c r="A1501" s="4" t="s">
        <v>3858</v>
      </c>
      <c r="B1501" s="4" t="s">
        <v>3859</v>
      </c>
      <c r="C1501" s="4" t="s">
        <v>39</v>
      </c>
      <c r="D1501" s="6"/>
      <c r="E1501" s="3" t="str">
        <f t="shared" si="3"/>
        <v>現存</v>
      </c>
      <c r="F1501" s="3" t="s">
        <v>179</v>
      </c>
      <c r="G1501" s="6"/>
      <c r="H1501" s="3" t="str">
        <f t="shared" si="4"/>
        <v>8</v>
      </c>
      <c r="I1501" s="3" t="s">
        <v>303</v>
      </c>
      <c r="J1501" s="3" t="s">
        <v>135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3094</v>
      </c>
      <c r="Q1501" s="3"/>
      <c r="R1501" s="3"/>
      <c r="S1501" s="6"/>
      <c r="T1501" s="6"/>
      <c r="U1501" s="6"/>
    </row>
    <row r="1502" ht="15.75" customHeight="1">
      <c r="A1502" s="4" t="s">
        <v>3860</v>
      </c>
      <c r="B1502" s="4" t="s">
        <v>3861</v>
      </c>
      <c r="C1502" s="4" t="s">
        <v>39</v>
      </c>
      <c r="D1502" s="6"/>
      <c r="E1502" s="3" t="str">
        <f t="shared" si="3"/>
        <v>現存</v>
      </c>
      <c r="F1502" s="3" t="s">
        <v>179</v>
      </c>
      <c r="G1502" s="6"/>
      <c r="H1502" s="3" t="str">
        <f t="shared" si="4"/>
        <v>8</v>
      </c>
      <c r="I1502" s="3" t="s">
        <v>271</v>
      </c>
      <c r="J1502" s="3" t="s">
        <v>135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3094</v>
      </c>
      <c r="Q1502" s="3"/>
      <c r="R1502" s="3"/>
      <c r="S1502" s="6"/>
      <c r="T1502" s="6"/>
      <c r="U1502" s="6"/>
    </row>
    <row r="1503" ht="15.75" customHeight="1">
      <c r="A1503" s="4" t="s">
        <v>3862</v>
      </c>
      <c r="B1503" s="4" t="s">
        <v>3863</v>
      </c>
      <c r="C1503" s="4" t="s">
        <v>39</v>
      </c>
      <c r="D1503" s="6"/>
      <c r="E1503" s="3" t="str">
        <f t="shared" si="3"/>
        <v>現存</v>
      </c>
      <c r="F1503" s="3" t="s">
        <v>179</v>
      </c>
      <c r="G1503" s="6"/>
      <c r="H1503" s="3" t="str">
        <f t="shared" si="4"/>
        <v>8</v>
      </c>
      <c r="I1503" s="3" t="s">
        <v>303</v>
      </c>
      <c r="J1503" s="3" t="s">
        <v>135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3094</v>
      </c>
      <c r="Q1503" s="3"/>
      <c r="R1503" s="3"/>
      <c r="S1503" s="6"/>
      <c r="T1503" s="6"/>
      <c r="U1503" s="6"/>
    </row>
    <row r="1504" ht="15.75" customHeight="1">
      <c r="A1504" s="4" t="s">
        <v>3864</v>
      </c>
      <c r="B1504" s="4" t="s">
        <v>3865</v>
      </c>
      <c r="C1504" s="4" t="s">
        <v>39</v>
      </c>
      <c r="D1504" s="6"/>
      <c r="E1504" s="3" t="str">
        <f t="shared" si="3"/>
        <v>現存</v>
      </c>
      <c r="F1504" s="3" t="s">
        <v>175</v>
      </c>
      <c r="G1504" s="6"/>
      <c r="H1504" s="3" t="str">
        <f t="shared" si="4"/>
        <v>8,9</v>
      </c>
      <c r="I1504" s="3" t="s">
        <v>271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3094</v>
      </c>
      <c r="Q1504" s="3"/>
      <c r="R1504" s="3"/>
      <c r="S1504" s="6"/>
      <c r="T1504" s="6"/>
      <c r="U1504" s="6"/>
    </row>
    <row r="1505" ht="15.75" customHeight="1">
      <c r="A1505" s="4" t="s">
        <v>3866</v>
      </c>
      <c r="B1505" s="4" t="s">
        <v>3867</v>
      </c>
      <c r="C1505" s="4" t="s">
        <v>39</v>
      </c>
      <c r="D1505" s="6"/>
      <c r="E1505" s="3" t="str">
        <f t="shared" si="3"/>
        <v>現存</v>
      </c>
      <c r="F1505" s="3" t="s">
        <v>326</v>
      </c>
      <c r="G1505" s="6"/>
      <c r="H1505" s="3" t="str">
        <f t="shared" si="4"/>
        <v>9</v>
      </c>
      <c r="I1505" s="3" t="s">
        <v>3868</v>
      </c>
      <c r="J1505" s="3" t="s">
        <v>181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3094</v>
      </c>
      <c r="Q1505" s="3"/>
      <c r="R1505" s="3"/>
      <c r="S1505" s="6"/>
      <c r="T1505" s="6"/>
      <c r="U1505" s="6"/>
    </row>
    <row r="1506" ht="15.75" customHeight="1">
      <c r="A1506" s="4" t="s">
        <v>3869</v>
      </c>
      <c r="B1506" s="4" t="s">
        <v>3870</v>
      </c>
      <c r="C1506" s="4" t="s">
        <v>39</v>
      </c>
      <c r="D1506" s="6"/>
      <c r="E1506" s="3" t="str">
        <f t="shared" si="3"/>
        <v>現存</v>
      </c>
      <c r="F1506" s="3" t="s">
        <v>326</v>
      </c>
      <c r="G1506" s="6"/>
      <c r="H1506" s="3" t="str">
        <f t="shared" si="4"/>
        <v>9</v>
      </c>
      <c r="I1506" s="3" t="s">
        <v>92</v>
      </c>
      <c r="J1506" s="3" t="s">
        <v>135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3094</v>
      </c>
      <c r="Q1506" s="3"/>
      <c r="R1506" s="3"/>
      <c r="S1506" s="6"/>
      <c r="T1506" s="6"/>
      <c r="U1506" s="6"/>
    </row>
    <row r="1507" ht="15.75" customHeight="1">
      <c r="A1507" s="4" t="s">
        <v>3871</v>
      </c>
      <c r="B1507" s="4" t="s">
        <v>3872</v>
      </c>
      <c r="C1507" s="4" t="s">
        <v>39</v>
      </c>
      <c r="D1507" s="8" t="s">
        <v>1011</v>
      </c>
      <c r="E1507" s="3" t="str">
        <f t="shared" si="3"/>
        <v>已不在</v>
      </c>
      <c r="F1507" s="3" t="s">
        <v>616</v>
      </c>
      <c r="G1507" s="6"/>
      <c r="H1507" s="3" t="str">
        <f t="shared" si="4"/>
        <v>10,11</v>
      </c>
      <c r="I1507" s="3" t="s">
        <v>626</v>
      </c>
      <c r="J1507" s="3" t="s">
        <v>42</v>
      </c>
      <c r="K1507" s="3">
        <v>4.0</v>
      </c>
      <c r="L1507" s="3">
        <v>1.0</v>
      </c>
      <c r="M1507" s="9" t="s">
        <v>236</v>
      </c>
      <c r="N1507" s="3" t="s">
        <v>44</v>
      </c>
      <c r="O1507" s="3"/>
      <c r="P1507" s="4" t="s">
        <v>3094</v>
      </c>
      <c r="Q1507" s="3"/>
      <c r="R1507" s="3"/>
      <c r="S1507" s="6"/>
      <c r="T1507" s="6"/>
      <c r="U1507" s="6"/>
    </row>
    <row r="1508" ht="15.75" customHeight="1">
      <c r="A1508" s="4" t="s">
        <v>3873</v>
      </c>
      <c r="B1508" s="4" t="s">
        <v>3874</v>
      </c>
      <c r="C1508" s="4" t="s">
        <v>39</v>
      </c>
      <c r="D1508" s="6"/>
      <c r="E1508" s="3" t="str">
        <f t="shared" si="3"/>
        <v>現存</v>
      </c>
      <c r="F1508" s="3" t="s">
        <v>508</v>
      </c>
      <c r="G1508" s="6"/>
      <c r="H1508" s="3" t="str">
        <f t="shared" si="4"/>
        <v>10,12</v>
      </c>
      <c r="I1508" s="3" t="s">
        <v>185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3094</v>
      </c>
      <c r="Q1508" s="3"/>
      <c r="R1508" s="3"/>
      <c r="S1508" s="6"/>
      <c r="T1508" s="6"/>
      <c r="U1508" s="6"/>
    </row>
    <row r="1509" ht="15.75" customHeight="1">
      <c r="A1509" s="4" t="s">
        <v>3875</v>
      </c>
      <c r="B1509" s="4" t="s">
        <v>3876</v>
      </c>
      <c r="C1509" s="4" t="s">
        <v>39</v>
      </c>
      <c r="D1509" s="6"/>
      <c r="E1509" s="3" t="str">
        <f t="shared" si="3"/>
        <v>現存</v>
      </c>
      <c r="F1509" s="3" t="s">
        <v>616</v>
      </c>
      <c r="G1509" s="6"/>
      <c r="H1509" s="3" t="str">
        <f t="shared" si="4"/>
        <v>10,11</v>
      </c>
      <c r="I1509" s="3" t="s">
        <v>1998</v>
      </c>
      <c r="J1509" s="3" t="s">
        <v>98</v>
      </c>
      <c r="K1509" s="3">
        <v>3.0</v>
      </c>
      <c r="L1509" s="3">
        <v>0.0</v>
      </c>
      <c r="M1509" s="4" t="s">
        <v>236</v>
      </c>
      <c r="N1509" s="3"/>
      <c r="O1509" s="3"/>
      <c r="P1509" s="4" t="s">
        <v>3094</v>
      </c>
      <c r="Q1509" s="3"/>
      <c r="R1509" s="3"/>
      <c r="S1509" s="6"/>
      <c r="T1509" s="6"/>
      <c r="U1509" s="6"/>
    </row>
    <row r="1510" ht="15.75" customHeight="1">
      <c r="A1510" s="4" t="s">
        <v>3877</v>
      </c>
      <c r="B1510" s="4" t="s">
        <v>3878</v>
      </c>
      <c r="C1510" s="4" t="s">
        <v>39</v>
      </c>
      <c r="D1510" s="6"/>
      <c r="E1510" s="3" t="str">
        <f t="shared" si="3"/>
        <v>現存</v>
      </c>
      <c r="F1510" s="3" t="s">
        <v>515</v>
      </c>
      <c r="G1510" s="6"/>
      <c r="H1510" s="3" t="str">
        <f t="shared" si="4"/>
        <v>11</v>
      </c>
      <c r="I1510" s="3" t="s">
        <v>1998</v>
      </c>
      <c r="J1510" s="3" t="s">
        <v>42</v>
      </c>
      <c r="K1510" s="3">
        <v>1.0</v>
      </c>
      <c r="L1510" s="3">
        <v>0.0</v>
      </c>
      <c r="M1510" s="4" t="s">
        <v>236</v>
      </c>
      <c r="N1510" s="3"/>
      <c r="O1510" s="3"/>
      <c r="P1510" s="4" t="s">
        <v>3094</v>
      </c>
      <c r="Q1510" s="3"/>
      <c r="R1510" s="3"/>
      <c r="S1510" s="6"/>
      <c r="T1510" s="6"/>
      <c r="U1510" s="6"/>
    </row>
    <row r="1511" ht="15.75" customHeight="1">
      <c r="A1511" s="4" t="s">
        <v>3879</v>
      </c>
      <c r="B1511" s="4" t="s">
        <v>3880</v>
      </c>
      <c r="C1511" s="4" t="s">
        <v>39</v>
      </c>
      <c r="D1511" s="6"/>
      <c r="E1511" s="3" t="str">
        <f t="shared" si="3"/>
        <v>現存</v>
      </c>
      <c r="F1511" s="3" t="s">
        <v>3881</v>
      </c>
      <c r="G1511" s="6"/>
      <c r="H1511" s="3" t="str">
        <f t="shared" si="4"/>
        <v>1,2,3,6,8,9</v>
      </c>
      <c r="I1511" s="3" t="s">
        <v>444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521</v>
      </c>
      <c r="Q1511" s="3"/>
      <c r="R1511" s="3"/>
      <c r="S1511" s="6"/>
      <c r="T1511" s="6"/>
      <c r="U1511" s="6"/>
    </row>
    <row r="1512" ht="15.75" customHeight="1">
      <c r="A1512" s="4" t="s">
        <v>3882</v>
      </c>
      <c r="B1512" s="4" t="s">
        <v>3883</v>
      </c>
      <c r="C1512" s="4" t="s">
        <v>39</v>
      </c>
      <c r="D1512" s="6"/>
      <c r="E1512" s="3" t="str">
        <f t="shared" si="3"/>
        <v>現存</v>
      </c>
      <c r="F1512" s="3" t="s">
        <v>3884</v>
      </c>
      <c r="G1512" s="6"/>
      <c r="H1512" s="3" t="str">
        <f t="shared" si="4"/>
        <v>1,4,6,7,8</v>
      </c>
      <c r="I1512" s="3" t="s">
        <v>364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521</v>
      </c>
      <c r="Q1512" s="3"/>
      <c r="R1512" s="3"/>
      <c r="S1512" s="6"/>
      <c r="T1512" s="6"/>
      <c r="U1512" s="6"/>
    </row>
    <row r="1513" ht="15.75" customHeight="1">
      <c r="A1513" s="4" t="s">
        <v>3885</v>
      </c>
      <c r="B1513" s="4" t="s">
        <v>3886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142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3887</v>
      </c>
      <c r="O1513" s="3"/>
      <c r="P1513" s="4" t="s">
        <v>521</v>
      </c>
      <c r="Q1513" s="3"/>
      <c r="R1513" s="3"/>
      <c r="S1513" s="6"/>
      <c r="T1513" s="6"/>
      <c r="U1513" s="6"/>
    </row>
    <row r="1514" ht="15.75" customHeight="1">
      <c r="A1514" s="4" t="s">
        <v>3888</v>
      </c>
      <c r="B1514" s="4" t="s">
        <v>3889</v>
      </c>
      <c r="C1514" s="4" t="s">
        <v>39</v>
      </c>
      <c r="D1514" s="6"/>
      <c r="E1514" s="3" t="str">
        <f t="shared" si="3"/>
        <v>現存</v>
      </c>
      <c r="F1514" s="3" t="s">
        <v>1697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3890</v>
      </c>
      <c r="O1514" s="3"/>
      <c r="P1514" s="4" t="s">
        <v>521</v>
      </c>
      <c r="Q1514" s="3"/>
      <c r="R1514" s="3"/>
      <c r="S1514" s="6"/>
      <c r="T1514" s="6"/>
      <c r="U1514" s="6"/>
    </row>
    <row r="1515" ht="15.75" customHeight="1">
      <c r="A1515" s="4" t="s">
        <v>3891</v>
      </c>
      <c r="B1515" s="4" t="s">
        <v>3892</v>
      </c>
      <c r="C1515" s="4" t="s">
        <v>39</v>
      </c>
      <c r="D1515" s="6"/>
      <c r="E1515" s="3" t="str">
        <f t="shared" si="3"/>
        <v>現存</v>
      </c>
      <c r="F1515" s="3" t="s">
        <v>130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521</v>
      </c>
      <c r="Q1515" s="3"/>
      <c r="R1515" s="3"/>
      <c r="S1515" s="6"/>
      <c r="T1515" s="6"/>
      <c r="U1515" s="6"/>
    </row>
    <row r="1516" ht="15.75" customHeight="1">
      <c r="A1516" s="4" t="s">
        <v>3893</v>
      </c>
      <c r="B1516" s="4" t="s">
        <v>3894</v>
      </c>
      <c r="C1516" s="4" t="s">
        <v>39</v>
      </c>
      <c r="D1516" s="6"/>
      <c r="E1516" s="3" t="str">
        <f t="shared" si="3"/>
        <v>現存</v>
      </c>
      <c r="F1516" s="3" t="s">
        <v>202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3895</v>
      </c>
      <c r="O1516" s="3"/>
      <c r="P1516" s="4" t="s">
        <v>521</v>
      </c>
      <c r="Q1516" s="3"/>
      <c r="R1516" s="3"/>
      <c r="S1516" s="6"/>
      <c r="T1516" s="6"/>
      <c r="U1516" s="6"/>
    </row>
    <row r="1517" ht="15.75" customHeight="1">
      <c r="A1517" s="4" t="s">
        <v>3896</v>
      </c>
      <c r="B1517" s="4" t="s">
        <v>3897</v>
      </c>
      <c r="C1517" s="4" t="s">
        <v>39</v>
      </c>
      <c r="D1517" s="6"/>
      <c r="E1517" s="3" t="str">
        <f t="shared" si="3"/>
        <v>現存</v>
      </c>
      <c r="F1517" s="3" t="s">
        <v>2649</v>
      </c>
      <c r="G1517" s="6"/>
      <c r="H1517" s="3" t="str">
        <f t="shared" si="4"/>
        <v>1,3,10,11,12</v>
      </c>
      <c r="I1517" s="3" t="s">
        <v>709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3898</v>
      </c>
      <c r="O1517" s="3"/>
      <c r="P1517" s="4" t="s">
        <v>521</v>
      </c>
      <c r="Q1517" s="3"/>
      <c r="R1517" s="3"/>
      <c r="S1517" s="6"/>
      <c r="T1517" s="6"/>
      <c r="U1517" s="6"/>
    </row>
    <row r="1518" ht="15.75" customHeight="1">
      <c r="A1518" s="4" t="s">
        <v>3899</v>
      </c>
      <c r="B1518" s="4" t="s">
        <v>3900</v>
      </c>
      <c r="C1518" s="4" t="s">
        <v>39</v>
      </c>
      <c r="D1518" s="6"/>
      <c r="E1518" s="3" t="str">
        <f t="shared" si="3"/>
        <v>現存</v>
      </c>
      <c r="F1518" s="3" t="s">
        <v>3901</v>
      </c>
      <c r="G1518" s="6"/>
      <c r="H1518" s="3" t="str">
        <f t="shared" si="4"/>
        <v>1,3,4,6,11</v>
      </c>
      <c r="I1518" s="3" t="s">
        <v>139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521</v>
      </c>
      <c r="Q1518" s="3"/>
      <c r="R1518" s="3"/>
      <c r="S1518" s="6"/>
      <c r="T1518" s="6"/>
      <c r="U1518" s="6"/>
    </row>
    <row r="1519" ht="15.75" customHeight="1">
      <c r="A1519" s="4" t="s">
        <v>3902</v>
      </c>
      <c r="B1519" s="4" t="s">
        <v>3903</v>
      </c>
      <c r="C1519" s="4" t="s">
        <v>39</v>
      </c>
      <c r="D1519" s="6"/>
      <c r="E1519" s="3" t="str">
        <f t="shared" si="3"/>
        <v>現存</v>
      </c>
      <c r="F1519" s="3" t="s">
        <v>3904</v>
      </c>
      <c r="G1519" s="6"/>
      <c r="H1519" s="3" t="str">
        <f t="shared" si="4"/>
        <v>1,2,3,6</v>
      </c>
      <c r="I1519" s="3" t="s">
        <v>709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521</v>
      </c>
      <c r="Q1519" s="3"/>
      <c r="R1519" s="3"/>
      <c r="S1519" s="6"/>
      <c r="T1519" s="6"/>
      <c r="U1519" s="6"/>
    </row>
    <row r="1520" ht="15.75" customHeight="1">
      <c r="A1520" s="4" t="s">
        <v>3905</v>
      </c>
      <c r="B1520" s="4" t="s">
        <v>3906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3907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521</v>
      </c>
      <c r="Q1520" s="3"/>
      <c r="R1520" s="3"/>
      <c r="S1520" s="6"/>
      <c r="T1520" s="6"/>
      <c r="U1520" s="6"/>
    </row>
    <row r="1521" ht="15.75" customHeight="1">
      <c r="A1521" s="4" t="s">
        <v>3908</v>
      </c>
      <c r="B1521" s="4" t="s">
        <v>3909</v>
      </c>
      <c r="C1521" s="4" t="s">
        <v>39</v>
      </c>
      <c r="D1521" s="6"/>
      <c r="E1521" s="3" t="str">
        <f t="shared" si="3"/>
        <v>現存</v>
      </c>
      <c r="F1521" s="3" t="s">
        <v>1107</v>
      </c>
      <c r="G1521" s="6"/>
      <c r="H1521" s="3" t="str">
        <f t="shared" si="4"/>
        <v>1,2,10,11,12</v>
      </c>
      <c r="I1521" s="3" t="s">
        <v>1008</v>
      </c>
      <c r="J1521" s="3" t="s">
        <v>253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521</v>
      </c>
      <c r="Q1521" s="3"/>
      <c r="R1521" s="3"/>
      <c r="S1521" s="6"/>
      <c r="T1521" s="6"/>
      <c r="U1521" s="6"/>
    </row>
    <row r="1522" ht="15.75" customHeight="1">
      <c r="A1522" s="4" t="s">
        <v>3910</v>
      </c>
      <c r="B1522" s="4" t="s">
        <v>3911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139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521</v>
      </c>
      <c r="Q1522" s="3"/>
      <c r="R1522" s="3"/>
      <c r="S1522" s="6"/>
      <c r="T1522" s="6"/>
      <c r="U1522" s="6"/>
    </row>
    <row r="1523" ht="15.75" customHeight="1">
      <c r="A1523" s="4" t="s">
        <v>3912</v>
      </c>
      <c r="B1523" s="4" t="s">
        <v>3913</v>
      </c>
      <c r="C1523" s="4" t="s">
        <v>39</v>
      </c>
      <c r="D1523" s="6"/>
      <c r="E1523" s="3" t="str">
        <f t="shared" si="3"/>
        <v>現存</v>
      </c>
      <c r="F1523" s="3" t="s">
        <v>935</v>
      </c>
      <c r="G1523" s="6"/>
      <c r="H1523" s="3" t="str">
        <f t="shared" si="4"/>
        <v>2,3,4</v>
      </c>
      <c r="I1523" s="3" t="s">
        <v>142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521</v>
      </c>
      <c r="Q1523" s="3"/>
      <c r="R1523" s="3"/>
      <c r="S1523" s="6"/>
      <c r="T1523" s="6"/>
      <c r="U1523" s="6"/>
    </row>
    <row r="1524" ht="15.75" customHeight="1">
      <c r="A1524" s="4" t="s">
        <v>3914</v>
      </c>
      <c r="B1524" s="4" t="s">
        <v>3915</v>
      </c>
      <c r="C1524" s="4" t="s">
        <v>39</v>
      </c>
      <c r="D1524" s="6"/>
      <c r="E1524" s="3" t="str">
        <f t="shared" si="3"/>
        <v>現存</v>
      </c>
      <c r="F1524" s="3" t="s">
        <v>3916</v>
      </c>
      <c r="G1524" s="6"/>
      <c r="H1524" s="3" t="str">
        <f t="shared" si="4"/>
        <v>2,6,10</v>
      </c>
      <c r="I1524" s="3" t="s">
        <v>460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521</v>
      </c>
      <c r="Q1524" s="3"/>
      <c r="R1524" s="3"/>
      <c r="S1524" s="6"/>
      <c r="T1524" s="6"/>
      <c r="U1524" s="6"/>
    </row>
    <row r="1525" ht="15.75" customHeight="1">
      <c r="A1525" s="4" t="s">
        <v>3917</v>
      </c>
      <c r="B1525" s="4" t="s">
        <v>3918</v>
      </c>
      <c r="C1525" s="4" t="s">
        <v>39</v>
      </c>
      <c r="D1525" s="6"/>
      <c r="E1525" s="3" t="str">
        <f t="shared" si="3"/>
        <v>現存</v>
      </c>
      <c r="F1525" s="3" t="s">
        <v>3919</v>
      </c>
      <c r="G1525" s="6"/>
      <c r="H1525" s="3" t="str">
        <f t="shared" si="4"/>
        <v>2,3,7,8,9,10</v>
      </c>
      <c r="I1525" s="3" t="s">
        <v>271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521</v>
      </c>
      <c r="Q1525" s="3"/>
      <c r="R1525" s="3"/>
      <c r="S1525" s="6"/>
      <c r="T1525" s="6"/>
      <c r="U1525" s="6"/>
    </row>
    <row r="1526" ht="15.75" customHeight="1">
      <c r="A1526" s="4" t="s">
        <v>3920</v>
      </c>
      <c r="B1526" s="9" t="s">
        <v>3921</v>
      </c>
      <c r="C1526" s="4" t="s">
        <v>39</v>
      </c>
      <c r="D1526" s="8" t="s">
        <v>381</v>
      </c>
      <c r="E1526" s="3" t="str">
        <f t="shared" si="3"/>
        <v>不收錄</v>
      </c>
      <c r="F1526" s="3" t="s">
        <v>371</v>
      </c>
      <c r="G1526" s="6"/>
      <c r="H1526" s="3" t="str">
        <f t="shared" si="4"/>
        <v>2,8</v>
      </c>
      <c r="I1526" s="3" t="s">
        <v>3922</v>
      </c>
      <c r="J1526" s="3" t="s">
        <v>181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521</v>
      </c>
      <c r="Q1526" s="4" t="s">
        <v>1494</v>
      </c>
      <c r="R1526" s="3"/>
      <c r="S1526" s="6"/>
      <c r="T1526" s="6"/>
      <c r="U1526" s="6"/>
    </row>
    <row r="1527" ht="15.75" customHeight="1">
      <c r="A1527" s="4" t="s">
        <v>3923</v>
      </c>
      <c r="B1527" s="4" t="s">
        <v>3924</v>
      </c>
      <c r="C1527" s="4" t="s">
        <v>39</v>
      </c>
      <c r="D1527" s="6"/>
      <c r="E1527" s="3" t="str">
        <f t="shared" si="3"/>
        <v>現存</v>
      </c>
      <c r="F1527" s="3" t="s">
        <v>1723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521</v>
      </c>
      <c r="Q1527" s="3"/>
      <c r="R1527" s="3"/>
      <c r="S1527" s="6"/>
      <c r="T1527" s="6"/>
      <c r="U1527" s="6"/>
    </row>
    <row r="1528" ht="15.75" customHeight="1">
      <c r="A1528" s="4" t="s">
        <v>3925</v>
      </c>
      <c r="B1528" s="4" t="s">
        <v>3926</v>
      </c>
      <c r="C1528" s="4" t="s">
        <v>39</v>
      </c>
      <c r="D1528" s="6"/>
      <c r="E1528" s="3" t="str">
        <f t="shared" si="3"/>
        <v>現存</v>
      </c>
      <c r="F1528" s="3" t="s">
        <v>116</v>
      </c>
      <c r="G1528" s="6"/>
      <c r="H1528" s="3" t="str">
        <f t="shared" si="4"/>
        <v>3,4</v>
      </c>
      <c r="I1528" s="3" t="s">
        <v>142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521</v>
      </c>
      <c r="Q1528" s="3"/>
      <c r="R1528" s="3"/>
      <c r="S1528" s="6"/>
      <c r="T1528" s="6"/>
      <c r="U1528" s="6"/>
    </row>
    <row r="1529" ht="15.75" customHeight="1">
      <c r="A1529" s="4" t="s">
        <v>3927</v>
      </c>
      <c r="B1529" s="4" t="s">
        <v>3928</v>
      </c>
      <c r="C1529" s="4" t="s">
        <v>39</v>
      </c>
      <c r="D1529" s="6"/>
      <c r="E1529" s="3" t="str">
        <f t="shared" si="3"/>
        <v>現存</v>
      </c>
      <c r="F1529" s="3" t="s">
        <v>3929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521</v>
      </c>
      <c r="Q1529" s="3"/>
      <c r="R1529" s="3"/>
      <c r="S1529" s="6"/>
      <c r="T1529" s="6"/>
      <c r="U1529" s="8" t="s">
        <v>3930</v>
      </c>
    </row>
    <row r="1530" ht="15.75" customHeight="1">
      <c r="A1530" s="4" t="s">
        <v>3931</v>
      </c>
      <c r="B1530" s="4" t="s">
        <v>3932</v>
      </c>
      <c r="C1530" s="4" t="s">
        <v>39</v>
      </c>
      <c r="D1530" s="6"/>
      <c r="E1530" s="3" t="str">
        <f t="shared" si="3"/>
        <v>現存</v>
      </c>
      <c r="F1530" s="3" t="s">
        <v>556</v>
      </c>
      <c r="G1530" s="6"/>
      <c r="H1530" s="3" t="str">
        <f t="shared" si="4"/>
        <v>3,7</v>
      </c>
      <c r="I1530" s="3" t="s">
        <v>709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521</v>
      </c>
      <c r="Q1530" s="3"/>
      <c r="R1530" s="3"/>
      <c r="S1530" s="6"/>
      <c r="T1530" s="6"/>
      <c r="U1530" s="6"/>
    </row>
    <row r="1531" ht="15.75" customHeight="1">
      <c r="A1531" s="4" t="s">
        <v>3933</v>
      </c>
      <c r="B1531" s="4" t="s">
        <v>3934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521</v>
      </c>
      <c r="Q1531" s="3"/>
      <c r="R1531" s="3"/>
      <c r="S1531" s="6"/>
      <c r="T1531" s="6"/>
      <c r="U1531" s="6"/>
    </row>
    <row r="1532" ht="15.75" customHeight="1">
      <c r="A1532" s="4" t="s">
        <v>3935</v>
      </c>
      <c r="B1532" s="4" t="s">
        <v>3936</v>
      </c>
      <c r="C1532" s="4" t="s">
        <v>39</v>
      </c>
      <c r="D1532" s="6"/>
      <c r="E1532" s="3" t="str">
        <f t="shared" si="3"/>
        <v>現存</v>
      </c>
      <c r="F1532" s="3" t="s">
        <v>240</v>
      </c>
      <c r="G1532" s="6"/>
      <c r="H1532" s="3" t="str">
        <f t="shared" si="4"/>
        <v>3,4,7</v>
      </c>
      <c r="I1532" s="3" t="s">
        <v>139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521</v>
      </c>
      <c r="Q1532" s="3"/>
      <c r="R1532" s="3"/>
      <c r="S1532" s="6"/>
      <c r="T1532" s="6"/>
      <c r="U1532" s="6"/>
    </row>
    <row r="1533" ht="15.75" customHeight="1">
      <c r="A1533" s="4" t="s">
        <v>3937</v>
      </c>
      <c r="B1533" s="4" t="s">
        <v>3938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135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521</v>
      </c>
      <c r="Q1533" s="3"/>
      <c r="R1533" s="3"/>
      <c r="S1533" s="6"/>
      <c r="T1533" s="6"/>
      <c r="U1533" s="6"/>
    </row>
    <row r="1534" ht="15.75" customHeight="1">
      <c r="A1534" s="4" t="s">
        <v>3939</v>
      </c>
      <c r="B1534" s="4" t="s">
        <v>3940</v>
      </c>
      <c r="C1534" s="4" t="s">
        <v>39</v>
      </c>
      <c r="D1534" s="6"/>
      <c r="E1534" s="3" t="str">
        <f t="shared" si="3"/>
        <v>現存</v>
      </c>
      <c r="F1534" s="3" t="s">
        <v>116</v>
      </c>
      <c r="G1534" s="6"/>
      <c r="H1534" s="3" t="str">
        <f t="shared" si="4"/>
        <v>3,4</v>
      </c>
      <c r="I1534" s="3" t="s">
        <v>142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521</v>
      </c>
      <c r="Q1534" s="3"/>
      <c r="R1534" s="3"/>
      <c r="S1534" s="6"/>
      <c r="T1534" s="6"/>
      <c r="U1534" s="6"/>
    </row>
    <row r="1535" ht="15.75" customHeight="1">
      <c r="A1535" s="4" t="s">
        <v>3941</v>
      </c>
      <c r="B1535" s="4" t="s">
        <v>3942</v>
      </c>
      <c r="C1535" s="4" t="s">
        <v>39</v>
      </c>
      <c r="D1535" s="6"/>
      <c r="E1535" s="3" t="str">
        <f t="shared" si="3"/>
        <v>現存</v>
      </c>
      <c r="F1535" s="3" t="s">
        <v>1524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521</v>
      </c>
      <c r="Q1535" s="3"/>
      <c r="R1535" s="3"/>
      <c r="S1535" s="6"/>
      <c r="T1535" s="6"/>
      <c r="U1535" s="6"/>
    </row>
    <row r="1536" ht="15.75" customHeight="1">
      <c r="A1536" s="4" t="s">
        <v>3943</v>
      </c>
      <c r="B1536" s="4" t="s">
        <v>3944</v>
      </c>
      <c r="C1536" s="4" t="s">
        <v>39</v>
      </c>
      <c r="D1536" s="6"/>
      <c r="E1536" s="3" t="str">
        <f t="shared" si="3"/>
        <v>現存</v>
      </c>
      <c r="F1536" s="3" t="s">
        <v>116</v>
      </c>
      <c r="G1536" s="6"/>
      <c r="H1536" s="3" t="str">
        <f t="shared" si="4"/>
        <v>3,4</v>
      </c>
      <c r="I1536" s="3" t="s">
        <v>335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521</v>
      </c>
      <c r="Q1536" s="3"/>
      <c r="R1536" s="3"/>
      <c r="S1536" s="6"/>
      <c r="T1536" s="6"/>
      <c r="U1536" s="6"/>
    </row>
    <row r="1537" ht="15.75" customHeight="1">
      <c r="A1537" s="4" t="s">
        <v>3945</v>
      </c>
      <c r="B1537" s="4" t="s">
        <v>3946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3082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521</v>
      </c>
      <c r="Q1537" s="3"/>
      <c r="R1537" s="3"/>
      <c r="S1537" s="6"/>
      <c r="T1537" s="6"/>
      <c r="U1537" s="6"/>
    </row>
    <row r="1538" ht="15.75" customHeight="1">
      <c r="A1538" s="4" t="s">
        <v>3947</v>
      </c>
      <c r="B1538" s="4" t="s">
        <v>3948</v>
      </c>
      <c r="C1538" s="4" t="s">
        <v>39</v>
      </c>
      <c r="D1538" s="6"/>
      <c r="E1538" s="3" t="str">
        <f t="shared" si="3"/>
        <v>現存</v>
      </c>
      <c r="F1538" s="3" t="s">
        <v>122</v>
      </c>
      <c r="G1538" s="6"/>
      <c r="H1538" s="3" t="str">
        <f t="shared" si="4"/>
        <v>3,11</v>
      </c>
      <c r="I1538" s="3" t="s">
        <v>378</v>
      </c>
      <c r="J1538" s="3" t="s">
        <v>482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521</v>
      </c>
      <c r="Q1538" s="3"/>
      <c r="R1538" s="3"/>
      <c r="S1538" s="6"/>
      <c r="T1538" s="6"/>
      <c r="U1538" s="8" t="s">
        <v>3949</v>
      </c>
    </row>
    <row r="1539" ht="15.75" customHeight="1">
      <c r="A1539" s="4" t="s">
        <v>3950</v>
      </c>
      <c r="B1539" s="4" t="s">
        <v>3951</v>
      </c>
      <c r="C1539" s="4" t="s">
        <v>39</v>
      </c>
      <c r="D1539" s="6"/>
      <c r="E1539" s="3" t="str">
        <f t="shared" si="3"/>
        <v>現存</v>
      </c>
      <c r="F1539" s="3" t="s">
        <v>116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521</v>
      </c>
      <c r="Q1539" s="3"/>
      <c r="R1539" s="3"/>
      <c r="S1539" s="6"/>
      <c r="T1539" s="6"/>
      <c r="U1539" s="6"/>
    </row>
    <row r="1540" ht="15.75" customHeight="1">
      <c r="A1540" s="4" t="s">
        <v>3952</v>
      </c>
      <c r="B1540" s="4" t="s">
        <v>3953</v>
      </c>
      <c r="C1540" s="4" t="s">
        <v>39</v>
      </c>
      <c r="D1540" s="6"/>
      <c r="E1540" s="3" t="str">
        <f t="shared" si="3"/>
        <v>現存</v>
      </c>
      <c r="F1540" s="3" t="s">
        <v>3183</v>
      </c>
      <c r="G1540" s="6"/>
      <c r="H1540" s="3" t="str">
        <f t="shared" si="4"/>
        <v>4,9,10</v>
      </c>
      <c r="I1540" s="3" t="s">
        <v>322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521</v>
      </c>
      <c r="Q1540" s="3"/>
      <c r="R1540" s="3"/>
      <c r="S1540" s="6"/>
      <c r="T1540" s="6"/>
      <c r="U1540" s="8" t="s">
        <v>3954</v>
      </c>
    </row>
    <row r="1541" ht="15.75" customHeight="1">
      <c r="A1541" s="4" t="s">
        <v>3955</v>
      </c>
      <c r="B1541" s="4" t="s">
        <v>3956</v>
      </c>
      <c r="C1541" s="4" t="s">
        <v>39</v>
      </c>
      <c r="D1541" s="6"/>
      <c r="E1541" s="3" t="str">
        <f t="shared" si="3"/>
        <v>現存</v>
      </c>
      <c r="F1541" s="3" t="s">
        <v>156</v>
      </c>
      <c r="G1541" s="6"/>
      <c r="H1541" s="3" t="str">
        <f t="shared" si="4"/>
        <v>4</v>
      </c>
      <c r="I1541" s="3" t="s">
        <v>335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521</v>
      </c>
      <c r="Q1541" s="3"/>
      <c r="R1541" s="3"/>
      <c r="S1541" s="6"/>
      <c r="T1541" s="6"/>
      <c r="U1541" s="6"/>
    </row>
    <row r="1542" ht="15.75" customHeight="1">
      <c r="A1542" s="4" t="s">
        <v>3957</v>
      </c>
      <c r="B1542" s="4" t="s">
        <v>3958</v>
      </c>
      <c r="C1542" s="4" t="s">
        <v>39</v>
      </c>
      <c r="D1542" s="6"/>
      <c r="E1542" s="3" t="str">
        <f t="shared" si="3"/>
        <v>現存</v>
      </c>
      <c r="F1542" s="3" t="s">
        <v>148</v>
      </c>
      <c r="G1542" s="6"/>
      <c r="H1542" s="3" t="str">
        <f t="shared" si="4"/>
        <v>4,5</v>
      </c>
      <c r="I1542" s="3" t="s">
        <v>160</v>
      </c>
      <c r="J1542" s="3" t="s">
        <v>125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521</v>
      </c>
      <c r="Q1542" s="3"/>
      <c r="R1542" s="3"/>
      <c r="S1542" s="6"/>
      <c r="T1542" s="6"/>
      <c r="U1542" s="8" t="s">
        <v>3959</v>
      </c>
    </row>
    <row r="1543" ht="15.75" customHeight="1">
      <c r="A1543" s="4" t="s">
        <v>3960</v>
      </c>
      <c r="B1543" s="4" t="s">
        <v>3961</v>
      </c>
      <c r="C1543" s="4" t="s">
        <v>39</v>
      </c>
      <c r="D1543" s="6"/>
      <c r="E1543" s="3" t="str">
        <f t="shared" si="3"/>
        <v>現存</v>
      </c>
      <c r="F1543" s="3" t="s">
        <v>148</v>
      </c>
      <c r="G1543" s="6"/>
      <c r="H1543" s="3" t="str">
        <f t="shared" si="4"/>
        <v>4,5</v>
      </c>
      <c r="I1543" s="3" t="s">
        <v>160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521</v>
      </c>
      <c r="Q1543" s="3"/>
      <c r="R1543" s="3"/>
      <c r="S1543" s="6"/>
      <c r="T1543" s="6"/>
      <c r="U1543" s="6"/>
    </row>
    <row r="1544" ht="15.75" customHeight="1">
      <c r="A1544" s="4" t="s">
        <v>3962</v>
      </c>
      <c r="B1544" s="4" t="s">
        <v>3963</v>
      </c>
      <c r="C1544" s="4" t="s">
        <v>39</v>
      </c>
      <c r="D1544" s="6"/>
      <c r="E1544" s="3" t="str">
        <f t="shared" si="3"/>
        <v>現存</v>
      </c>
      <c r="F1544" s="3" t="s">
        <v>148</v>
      </c>
      <c r="G1544" s="6"/>
      <c r="H1544" s="3" t="str">
        <f t="shared" si="4"/>
        <v>4,5</v>
      </c>
      <c r="I1544" s="3" t="s">
        <v>160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521</v>
      </c>
      <c r="Q1544" s="3"/>
      <c r="R1544" s="3"/>
      <c r="S1544" s="6"/>
      <c r="T1544" s="6"/>
      <c r="U1544" s="6"/>
    </row>
    <row r="1545" ht="15.75" customHeight="1">
      <c r="A1545" s="4" t="s">
        <v>3964</v>
      </c>
      <c r="B1545" s="4" t="s">
        <v>3965</v>
      </c>
      <c r="C1545" s="4" t="s">
        <v>39</v>
      </c>
      <c r="D1545" s="6"/>
      <c r="E1545" s="3" t="str">
        <f t="shared" si="3"/>
        <v>現存</v>
      </c>
      <c r="F1545" s="3" t="s">
        <v>156</v>
      </c>
      <c r="G1545" s="6"/>
      <c r="H1545" s="3" t="str">
        <f t="shared" si="4"/>
        <v>4</v>
      </c>
      <c r="I1545" s="3" t="s">
        <v>3966</v>
      </c>
      <c r="J1545" s="3" t="s">
        <v>181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521</v>
      </c>
      <c r="Q1545" s="3"/>
      <c r="R1545" s="3"/>
      <c r="S1545" s="6"/>
      <c r="T1545" s="6"/>
      <c r="U1545" s="6"/>
    </row>
    <row r="1546" ht="15.75" customHeight="1">
      <c r="A1546" s="4" t="s">
        <v>3967</v>
      </c>
      <c r="B1546" s="4" t="s">
        <v>3968</v>
      </c>
      <c r="C1546" s="4" t="s">
        <v>39</v>
      </c>
      <c r="D1546" s="6"/>
      <c r="E1546" s="3" t="str">
        <f t="shared" si="3"/>
        <v>現存</v>
      </c>
      <c r="F1546" s="3" t="s">
        <v>148</v>
      </c>
      <c r="G1546" s="6"/>
      <c r="H1546" s="3" t="str">
        <f t="shared" si="4"/>
        <v>4,5</v>
      </c>
      <c r="I1546" s="3" t="s">
        <v>160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521</v>
      </c>
      <c r="Q1546" s="4" t="s">
        <v>1494</v>
      </c>
      <c r="R1546" s="3"/>
      <c r="S1546" s="6"/>
      <c r="T1546" s="6"/>
      <c r="U1546" s="8" t="s">
        <v>3969</v>
      </c>
    </row>
    <row r="1547" ht="15.75" customHeight="1">
      <c r="A1547" s="4" t="s">
        <v>3970</v>
      </c>
      <c r="B1547" s="4" t="s">
        <v>3971</v>
      </c>
      <c r="C1547" s="4" t="s">
        <v>39</v>
      </c>
      <c r="D1547" s="6"/>
      <c r="E1547" s="3" t="str">
        <f t="shared" si="3"/>
        <v>現存</v>
      </c>
      <c r="F1547" s="3" t="s">
        <v>3972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521</v>
      </c>
      <c r="Q1547" s="3"/>
      <c r="R1547" s="3"/>
      <c r="S1547" s="6"/>
      <c r="T1547" s="6"/>
      <c r="U1547" s="6"/>
    </row>
    <row r="1548" ht="15.75" customHeight="1">
      <c r="A1548" s="4" t="s">
        <v>3973</v>
      </c>
      <c r="B1548" s="4" t="s">
        <v>3974</v>
      </c>
      <c r="C1548" s="4" t="s">
        <v>39</v>
      </c>
      <c r="D1548" s="6"/>
      <c r="E1548" s="3" t="str">
        <f t="shared" si="3"/>
        <v>現存</v>
      </c>
      <c r="F1548" s="3" t="s">
        <v>3975</v>
      </c>
      <c r="G1548" s="6"/>
      <c r="H1548" s="3" t="str">
        <f t="shared" si="4"/>
        <v>4,5,12</v>
      </c>
      <c r="I1548" s="3" t="s">
        <v>426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521</v>
      </c>
      <c r="Q1548" s="3"/>
      <c r="R1548" s="3"/>
      <c r="S1548" s="6"/>
      <c r="T1548" s="6"/>
      <c r="U1548" s="8" t="s">
        <v>3976</v>
      </c>
    </row>
    <row r="1549" ht="15.75" customHeight="1">
      <c r="A1549" s="4" t="s">
        <v>3977</v>
      </c>
      <c r="B1549" s="4" t="s">
        <v>3978</v>
      </c>
      <c r="C1549" s="4" t="s">
        <v>39</v>
      </c>
      <c r="D1549" s="6"/>
      <c r="E1549" s="3" t="str">
        <f t="shared" si="3"/>
        <v>現存</v>
      </c>
      <c r="F1549" s="3" t="s">
        <v>3979</v>
      </c>
      <c r="G1549" s="6"/>
      <c r="H1549" s="3" t="str">
        <f t="shared" si="4"/>
        <v>4,5,6,8,9</v>
      </c>
      <c r="I1549" s="3" t="s">
        <v>145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521</v>
      </c>
      <c r="Q1549" s="3"/>
      <c r="R1549" s="3"/>
      <c r="S1549" s="6"/>
      <c r="T1549" s="6"/>
      <c r="U1549" s="8" t="s">
        <v>3980</v>
      </c>
    </row>
    <row r="1550" ht="15.75" customHeight="1">
      <c r="A1550" s="4" t="s">
        <v>3981</v>
      </c>
      <c r="B1550" s="4" t="s">
        <v>3982</v>
      </c>
      <c r="C1550" s="4" t="s">
        <v>39</v>
      </c>
      <c r="D1550" s="6"/>
      <c r="E1550" s="3" t="str">
        <f t="shared" si="3"/>
        <v>現存</v>
      </c>
      <c r="F1550" s="3" t="s">
        <v>418</v>
      </c>
      <c r="G1550" s="6"/>
      <c r="H1550" s="3" t="str">
        <f t="shared" si="4"/>
        <v>4,6</v>
      </c>
      <c r="I1550" s="3" t="s">
        <v>447</v>
      </c>
      <c r="J1550" s="3" t="s">
        <v>125</v>
      </c>
      <c r="K1550" s="3">
        <v>2.0</v>
      </c>
      <c r="L1550" s="3">
        <v>1.0</v>
      </c>
      <c r="M1550" s="4" t="s">
        <v>43</v>
      </c>
      <c r="N1550" s="3" t="s">
        <v>156</v>
      </c>
      <c r="O1550" s="3"/>
      <c r="P1550" s="4" t="s">
        <v>521</v>
      </c>
      <c r="Q1550" s="3"/>
      <c r="R1550" s="3"/>
      <c r="S1550" s="6"/>
      <c r="T1550" s="6"/>
      <c r="U1550" s="6"/>
    </row>
    <row r="1551" ht="15.75" customHeight="1">
      <c r="A1551" s="4" t="s">
        <v>3983</v>
      </c>
      <c r="B1551" s="4" t="s">
        <v>3984</v>
      </c>
      <c r="C1551" s="4" t="s">
        <v>39</v>
      </c>
      <c r="D1551" s="6"/>
      <c r="E1551" s="3" t="str">
        <f t="shared" si="3"/>
        <v>現存</v>
      </c>
      <c r="F1551" s="3" t="s">
        <v>171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521</v>
      </c>
      <c r="Q1551" s="3"/>
      <c r="R1551" s="3"/>
      <c r="S1551" s="6"/>
      <c r="T1551" s="6"/>
      <c r="U1551" s="6"/>
    </row>
    <row r="1552" ht="15.75" customHeight="1">
      <c r="A1552" s="4" t="s">
        <v>3985</v>
      </c>
      <c r="B1552" s="4" t="s">
        <v>3986</v>
      </c>
      <c r="C1552" s="4" t="s">
        <v>39</v>
      </c>
      <c r="D1552" s="6"/>
      <c r="E1552" s="3" t="str">
        <f t="shared" si="3"/>
        <v>現存</v>
      </c>
      <c r="F1552" s="3" t="s">
        <v>2211</v>
      </c>
      <c r="G1552" s="6"/>
      <c r="H1552" s="3" t="str">
        <f t="shared" si="4"/>
        <v>5,7</v>
      </c>
      <c r="I1552" s="3" t="s">
        <v>557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521</v>
      </c>
      <c r="Q1552" s="3"/>
      <c r="R1552" s="3"/>
      <c r="S1552" s="6"/>
      <c r="T1552" s="6"/>
      <c r="U1552" s="8" t="s">
        <v>3987</v>
      </c>
    </row>
    <row r="1553" ht="15.75" customHeight="1">
      <c r="A1553" s="4" t="s">
        <v>3988</v>
      </c>
      <c r="B1553" s="4" t="s">
        <v>3989</v>
      </c>
      <c r="C1553" s="4" t="s">
        <v>39</v>
      </c>
      <c r="D1553" s="6"/>
      <c r="E1553" s="3" t="str">
        <f t="shared" si="3"/>
        <v>現存</v>
      </c>
      <c r="F1553" s="3" t="s">
        <v>450</v>
      </c>
      <c r="G1553" s="6"/>
      <c r="H1553" s="3" t="str">
        <f t="shared" si="4"/>
        <v>5</v>
      </c>
      <c r="I1553" s="3" t="s">
        <v>107</v>
      </c>
      <c r="J1553" s="3" t="s">
        <v>135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521</v>
      </c>
      <c r="Q1553" s="3"/>
      <c r="R1553" s="3"/>
      <c r="S1553" s="6"/>
      <c r="T1553" s="6"/>
      <c r="U1553" s="8" t="s">
        <v>3990</v>
      </c>
    </row>
    <row r="1554" ht="15.75" customHeight="1">
      <c r="A1554" s="4" t="s">
        <v>3991</v>
      </c>
      <c r="B1554" s="9" t="s">
        <v>3992</v>
      </c>
      <c r="C1554" s="4" t="s">
        <v>39</v>
      </c>
      <c r="D1554" s="6"/>
      <c r="E1554" s="3" t="str">
        <f t="shared" si="3"/>
        <v>現存</v>
      </c>
      <c r="F1554" s="3" t="s">
        <v>2765</v>
      </c>
      <c r="G1554" s="6"/>
      <c r="H1554" s="3" t="str">
        <f t="shared" si="4"/>
        <v>5,6,8,9,10,11</v>
      </c>
      <c r="I1554" s="3" t="s">
        <v>857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156</v>
      </c>
      <c r="O1554" s="3"/>
      <c r="P1554" s="4" t="s">
        <v>521</v>
      </c>
      <c r="Q1554" s="3"/>
      <c r="R1554" s="3"/>
      <c r="S1554" s="6"/>
      <c r="T1554" s="6"/>
      <c r="U1554" s="8" t="s">
        <v>3993</v>
      </c>
    </row>
    <row r="1555" ht="15.75" customHeight="1">
      <c r="A1555" s="4" t="s">
        <v>3994</v>
      </c>
      <c r="B1555" s="4" t="s">
        <v>3995</v>
      </c>
      <c r="C1555" s="4" t="s">
        <v>39</v>
      </c>
      <c r="D1555" s="6"/>
      <c r="E1555" s="3" t="str">
        <f t="shared" si="3"/>
        <v>現存</v>
      </c>
      <c r="F1555" s="3" t="s">
        <v>3582</v>
      </c>
      <c r="G1555" s="6"/>
      <c r="H1555" s="3" t="str">
        <f t="shared" si="4"/>
        <v>5,6,8,10</v>
      </c>
      <c r="I1555" s="3" t="s">
        <v>444</v>
      </c>
      <c r="J1555" s="3" t="s">
        <v>125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521</v>
      </c>
      <c r="Q1555" s="3"/>
      <c r="R1555" s="3"/>
      <c r="S1555" s="6"/>
      <c r="T1555" s="6"/>
      <c r="U1555" s="6"/>
    </row>
    <row r="1556" ht="15.75" customHeight="1">
      <c r="A1556" s="4" t="s">
        <v>3996</v>
      </c>
      <c r="B1556" s="4" t="s">
        <v>3997</v>
      </c>
      <c r="C1556" s="4" t="s">
        <v>39</v>
      </c>
      <c r="D1556" s="6"/>
      <c r="E1556" s="3" t="str">
        <f t="shared" si="3"/>
        <v>現存</v>
      </c>
      <c r="F1556" s="3" t="s">
        <v>167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521</v>
      </c>
      <c r="Q1556" s="3"/>
      <c r="R1556" s="3"/>
      <c r="S1556" s="6"/>
      <c r="T1556" s="6"/>
      <c r="U1556" s="8" t="s">
        <v>3998</v>
      </c>
    </row>
    <row r="1557" ht="15.75" customHeight="1">
      <c r="A1557" s="4" t="s">
        <v>3999</v>
      </c>
      <c r="B1557" s="4" t="s">
        <v>2366</v>
      </c>
      <c r="C1557" s="4" t="s">
        <v>39</v>
      </c>
      <c r="D1557" s="6"/>
      <c r="E1557" s="3" t="str">
        <f t="shared" si="3"/>
        <v>現存</v>
      </c>
      <c r="F1557" s="3" t="s">
        <v>2222</v>
      </c>
      <c r="G1557" s="6"/>
      <c r="H1557" s="3" t="str">
        <f t="shared" si="4"/>
        <v>5,7,10</v>
      </c>
      <c r="I1557" s="3" t="s">
        <v>1865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521</v>
      </c>
      <c r="Q1557" s="4" t="s">
        <v>1494</v>
      </c>
      <c r="R1557" s="3"/>
      <c r="S1557" s="6"/>
      <c r="T1557" s="6"/>
      <c r="U1557" s="6"/>
    </row>
    <row r="1558" ht="15.75" customHeight="1">
      <c r="A1558" s="4" t="s">
        <v>4000</v>
      </c>
      <c r="B1558" s="4" t="s">
        <v>3921</v>
      </c>
      <c r="C1558" s="4" t="s">
        <v>39</v>
      </c>
      <c r="D1558" s="6"/>
      <c r="E1558" s="3" t="str">
        <f t="shared" si="3"/>
        <v>現存</v>
      </c>
      <c r="F1558" s="3" t="s">
        <v>283</v>
      </c>
      <c r="G1558" s="6"/>
      <c r="H1558" s="3" t="str">
        <f t="shared" si="4"/>
        <v>5,6,8</v>
      </c>
      <c r="I1558" s="3" t="s">
        <v>271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521</v>
      </c>
      <c r="Q1558" s="4" t="s">
        <v>1494</v>
      </c>
      <c r="R1558" s="3"/>
      <c r="S1558" s="6"/>
      <c r="T1558" s="6"/>
      <c r="U1558" s="8" t="s">
        <v>4001</v>
      </c>
    </row>
    <row r="1559" ht="15.75" customHeight="1">
      <c r="A1559" s="4" t="s">
        <v>4002</v>
      </c>
      <c r="B1559" s="4" t="s">
        <v>4003</v>
      </c>
      <c r="C1559" s="4" t="s">
        <v>39</v>
      </c>
      <c r="D1559" s="6"/>
      <c r="E1559" s="3" t="str">
        <f t="shared" si="3"/>
        <v>現存</v>
      </c>
      <c r="F1559" s="3" t="s">
        <v>972</v>
      </c>
      <c r="G1559" s="6"/>
      <c r="H1559" s="3" t="str">
        <f t="shared" si="4"/>
        <v>6,9</v>
      </c>
      <c r="I1559" s="3" t="s">
        <v>444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521</v>
      </c>
      <c r="Q1559" s="3"/>
      <c r="R1559" s="3"/>
      <c r="S1559" s="6"/>
      <c r="T1559" s="6"/>
      <c r="U1559" s="6"/>
    </row>
    <row r="1560" ht="15.75" customHeight="1">
      <c r="A1560" s="4" t="s">
        <v>4004</v>
      </c>
      <c r="B1560" s="4" t="s">
        <v>4005</v>
      </c>
      <c r="C1560" s="4" t="s">
        <v>39</v>
      </c>
      <c r="D1560" s="6"/>
      <c r="E1560" s="3" t="str">
        <f t="shared" si="3"/>
        <v>現存</v>
      </c>
      <c r="F1560" s="3" t="s">
        <v>4006</v>
      </c>
      <c r="G1560" s="6"/>
      <c r="H1560" s="3" t="str">
        <f t="shared" si="4"/>
        <v>6,7,8,11,12</v>
      </c>
      <c r="I1560" s="3" t="s">
        <v>977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521</v>
      </c>
      <c r="Q1560" s="3"/>
      <c r="R1560" s="3"/>
      <c r="S1560" s="6"/>
      <c r="T1560" s="6"/>
      <c r="U1560" s="6"/>
    </row>
    <row r="1561" ht="15.75" customHeight="1">
      <c r="A1561" s="4" t="s">
        <v>4007</v>
      </c>
      <c r="B1561" s="4" t="s">
        <v>4008</v>
      </c>
      <c r="C1561" s="4" t="s">
        <v>39</v>
      </c>
      <c r="D1561" s="6"/>
      <c r="E1561" s="3" t="str">
        <f t="shared" si="3"/>
        <v>現存</v>
      </c>
      <c r="F1561" s="3" t="s">
        <v>1220</v>
      </c>
      <c r="G1561" s="6"/>
      <c r="H1561" s="3" t="str">
        <f t="shared" si="4"/>
        <v>6,8</v>
      </c>
      <c r="I1561" s="3" t="s">
        <v>1207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521</v>
      </c>
      <c r="Q1561" s="3"/>
      <c r="R1561" s="3"/>
      <c r="S1561" s="6"/>
      <c r="T1561" s="6"/>
      <c r="U1561" s="6"/>
    </row>
    <row r="1562" ht="15.75" customHeight="1">
      <c r="A1562" s="4" t="s">
        <v>4009</v>
      </c>
      <c r="B1562" s="4" t="s">
        <v>4010</v>
      </c>
      <c r="C1562" s="4" t="s">
        <v>39</v>
      </c>
      <c r="D1562" s="6"/>
      <c r="E1562" s="3" t="str">
        <f t="shared" si="3"/>
        <v>現存</v>
      </c>
      <c r="F1562" s="3" t="s">
        <v>2392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521</v>
      </c>
      <c r="Q1562" s="3"/>
      <c r="R1562" s="3"/>
      <c r="S1562" s="6"/>
      <c r="T1562" s="6"/>
      <c r="U1562" s="6"/>
    </row>
    <row r="1563" ht="15.75" customHeight="1">
      <c r="A1563" s="4" t="s">
        <v>4011</v>
      </c>
      <c r="B1563" s="4" t="s">
        <v>4012</v>
      </c>
      <c r="C1563" s="4" t="s">
        <v>39</v>
      </c>
      <c r="D1563" s="6"/>
      <c r="E1563" s="3" t="str">
        <f t="shared" si="3"/>
        <v>現存</v>
      </c>
      <c r="F1563" s="3" t="s">
        <v>314</v>
      </c>
      <c r="G1563" s="6"/>
      <c r="H1563" s="3" t="str">
        <f t="shared" si="4"/>
        <v>7</v>
      </c>
      <c r="I1563" s="3" t="s">
        <v>644</v>
      </c>
      <c r="J1563" s="3" t="s">
        <v>125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521</v>
      </c>
      <c r="Q1563" s="3"/>
      <c r="R1563" s="3"/>
      <c r="S1563" s="6"/>
      <c r="T1563" s="6"/>
      <c r="U1563" s="6"/>
    </row>
    <row r="1564" ht="15.75" customHeight="1">
      <c r="A1564" s="4" t="s">
        <v>4013</v>
      </c>
      <c r="B1564" s="4" t="s">
        <v>4014</v>
      </c>
      <c r="C1564" s="4" t="s">
        <v>39</v>
      </c>
      <c r="D1564" s="6"/>
      <c r="E1564" s="3" t="str">
        <f t="shared" si="3"/>
        <v>現存</v>
      </c>
      <c r="F1564" s="3" t="s">
        <v>175</v>
      </c>
      <c r="G1564" s="6"/>
      <c r="H1564" s="3" t="str">
        <f t="shared" si="4"/>
        <v>8,9</v>
      </c>
      <c r="I1564" s="3" t="s">
        <v>322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521</v>
      </c>
      <c r="Q1564" s="3"/>
      <c r="R1564" s="3"/>
      <c r="S1564" s="6"/>
      <c r="T1564" s="6"/>
      <c r="U1564" s="6"/>
    </row>
    <row r="1565" ht="15.75" customHeight="1">
      <c r="A1565" s="4" t="s">
        <v>4015</v>
      </c>
      <c r="B1565" s="4" t="s">
        <v>4016</v>
      </c>
      <c r="C1565" s="4" t="s">
        <v>39</v>
      </c>
      <c r="D1565" s="6"/>
      <c r="E1565" s="3" t="str">
        <f t="shared" si="3"/>
        <v>現存</v>
      </c>
      <c r="F1565" s="3" t="s">
        <v>813</v>
      </c>
      <c r="G1565" s="6"/>
      <c r="H1565" s="3" t="str">
        <f t="shared" si="4"/>
        <v>8,10</v>
      </c>
      <c r="I1565" s="3" t="s">
        <v>577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521</v>
      </c>
      <c r="Q1565" s="3"/>
      <c r="R1565" s="3"/>
      <c r="S1565" s="6"/>
      <c r="T1565" s="6"/>
      <c r="U1565" s="8" t="s">
        <v>4017</v>
      </c>
    </row>
    <row r="1566" ht="15.75" customHeight="1">
      <c r="A1566" s="4" t="s">
        <v>4018</v>
      </c>
      <c r="B1566" s="4" t="s">
        <v>4019</v>
      </c>
      <c r="C1566" s="4" t="s">
        <v>170</v>
      </c>
      <c r="D1566" s="8" t="s">
        <v>381</v>
      </c>
      <c r="E1566" s="3" t="str">
        <f t="shared" si="3"/>
        <v>不收錄</v>
      </c>
      <c r="F1566" s="3" t="s">
        <v>179</v>
      </c>
      <c r="G1566" s="6"/>
      <c r="H1566" s="3" t="str">
        <f t="shared" si="4"/>
        <v>8</v>
      </c>
      <c r="I1566" s="3" t="s">
        <v>4020</v>
      </c>
      <c r="J1566" s="3" t="s">
        <v>181</v>
      </c>
      <c r="K1566" s="3">
        <v>1.0</v>
      </c>
      <c r="L1566" s="3">
        <v>0.0</v>
      </c>
      <c r="M1566" s="4" t="s">
        <v>236</v>
      </c>
      <c r="N1566" s="3"/>
      <c r="O1566" s="3"/>
      <c r="P1566" s="4" t="s">
        <v>521</v>
      </c>
      <c r="Q1566" s="3"/>
      <c r="R1566" s="3"/>
      <c r="S1566" s="6"/>
      <c r="T1566" s="6"/>
      <c r="U1566" s="6"/>
    </row>
    <row r="1567" ht="15.75" customHeight="1">
      <c r="A1567" s="4" t="s">
        <v>4021</v>
      </c>
      <c r="B1567" s="9" t="s">
        <v>3992</v>
      </c>
      <c r="C1567" s="4" t="s">
        <v>39</v>
      </c>
      <c r="D1567" s="6"/>
      <c r="E1567" s="3" t="str">
        <f t="shared" si="3"/>
        <v>現存</v>
      </c>
      <c r="F1567" s="3" t="s">
        <v>179</v>
      </c>
      <c r="G1567" s="6"/>
      <c r="H1567" s="3" t="str">
        <f t="shared" si="4"/>
        <v>8</v>
      </c>
      <c r="I1567" s="3" t="s">
        <v>271</v>
      </c>
      <c r="J1567" s="3" t="s">
        <v>135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521</v>
      </c>
      <c r="Q1567" s="3"/>
      <c r="R1567" s="3"/>
      <c r="S1567" s="6"/>
      <c r="T1567" s="6"/>
      <c r="U1567" s="6"/>
    </row>
    <row r="1568" ht="15.75" customHeight="1">
      <c r="A1568" s="4" t="s">
        <v>4022</v>
      </c>
      <c r="B1568" s="4" t="s">
        <v>4023</v>
      </c>
      <c r="C1568" s="4" t="s">
        <v>39</v>
      </c>
      <c r="D1568" s="6"/>
      <c r="E1568" s="3" t="str">
        <f t="shared" si="3"/>
        <v>現存</v>
      </c>
      <c r="F1568" s="3" t="s">
        <v>813</v>
      </c>
      <c r="G1568" s="6"/>
      <c r="H1568" s="3" t="str">
        <f t="shared" si="4"/>
        <v>8,10</v>
      </c>
      <c r="I1568" s="3" t="s">
        <v>2018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521</v>
      </c>
      <c r="Q1568" s="3"/>
      <c r="R1568" s="3"/>
      <c r="S1568" s="6"/>
      <c r="T1568" s="6"/>
      <c r="U1568" s="8" t="s">
        <v>4024</v>
      </c>
    </row>
    <row r="1569" ht="15.75" customHeight="1">
      <c r="A1569" s="4" t="s">
        <v>4025</v>
      </c>
      <c r="B1569" s="4" t="s">
        <v>4026</v>
      </c>
      <c r="C1569" s="4" t="s">
        <v>39</v>
      </c>
      <c r="D1569" s="6"/>
      <c r="E1569" s="3" t="str">
        <f t="shared" si="3"/>
        <v>現存</v>
      </c>
      <c r="F1569" s="3" t="s">
        <v>179</v>
      </c>
      <c r="G1569" s="6"/>
      <c r="H1569" s="3" t="str">
        <f t="shared" si="4"/>
        <v>8</v>
      </c>
      <c r="I1569" s="3" t="s">
        <v>303</v>
      </c>
      <c r="J1569" s="3" t="s">
        <v>135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521</v>
      </c>
      <c r="Q1569" s="3"/>
      <c r="R1569" s="3"/>
      <c r="S1569" s="6"/>
      <c r="T1569" s="6"/>
      <c r="U1569" s="6"/>
    </row>
    <row r="1570" ht="15.75" customHeight="1">
      <c r="A1570" s="4" t="s">
        <v>4027</v>
      </c>
      <c r="B1570" s="4" t="s">
        <v>4028</v>
      </c>
      <c r="C1570" s="4" t="s">
        <v>39</v>
      </c>
      <c r="D1570" s="6"/>
      <c r="E1570" s="3" t="str">
        <f t="shared" si="3"/>
        <v>現存</v>
      </c>
      <c r="F1570" s="3" t="s">
        <v>498</v>
      </c>
      <c r="G1570" s="6"/>
      <c r="H1570" s="3" t="str">
        <f t="shared" si="4"/>
        <v>9,10</v>
      </c>
      <c r="I1570" s="3" t="s">
        <v>92</v>
      </c>
      <c r="J1570" s="3" t="s">
        <v>125</v>
      </c>
      <c r="K1570" s="3">
        <v>3.0</v>
      </c>
      <c r="L1570" s="3">
        <v>1.0</v>
      </c>
      <c r="M1570" s="4" t="s">
        <v>43</v>
      </c>
      <c r="N1570" s="3" t="s">
        <v>156</v>
      </c>
      <c r="O1570" s="3"/>
      <c r="P1570" s="4" t="s">
        <v>521</v>
      </c>
      <c r="Q1570" s="3"/>
      <c r="R1570" s="3"/>
      <c r="S1570" s="6"/>
      <c r="T1570" s="6"/>
      <c r="U1570" s="8" t="s">
        <v>4029</v>
      </c>
    </row>
    <row r="1571" ht="15.75" customHeight="1">
      <c r="A1571" s="4" t="s">
        <v>4030</v>
      </c>
      <c r="B1571" s="4" t="s">
        <v>4031</v>
      </c>
      <c r="C1571" s="4" t="s">
        <v>39</v>
      </c>
      <c r="D1571" s="8" t="s">
        <v>170</v>
      </c>
      <c r="E1571" s="3" t="str">
        <f t="shared" si="3"/>
        <v>近年未見</v>
      </c>
      <c r="F1571" s="3" t="s">
        <v>326</v>
      </c>
      <c r="G1571" s="6"/>
      <c r="H1571" s="3" t="str">
        <f t="shared" si="4"/>
        <v>9</v>
      </c>
      <c r="I1571" s="3" t="s">
        <v>4032</v>
      </c>
      <c r="J1571" s="3" t="s">
        <v>893</v>
      </c>
      <c r="K1571" s="3">
        <v>1.0</v>
      </c>
      <c r="L1571" s="3">
        <v>1.0</v>
      </c>
      <c r="M1571" s="9" t="s">
        <v>236</v>
      </c>
      <c r="N1571" s="3" t="s">
        <v>44</v>
      </c>
      <c r="O1571" s="3"/>
      <c r="P1571" s="4" t="s">
        <v>521</v>
      </c>
      <c r="Q1571" s="3"/>
      <c r="R1571" s="3"/>
      <c r="S1571" s="6"/>
      <c r="T1571" s="6"/>
      <c r="U1571" s="6"/>
    </row>
    <row r="1572" ht="15.75" customHeight="1">
      <c r="A1572" s="4" t="s">
        <v>4033</v>
      </c>
      <c r="B1572" s="4" t="s">
        <v>4034</v>
      </c>
      <c r="C1572" s="4" t="s">
        <v>39</v>
      </c>
      <c r="D1572" s="8" t="s">
        <v>170</v>
      </c>
      <c r="E1572" s="3" t="str">
        <f t="shared" si="3"/>
        <v>近年未見</v>
      </c>
      <c r="F1572" s="3" t="s">
        <v>326</v>
      </c>
      <c r="G1572" s="6"/>
      <c r="H1572" s="3" t="str">
        <f t="shared" si="4"/>
        <v>9</v>
      </c>
      <c r="I1572" s="3" t="s">
        <v>3022</v>
      </c>
      <c r="J1572" s="3" t="s">
        <v>893</v>
      </c>
      <c r="K1572" s="3">
        <v>1.0</v>
      </c>
      <c r="L1572" s="3">
        <v>1.0</v>
      </c>
      <c r="M1572" s="9" t="s">
        <v>236</v>
      </c>
      <c r="N1572" s="3" t="s">
        <v>44</v>
      </c>
      <c r="O1572" s="3"/>
      <c r="P1572" s="4" t="s">
        <v>521</v>
      </c>
      <c r="Q1572" s="3"/>
      <c r="R1572" s="3"/>
      <c r="S1572" s="6"/>
      <c r="T1572" s="6"/>
      <c r="U1572" s="6"/>
    </row>
    <row r="1573" ht="15.75" customHeight="1">
      <c r="A1573" s="4" t="s">
        <v>4035</v>
      </c>
      <c r="B1573" s="4" t="s">
        <v>4036</v>
      </c>
      <c r="C1573" s="4" t="s">
        <v>39</v>
      </c>
      <c r="D1573" s="6"/>
      <c r="E1573" s="3" t="str">
        <f t="shared" si="3"/>
        <v>現存</v>
      </c>
      <c r="F1573" s="3" t="s">
        <v>498</v>
      </c>
      <c r="G1573" s="6"/>
      <c r="H1573" s="3" t="str">
        <f t="shared" si="4"/>
        <v>9,10</v>
      </c>
      <c r="I1573" s="3" t="s">
        <v>887</v>
      </c>
      <c r="J1573" s="3" t="s">
        <v>181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521</v>
      </c>
      <c r="Q1573" s="3"/>
      <c r="R1573" s="3"/>
      <c r="S1573" s="6"/>
      <c r="T1573" s="6"/>
      <c r="U1573" s="6"/>
    </row>
    <row r="1574" ht="15.75" customHeight="1">
      <c r="A1574" s="4" t="s">
        <v>4037</v>
      </c>
      <c r="B1574" s="4" t="s">
        <v>4038</v>
      </c>
      <c r="C1574" s="4" t="s">
        <v>39</v>
      </c>
      <c r="D1574" s="8" t="s">
        <v>381</v>
      </c>
      <c r="E1574" s="3" t="str">
        <f t="shared" si="3"/>
        <v>不收錄</v>
      </c>
      <c r="F1574" s="3" t="s">
        <v>188</v>
      </c>
      <c r="G1574" s="6"/>
      <c r="H1574" s="3" t="str">
        <f t="shared" si="4"/>
        <v>10</v>
      </c>
      <c r="I1574" s="3" t="s">
        <v>577</v>
      </c>
      <c r="J1574" s="3" t="s">
        <v>42</v>
      </c>
      <c r="K1574" s="3">
        <v>1.0</v>
      </c>
      <c r="L1574" s="3">
        <v>1.0</v>
      </c>
      <c r="M1574" s="9" t="s">
        <v>236</v>
      </c>
      <c r="N1574" s="3" t="s">
        <v>44</v>
      </c>
      <c r="O1574" s="3"/>
      <c r="P1574" s="4" t="s">
        <v>521</v>
      </c>
      <c r="Q1574" s="3"/>
      <c r="R1574" s="3"/>
      <c r="S1574" s="6"/>
      <c r="T1574" s="6"/>
      <c r="U1574" s="6"/>
    </row>
    <row r="1575" ht="15.75" customHeight="1">
      <c r="A1575" s="4" t="s">
        <v>4039</v>
      </c>
      <c r="B1575" s="4" t="s">
        <v>4040</v>
      </c>
      <c r="C1575" s="4" t="s">
        <v>39</v>
      </c>
      <c r="D1575" s="6"/>
      <c r="E1575" s="3" t="str">
        <f t="shared" si="3"/>
        <v>現存</v>
      </c>
      <c r="F1575" s="3" t="s">
        <v>188</v>
      </c>
      <c r="G1575" s="6"/>
      <c r="H1575" s="3" t="str">
        <f t="shared" si="4"/>
        <v>10</v>
      </c>
      <c r="I1575" s="3" t="s">
        <v>2018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521</v>
      </c>
      <c r="Q1575" s="3"/>
      <c r="R1575" s="3"/>
      <c r="S1575" s="6"/>
      <c r="T1575" s="6"/>
      <c r="U1575" s="6"/>
    </row>
    <row r="1576" ht="15.75" customHeight="1">
      <c r="A1576" s="4" t="s">
        <v>4041</v>
      </c>
      <c r="B1576" s="4" t="s">
        <v>4042</v>
      </c>
      <c r="C1576" s="4" t="s">
        <v>39</v>
      </c>
      <c r="D1576" s="6"/>
      <c r="E1576" s="3" t="str">
        <f t="shared" si="3"/>
        <v>現存</v>
      </c>
      <c r="F1576" s="3" t="s">
        <v>515</v>
      </c>
      <c r="G1576" s="6"/>
      <c r="H1576" s="3" t="str">
        <f t="shared" si="4"/>
        <v>11</v>
      </c>
      <c r="I1576" s="3" t="s">
        <v>1086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521</v>
      </c>
      <c r="Q1576" s="3"/>
      <c r="R1576" s="3"/>
      <c r="S1576" s="6"/>
      <c r="T1576" s="6"/>
      <c r="U1576" s="6"/>
    </row>
    <row r="1577" ht="15.75" customHeight="1">
      <c r="A1577" s="4" t="s">
        <v>4043</v>
      </c>
      <c r="B1577" s="4" t="s">
        <v>4044</v>
      </c>
      <c r="C1577" s="4" t="s">
        <v>39</v>
      </c>
      <c r="D1577" s="6"/>
      <c r="E1577" s="3" t="str">
        <f t="shared" si="3"/>
        <v>現存</v>
      </c>
      <c r="F1577" s="3" t="s">
        <v>515</v>
      </c>
      <c r="G1577" s="6"/>
      <c r="H1577" s="3" t="str">
        <f t="shared" si="4"/>
        <v>11</v>
      </c>
      <c r="I1577" s="3" t="s">
        <v>1815</v>
      </c>
      <c r="J1577" s="3" t="s">
        <v>181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521</v>
      </c>
      <c r="Q1577" s="3"/>
      <c r="R1577" s="3"/>
      <c r="S1577" s="6"/>
      <c r="T1577" s="6"/>
      <c r="U1577" s="6"/>
    </row>
    <row r="1578" ht="15.75" customHeight="1">
      <c r="A1578" s="10" t="s">
        <v>4045</v>
      </c>
      <c r="B1578" s="9" t="s">
        <v>4046</v>
      </c>
      <c r="C1578" s="4"/>
      <c r="D1578" s="12" t="s">
        <v>39</v>
      </c>
      <c r="E1578" s="3" t="str">
        <f t="shared" si="3"/>
        <v>現存</v>
      </c>
      <c r="F1578" s="7">
        <v>9.0</v>
      </c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3094</v>
      </c>
      <c r="Q1578" s="3"/>
      <c r="R1578" s="3"/>
      <c r="S1578" s="13"/>
      <c r="T1578" s="13"/>
      <c r="U1578" s="12" t="s">
        <v>4047</v>
      </c>
    </row>
    <row r="1579" ht="15.75" customHeight="1">
      <c r="A1579" s="14" t="s">
        <v>4048</v>
      </c>
      <c r="B1579" s="15" t="s">
        <v>4049</v>
      </c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15" t="s">
        <v>521</v>
      </c>
      <c r="Q1579" s="3"/>
      <c r="R1579" s="3"/>
      <c r="S1579" s="13"/>
      <c r="T1579" s="13"/>
      <c r="U1579" s="13"/>
    </row>
    <row r="1580" ht="15.75" customHeight="1">
      <c r="A1580" s="14" t="s">
        <v>4050</v>
      </c>
      <c r="B1580" s="15" t="s">
        <v>4051</v>
      </c>
      <c r="C1580" s="4"/>
      <c r="D1580" s="13"/>
      <c r="E1580" s="3"/>
      <c r="F1580" s="3"/>
      <c r="G1580" s="12" t="s">
        <v>498</v>
      </c>
      <c r="H1580" s="3"/>
      <c r="I1580" s="3"/>
      <c r="J1580" s="3"/>
      <c r="K1580" s="3"/>
      <c r="L1580" s="3"/>
      <c r="M1580" s="4"/>
      <c r="N1580" s="3"/>
      <c r="O1580" s="3"/>
      <c r="P1580" s="15" t="s">
        <v>2175</v>
      </c>
      <c r="Q1580" s="3"/>
      <c r="R1580" s="3"/>
      <c r="S1580" s="13"/>
      <c r="T1580" s="13"/>
      <c r="U1580" s="13"/>
    </row>
    <row r="1581" ht="15.75" customHeight="1">
      <c r="A1581" s="14" t="s">
        <v>4052</v>
      </c>
      <c r="B1581" s="15" t="s">
        <v>4053</v>
      </c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15" t="s">
        <v>1093</v>
      </c>
      <c r="Q1581" s="3"/>
      <c r="R1581" s="3"/>
      <c r="S1581" s="13"/>
      <c r="T1581" s="13"/>
      <c r="U1581" s="13"/>
    </row>
    <row r="1582" ht="15.75" customHeight="1">
      <c r="A1582" s="14" t="s">
        <v>4054</v>
      </c>
      <c r="B1582" s="15" t="s">
        <v>4055</v>
      </c>
      <c r="C1582" s="4"/>
      <c r="D1582" s="13"/>
      <c r="E1582" s="3"/>
      <c r="F1582" s="3"/>
      <c r="G1582" s="12">
        <v>10.0</v>
      </c>
      <c r="H1582" s="3"/>
      <c r="I1582" s="3"/>
      <c r="J1582" s="3"/>
      <c r="K1582" s="3"/>
      <c r="L1582" s="3"/>
      <c r="M1582" s="4"/>
      <c r="N1582" s="3"/>
      <c r="O1582" s="3"/>
      <c r="P1582" s="15" t="s">
        <v>1093</v>
      </c>
      <c r="Q1582" s="3"/>
      <c r="R1582" s="3"/>
      <c r="S1582" s="13"/>
      <c r="T1582" s="13"/>
      <c r="U1582" s="13"/>
    </row>
    <row r="1583" ht="15.75" customHeight="1">
      <c r="A1583" s="14" t="s">
        <v>4056</v>
      </c>
      <c r="B1583" s="15" t="s">
        <v>4057</v>
      </c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15" t="s">
        <v>521</v>
      </c>
      <c r="Q1583" s="3"/>
      <c r="R1583" s="3"/>
      <c r="S1583" s="13"/>
      <c r="T1583" s="13"/>
      <c r="U1583" s="13"/>
    </row>
    <row r="1584" ht="15.75" customHeight="1">
      <c r="A1584" s="14" t="s">
        <v>4058</v>
      </c>
      <c r="B1584" s="15" t="s">
        <v>1801</v>
      </c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15" t="s">
        <v>521</v>
      </c>
      <c r="Q1584" s="3"/>
      <c r="R1584" s="3"/>
      <c r="S1584" s="13"/>
      <c r="T1584" s="13"/>
      <c r="U1584" s="13"/>
    </row>
    <row r="1585" ht="15.75" customHeight="1">
      <c r="A1585" s="14" t="s">
        <v>4059</v>
      </c>
      <c r="B1585" s="15" t="s">
        <v>3016</v>
      </c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16"/>
      <c r="Q1585" s="3"/>
      <c r="R1585" s="3"/>
      <c r="S1585" s="13"/>
      <c r="T1585" s="13"/>
      <c r="U1585" s="13"/>
    </row>
    <row r="1586" ht="15.75" customHeight="1">
      <c r="A1586" s="14" t="s">
        <v>4060</v>
      </c>
      <c r="B1586" s="15" t="s">
        <v>2535</v>
      </c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15" t="s">
        <v>2175</v>
      </c>
      <c r="Q1586" s="3"/>
      <c r="R1586" s="3"/>
      <c r="S1586" s="13"/>
      <c r="T1586" s="13"/>
      <c r="U1586" s="13"/>
    </row>
    <row r="1587" ht="15.75" customHeight="1">
      <c r="A1587" s="14" t="s">
        <v>4061</v>
      </c>
      <c r="B1587" s="15" t="s">
        <v>1493</v>
      </c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17" t="s">
        <v>548</v>
      </c>
      <c r="Q1587" s="3"/>
      <c r="R1587" s="3"/>
      <c r="S1587" s="13"/>
      <c r="T1587" s="13"/>
      <c r="U1587" s="13"/>
    </row>
    <row r="1588" ht="15.75" customHeight="1">
      <c r="A1588" s="14" t="s">
        <v>4062</v>
      </c>
      <c r="B1588" s="15" t="s">
        <v>2492</v>
      </c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16"/>
      <c r="Q1588" s="3"/>
      <c r="R1588" s="3"/>
      <c r="S1588" s="13"/>
      <c r="T1588" s="13"/>
      <c r="U1588" s="13"/>
    </row>
    <row r="1589" ht="15.75" customHeight="1">
      <c r="A1589" s="14" t="s">
        <v>4063</v>
      </c>
      <c r="B1589" s="15" t="s">
        <v>2976</v>
      </c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16"/>
      <c r="Q1589" s="3"/>
      <c r="R1589" s="3"/>
      <c r="S1589" s="13"/>
      <c r="T1589" s="13"/>
      <c r="U1589" s="13"/>
    </row>
    <row r="1590" ht="15.75" customHeight="1">
      <c r="A1590" s="14" t="s">
        <v>4064</v>
      </c>
      <c r="B1590" s="15" t="s">
        <v>2352</v>
      </c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16"/>
      <c r="Q1590" s="3"/>
      <c r="R1590" s="3"/>
      <c r="S1590" s="13"/>
      <c r="T1590" s="13"/>
      <c r="U1590" s="13"/>
    </row>
    <row r="1591" ht="15.75" customHeight="1">
      <c r="A1591" s="14" t="s">
        <v>4065</v>
      </c>
      <c r="B1591" s="15" t="s">
        <v>2514</v>
      </c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16"/>
      <c r="Q1591" s="3"/>
      <c r="R1591" s="3"/>
      <c r="S1591" s="13"/>
      <c r="T1591" s="13"/>
      <c r="U1591" s="13"/>
    </row>
    <row r="1592" ht="15.75" customHeight="1">
      <c r="A1592" s="14" t="s">
        <v>4066</v>
      </c>
      <c r="B1592" s="15" t="s">
        <v>2680</v>
      </c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16"/>
      <c r="Q1592" s="3"/>
      <c r="R1592" s="3"/>
      <c r="S1592" s="13"/>
      <c r="T1592" s="13"/>
      <c r="U1592" s="13"/>
    </row>
    <row r="1593" ht="15.75" customHeight="1">
      <c r="A1593" s="14" t="s">
        <v>4067</v>
      </c>
      <c r="B1593" s="15" t="s">
        <v>2801</v>
      </c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17" t="s">
        <v>4068</v>
      </c>
      <c r="Q1593" s="3"/>
      <c r="R1593" s="3"/>
      <c r="S1593" s="13"/>
      <c r="T1593" s="13"/>
      <c r="U1593" s="13"/>
    </row>
    <row r="1594" ht="15.75" customHeight="1">
      <c r="A1594" s="14" t="s">
        <v>4069</v>
      </c>
      <c r="B1594" s="15" t="s">
        <v>2309</v>
      </c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16"/>
      <c r="Q1594" s="3"/>
      <c r="R1594" s="3"/>
      <c r="S1594" s="13"/>
      <c r="T1594" s="13"/>
      <c r="U1594" s="13"/>
    </row>
    <row r="1595" ht="15.75" customHeight="1">
      <c r="A1595" s="14" t="s">
        <v>4070</v>
      </c>
      <c r="B1595" s="15" t="s">
        <v>2197</v>
      </c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17" t="s">
        <v>4068</v>
      </c>
      <c r="Q1595" s="3"/>
      <c r="R1595" s="3"/>
      <c r="S1595" s="13"/>
      <c r="T1595" s="13"/>
      <c r="U1595" s="13"/>
    </row>
    <row r="1596" ht="15.75" customHeight="1">
      <c r="A1596" s="14" t="s">
        <v>4071</v>
      </c>
      <c r="B1596" s="15" t="s">
        <v>1135</v>
      </c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16"/>
      <c r="Q1596" s="3"/>
      <c r="R1596" s="3"/>
      <c r="S1596" s="13"/>
      <c r="T1596" s="13"/>
      <c r="U1596" s="13"/>
    </row>
    <row r="1597" ht="15.75" customHeight="1">
      <c r="A1597" s="14" t="s">
        <v>4072</v>
      </c>
      <c r="B1597" s="15" t="s">
        <v>3079</v>
      </c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16"/>
      <c r="Q1597" s="3"/>
      <c r="R1597" s="3"/>
      <c r="S1597" s="13"/>
      <c r="T1597" s="13"/>
      <c r="U1597" s="13"/>
    </row>
    <row r="1598" ht="15.75" customHeight="1">
      <c r="A1598" s="14" t="s">
        <v>4073</v>
      </c>
      <c r="B1598" s="15" t="s">
        <v>3209</v>
      </c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16"/>
      <c r="Q1598" s="3"/>
      <c r="R1598" s="3"/>
      <c r="S1598" s="13"/>
      <c r="T1598" s="13"/>
      <c r="U1598" s="13"/>
    </row>
    <row r="1599" ht="15.75" customHeight="1">
      <c r="A1599" s="14" t="s">
        <v>4074</v>
      </c>
      <c r="B1599" s="15" t="s">
        <v>424</v>
      </c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17" t="s">
        <v>4075</v>
      </c>
      <c r="Q1599" s="3"/>
      <c r="R1599" s="3"/>
      <c r="S1599" s="13"/>
      <c r="T1599" s="13"/>
      <c r="U1599" s="13"/>
    </row>
    <row r="1600" ht="15.75" customHeight="1">
      <c r="A1600" s="14" t="s">
        <v>4076</v>
      </c>
      <c r="B1600" s="15" t="s">
        <v>3995</v>
      </c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16"/>
      <c r="Q1600" s="3"/>
      <c r="R1600" s="3"/>
      <c r="S1600" s="13"/>
      <c r="T1600" s="13"/>
      <c r="U1600" s="13"/>
    </row>
    <row r="1601" ht="15.75" customHeight="1">
      <c r="A1601" s="14" t="s">
        <v>4077</v>
      </c>
      <c r="B1601" s="15" t="s">
        <v>3968</v>
      </c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17" t="s">
        <v>521</v>
      </c>
      <c r="Q1601" s="3"/>
      <c r="R1601" s="3"/>
      <c r="S1601" s="13"/>
      <c r="T1601" s="13"/>
      <c r="U1601" s="13"/>
    </row>
    <row r="1602" ht="15.75" customHeight="1">
      <c r="A1602" s="14" t="s">
        <v>4078</v>
      </c>
      <c r="B1602" s="15" t="s">
        <v>3974</v>
      </c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17" t="s">
        <v>521</v>
      </c>
      <c r="Q1602" s="3"/>
      <c r="R1602" s="3"/>
      <c r="S1602" s="13"/>
      <c r="T1602" s="13"/>
      <c r="U1602" s="13"/>
    </row>
    <row r="1603" ht="15.75" customHeight="1">
      <c r="A1603" s="14" t="s">
        <v>4079</v>
      </c>
      <c r="B1603" s="15" t="s">
        <v>3961</v>
      </c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17" t="s">
        <v>521</v>
      </c>
      <c r="Q1603" s="3"/>
      <c r="R1603" s="3"/>
      <c r="S1603" s="13"/>
      <c r="T1603" s="13"/>
      <c r="U1603" s="13"/>
    </row>
    <row r="1604" ht="15.75" customHeight="1">
      <c r="A1604" s="14" t="s">
        <v>4080</v>
      </c>
      <c r="B1604" s="15" t="s">
        <v>480</v>
      </c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17" t="s">
        <v>718</v>
      </c>
      <c r="Q1604" s="3"/>
      <c r="R1604" s="3"/>
      <c r="S1604" s="13"/>
      <c r="T1604" s="13"/>
      <c r="U1604" s="13"/>
    </row>
    <row r="1605" ht="15.75" customHeight="1">
      <c r="A1605" s="14" t="s">
        <v>4081</v>
      </c>
      <c r="B1605" s="15" t="s">
        <v>3942</v>
      </c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16"/>
      <c r="Q1605" s="3"/>
      <c r="R1605" s="3"/>
      <c r="S1605" s="13"/>
      <c r="T1605" s="13"/>
      <c r="U1605" s="13"/>
    </row>
    <row r="1606" ht="15.75" customHeight="1">
      <c r="A1606" s="14" t="s">
        <v>4082</v>
      </c>
      <c r="B1606" s="15" t="s">
        <v>3224</v>
      </c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16"/>
      <c r="Q1606" s="3"/>
      <c r="R1606" s="3"/>
      <c r="S1606" s="13"/>
      <c r="T1606" s="13"/>
      <c r="U1606" s="13"/>
    </row>
    <row r="1607" ht="15.75" customHeight="1">
      <c r="A1607" s="14" t="s">
        <v>4083</v>
      </c>
      <c r="B1607" s="15" t="s">
        <v>3224</v>
      </c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16"/>
      <c r="Q1607" s="3"/>
      <c r="R1607" s="3"/>
      <c r="S1607" s="13"/>
      <c r="T1607" s="13"/>
      <c r="U1607" s="13"/>
    </row>
    <row r="1608" ht="15.75" customHeight="1">
      <c r="A1608" s="14" t="s">
        <v>4084</v>
      </c>
      <c r="B1608" s="15" t="s">
        <v>3096</v>
      </c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16"/>
      <c r="Q1608" s="3"/>
      <c r="R1608" s="3"/>
      <c r="S1608" s="13"/>
      <c r="T1608" s="13"/>
      <c r="U1608" s="13"/>
    </row>
    <row r="1609" ht="15.75" customHeight="1">
      <c r="A1609" s="14" t="s">
        <v>4085</v>
      </c>
      <c r="B1609" s="15" t="s">
        <v>356</v>
      </c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16"/>
      <c r="Q1609" s="3"/>
      <c r="R1609" s="3"/>
      <c r="S1609" s="13"/>
      <c r="T1609" s="13"/>
      <c r="U1609" s="13"/>
    </row>
    <row r="1610" ht="15.75" customHeight="1">
      <c r="A1610" s="14" t="s">
        <v>4086</v>
      </c>
      <c r="B1610" s="15" t="s">
        <v>3068</v>
      </c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16"/>
      <c r="Q1610" s="3"/>
      <c r="R1610" s="3"/>
      <c r="S1610" s="13"/>
      <c r="T1610" s="13"/>
      <c r="U1610" s="13"/>
    </row>
    <row r="1611" ht="15.75" customHeight="1">
      <c r="A1611" s="14" t="s">
        <v>4087</v>
      </c>
      <c r="B1611" s="15" t="s">
        <v>3982</v>
      </c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16"/>
      <c r="Q1611" s="3"/>
      <c r="R1611" s="3"/>
      <c r="S1611" s="13"/>
      <c r="T1611" s="13"/>
      <c r="U1611" s="13"/>
    </row>
    <row r="1612" ht="15.75" customHeight="1">
      <c r="A1612" s="14" t="s">
        <v>4088</v>
      </c>
      <c r="B1612" s="15" t="s">
        <v>3903</v>
      </c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16"/>
      <c r="Q1612" s="3"/>
      <c r="R1612" s="3"/>
      <c r="S1612" s="13"/>
      <c r="T1612" s="13"/>
      <c r="U1612" s="13"/>
    </row>
    <row r="1613" ht="15.75" customHeight="1">
      <c r="A1613" s="14" t="s">
        <v>4089</v>
      </c>
      <c r="B1613" s="15" t="s">
        <v>3924</v>
      </c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17" t="s">
        <v>521</v>
      </c>
      <c r="Q1613" s="3"/>
      <c r="R1613" s="3"/>
      <c r="S1613" s="13"/>
      <c r="T1613" s="13"/>
      <c r="U1613" s="13"/>
    </row>
    <row r="1614" ht="15.75" customHeight="1">
      <c r="A1614" s="14" t="s">
        <v>4090</v>
      </c>
      <c r="B1614" s="15" t="s">
        <v>3171</v>
      </c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16"/>
      <c r="Q1614" s="3"/>
      <c r="R1614" s="3"/>
      <c r="S1614" s="13"/>
      <c r="T1614" s="13"/>
      <c r="U1614" s="13"/>
    </row>
    <row r="1615" ht="15.75" customHeight="1">
      <c r="A1615" s="14" t="s">
        <v>4091</v>
      </c>
      <c r="B1615" s="15" t="s">
        <v>350</v>
      </c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16"/>
      <c r="Q1615" s="3"/>
      <c r="R1615" s="3"/>
      <c r="S1615" s="13"/>
      <c r="T1615" s="13"/>
      <c r="U1615" s="13"/>
    </row>
    <row r="1616" ht="15.75" customHeight="1">
      <c r="A1616" s="14" t="s">
        <v>4092</v>
      </c>
      <c r="B1616" s="15" t="s">
        <v>362</v>
      </c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16"/>
      <c r="Q1616" s="3"/>
      <c r="R1616" s="3"/>
      <c r="S1616" s="13"/>
      <c r="T1616" s="13"/>
      <c r="U1616" s="13"/>
    </row>
    <row r="1617" ht="15.75" customHeight="1">
      <c r="A1617" s="14" t="s">
        <v>4093</v>
      </c>
      <c r="B1617" s="15" t="s">
        <v>1135</v>
      </c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16"/>
      <c r="Q1617" s="3"/>
      <c r="R1617" s="3"/>
      <c r="S1617" s="13"/>
      <c r="T1617" s="13"/>
      <c r="U1617" s="13"/>
    </row>
    <row r="1618" ht="15.75" customHeight="1">
      <c r="A1618" s="14" t="s">
        <v>4094</v>
      </c>
      <c r="B1618" s="15" t="s">
        <v>3316</v>
      </c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17" t="s">
        <v>4075</v>
      </c>
      <c r="Q1618" s="3"/>
      <c r="R1618" s="3"/>
      <c r="S1618" s="13"/>
      <c r="T1618" s="13"/>
      <c r="U1618" s="13"/>
    </row>
    <row r="1619" ht="15.75" customHeight="1">
      <c r="A1619" s="14" t="s">
        <v>4095</v>
      </c>
      <c r="B1619" s="15" t="s">
        <v>3741</v>
      </c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17" t="s">
        <v>718</v>
      </c>
      <c r="Q1619" s="3"/>
      <c r="R1619" s="3"/>
      <c r="S1619" s="13"/>
      <c r="T1619" s="13"/>
      <c r="U1619" s="13"/>
    </row>
    <row r="1620" ht="15.75" customHeight="1">
      <c r="A1620" s="14" t="s">
        <v>4096</v>
      </c>
      <c r="B1620" s="15" t="s">
        <v>1767</v>
      </c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16"/>
      <c r="Q1620" s="3"/>
      <c r="R1620" s="3"/>
      <c r="S1620" s="13"/>
      <c r="T1620" s="13"/>
      <c r="U1620" s="13"/>
    </row>
    <row r="1621" ht="15.75" customHeight="1">
      <c r="A1621" s="14" t="s">
        <v>4097</v>
      </c>
      <c r="B1621" s="15" t="s">
        <v>1763</v>
      </c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16"/>
      <c r="Q1621" s="3"/>
      <c r="R1621" s="3"/>
      <c r="S1621" s="13"/>
      <c r="T1621" s="13"/>
      <c r="U1621" s="13"/>
    </row>
    <row r="1622" ht="15.75" customHeight="1">
      <c r="A1622" s="14" t="s">
        <v>4098</v>
      </c>
      <c r="B1622" s="15" t="s">
        <v>3309</v>
      </c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16"/>
      <c r="Q1622" s="3"/>
      <c r="R1622" s="3"/>
      <c r="S1622" s="13"/>
      <c r="T1622" s="13"/>
      <c r="U1622" s="13"/>
    </row>
    <row r="1623" ht="15.75" customHeight="1">
      <c r="A1623" s="14" t="s">
        <v>4099</v>
      </c>
      <c r="B1623" s="15" t="s">
        <v>1162</v>
      </c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16"/>
      <c r="Q1623" s="3"/>
      <c r="R1623" s="3"/>
      <c r="S1623" s="13"/>
      <c r="T1623" s="13"/>
      <c r="U1623" s="13"/>
    </row>
    <row r="1624" ht="15.75" customHeight="1">
      <c r="A1624" s="14" t="s">
        <v>4100</v>
      </c>
      <c r="B1624" s="15" t="s">
        <v>1740</v>
      </c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16"/>
      <c r="Q1624" s="3"/>
      <c r="R1624" s="3"/>
      <c r="S1624" s="13"/>
      <c r="T1624" s="13"/>
      <c r="U1624" s="13"/>
    </row>
    <row r="1625" ht="15.75" customHeight="1">
      <c r="A1625" s="14" t="s">
        <v>4101</v>
      </c>
      <c r="B1625" s="15" t="s">
        <v>1719</v>
      </c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16"/>
      <c r="Q1625" s="3"/>
      <c r="R1625" s="3"/>
      <c r="S1625" s="13"/>
      <c r="T1625" s="13"/>
      <c r="U1625" s="13"/>
    </row>
    <row r="1626" ht="15.75" customHeight="1">
      <c r="A1626" s="14" t="s">
        <v>4102</v>
      </c>
      <c r="B1626" s="15" t="s">
        <v>3658</v>
      </c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16"/>
      <c r="Q1626" s="3"/>
      <c r="R1626" s="3"/>
      <c r="S1626" s="13"/>
      <c r="T1626" s="13"/>
      <c r="U1626" s="13"/>
    </row>
    <row r="1627" ht="15.75" customHeight="1">
      <c r="A1627" s="14" t="s">
        <v>4103</v>
      </c>
      <c r="B1627" s="15" t="s">
        <v>3674</v>
      </c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16"/>
      <c r="Q1627" s="3"/>
      <c r="R1627" s="3"/>
      <c r="S1627" s="13"/>
      <c r="T1627" s="13"/>
      <c r="U1627" s="13"/>
    </row>
    <row r="1628" ht="15.75" customHeight="1">
      <c r="A1628" s="14" t="s">
        <v>4104</v>
      </c>
      <c r="B1628" s="15" t="s">
        <v>1135</v>
      </c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16"/>
      <c r="Q1628" s="3"/>
      <c r="R1628" s="3"/>
      <c r="S1628" s="13"/>
      <c r="T1628" s="13"/>
      <c r="U1628" s="13"/>
    </row>
    <row r="1629" ht="15.75" customHeight="1">
      <c r="A1629" s="14" t="s">
        <v>4105</v>
      </c>
      <c r="B1629" s="15" t="s">
        <v>2843</v>
      </c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16"/>
      <c r="Q1629" s="3"/>
      <c r="R1629" s="3"/>
      <c r="S1629" s="13"/>
      <c r="T1629" s="13"/>
      <c r="U1629" s="13"/>
    </row>
    <row r="1630" ht="15.75" customHeight="1">
      <c r="A1630" s="14" t="s">
        <v>4106</v>
      </c>
      <c r="B1630" s="15" t="s">
        <v>2927</v>
      </c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17" t="s">
        <v>4107</v>
      </c>
      <c r="Q1630" s="3"/>
      <c r="R1630" s="3"/>
      <c r="S1630" s="13"/>
      <c r="T1630" s="13"/>
      <c r="U1630" s="13"/>
    </row>
    <row r="1631" ht="15.75" customHeight="1">
      <c r="A1631" s="14" t="s">
        <v>4108</v>
      </c>
      <c r="B1631" s="15" t="s">
        <v>3070</v>
      </c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16"/>
      <c r="Q1631" s="3"/>
      <c r="R1631" s="3"/>
      <c r="S1631" s="13"/>
      <c r="T1631" s="13"/>
      <c r="U1631" s="13"/>
    </row>
    <row r="1632" ht="15.75" customHeight="1">
      <c r="A1632" s="14" t="s">
        <v>4109</v>
      </c>
      <c r="B1632" s="15" t="s">
        <v>832</v>
      </c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16"/>
      <c r="Q1632" s="3"/>
      <c r="R1632" s="3"/>
      <c r="S1632" s="13"/>
      <c r="T1632" s="13"/>
      <c r="U1632" s="13"/>
    </row>
    <row r="1633" ht="15.75" customHeight="1">
      <c r="A1633" s="14" t="s">
        <v>4110</v>
      </c>
      <c r="B1633" s="15" t="s">
        <v>3294</v>
      </c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17" t="s">
        <v>3260</v>
      </c>
      <c r="Q1633" s="3"/>
      <c r="R1633" s="3"/>
      <c r="S1633" s="13"/>
      <c r="T1633" s="13"/>
      <c r="U1633" s="13"/>
    </row>
    <row r="1634" ht="15.75" customHeight="1">
      <c r="A1634" s="14" t="s">
        <v>4111</v>
      </c>
      <c r="B1634" s="15" t="s">
        <v>3936</v>
      </c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16"/>
      <c r="Q1634" s="3"/>
      <c r="R1634" s="3"/>
      <c r="S1634" s="13"/>
      <c r="T1634" s="13"/>
      <c r="U1634" s="13"/>
    </row>
    <row r="1635" ht="15.75" customHeight="1">
      <c r="A1635" s="14" t="s">
        <v>4112</v>
      </c>
      <c r="B1635" s="15" t="s">
        <v>997</v>
      </c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16"/>
      <c r="Q1635" s="3"/>
      <c r="R1635" s="3"/>
      <c r="S1635" s="13"/>
      <c r="T1635" s="13"/>
      <c r="U1635" s="13"/>
    </row>
    <row r="1636" ht="15.75" customHeight="1">
      <c r="A1636" s="14" t="s">
        <v>4113</v>
      </c>
      <c r="B1636" s="15" t="s">
        <v>2893</v>
      </c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17" t="s">
        <v>2175</v>
      </c>
      <c r="Q1636" s="3"/>
      <c r="R1636" s="3"/>
      <c r="S1636" s="13"/>
      <c r="T1636" s="13"/>
      <c r="U1636" s="13"/>
    </row>
    <row r="1637" ht="15.75" customHeight="1">
      <c r="A1637" s="14" t="s">
        <v>4114</v>
      </c>
      <c r="B1637" s="15" t="s">
        <v>1420</v>
      </c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16"/>
      <c r="Q1637" s="3"/>
      <c r="R1637" s="3"/>
      <c r="S1637" s="13"/>
      <c r="T1637" s="13"/>
      <c r="U1637" s="13"/>
    </row>
    <row r="1638" ht="15.75" customHeight="1">
      <c r="A1638" s="14" t="s">
        <v>4115</v>
      </c>
      <c r="B1638" s="15" t="s">
        <v>3476</v>
      </c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17" t="s">
        <v>2175</v>
      </c>
      <c r="Q1638" s="3"/>
      <c r="R1638" s="3"/>
      <c r="S1638" s="13"/>
      <c r="T1638" s="13"/>
      <c r="U1638" s="13"/>
    </row>
    <row r="1639" ht="15.75" customHeight="1">
      <c r="A1639" s="14" t="s">
        <v>4116</v>
      </c>
      <c r="B1639" s="15" t="s">
        <v>667</v>
      </c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16"/>
      <c r="Q1639" s="3"/>
      <c r="R1639" s="3"/>
      <c r="S1639" s="13"/>
      <c r="T1639" s="13"/>
      <c r="U1639" s="13"/>
    </row>
    <row r="1640" ht="15.75" customHeight="1">
      <c r="A1640" s="14" t="s">
        <v>4117</v>
      </c>
      <c r="B1640" s="15" t="s">
        <v>296</v>
      </c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16"/>
      <c r="Q1640" s="3"/>
      <c r="R1640" s="3"/>
      <c r="S1640" s="13"/>
      <c r="T1640" s="13"/>
      <c r="U1640" s="13"/>
    </row>
    <row r="1641" ht="15.75" customHeight="1">
      <c r="A1641" s="14" t="s">
        <v>4118</v>
      </c>
      <c r="B1641" s="15" t="s">
        <v>2423</v>
      </c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16"/>
      <c r="Q1641" s="3"/>
      <c r="R1641" s="3"/>
      <c r="S1641" s="13"/>
      <c r="T1641" s="13"/>
      <c r="U1641" s="13"/>
    </row>
    <row r="1642" ht="15.75" customHeight="1">
      <c r="A1642" s="14" t="s">
        <v>4119</v>
      </c>
      <c r="B1642" s="15" t="s">
        <v>1253</v>
      </c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17" t="s">
        <v>2175</v>
      </c>
      <c r="Q1642" s="3"/>
      <c r="R1642" s="3"/>
      <c r="S1642" s="13"/>
      <c r="T1642" s="13"/>
      <c r="U1642" s="13"/>
    </row>
    <row r="1643" ht="15.75" customHeight="1">
      <c r="A1643" s="14" t="s">
        <v>4120</v>
      </c>
      <c r="B1643" s="15" t="s">
        <v>2655</v>
      </c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16"/>
      <c r="Q1643" s="3"/>
      <c r="R1643" s="3"/>
      <c r="S1643" s="13"/>
      <c r="T1643" s="13"/>
      <c r="U1643" s="13"/>
    </row>
    <row r="1644" ht="15.75" customHeight="1">
      <c r="A1644" s="14" t="s">
        <v>4121</v>
      </c>
      <c r="B1644" s="15" t="s">
        <v>226</v>
      </c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16"/>
      <c r="Q1644" s="3"/>
      <c r="R1644" s="3"/>
      <c r="S1644" s="13"/>
      <c r="T1644" s="13"/>
      <c r="U1644" s="13"/>
    </row>
    <row r="1645" ht="15.75" customHeight="1">
      <c r="A1645" s="14" t="s">
        <v>4122</v>
      </c>
      <c r="B1645" s="15" t="s">
        <v>2908</v>
      </c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16"/>
      <c r="Q1645" s="3"/>
      <c r="R1645" s="3"/>
      <c r="S1645" s="13"/>
      <c r="T1645" s="13"/>
      <c r="U1645" s="13"/>
    </row>
    <row r="1646" ht="15.75" customHeight="1">
      <c r="A1646" s="14" t="s">
        <v>4123</v>
      </c>
      <c r="B1646" s="15" t="s">
        <v>269</v>
      </c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16"/>
      <c r="Q1646" s="3"/>
      <c r="R1646" s="3"/>
      <c r="S1646" s="13"/>
      <c r="T1646" s="13"/>
      <c r="U1646" s="13"/>
    </row>
    <row r="1647" ht="15.75" customHeight="1">
      <c r="A1647" s="14" t="s">
        <v>4124</v>
      </c>
      <c r="B1647" s="15" t="s">
        <v>3509</v>
      </c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16"/>
      <c r="Q1647" s="3"/>
      <c r="R1647" s="3"/>
      <c r="S1647" s="13"/>
      <c r="T1647" s="13"/>
      <c r="U1647" s="13"/>
    </row>
    <row r="1648" ht="15.75" customHeight="1">
      <c r="A1648" s="14" t="s">
        <v>4125</v>
      </c>
      <c r="B1648" s="15" t="s">
        <v>3275</v>
      </c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16"/>
      <c r="Q1648" s="3"/>
      <c r="R1648" s="3"/>
      <c r="S1648" s="13"/>
      <c r="T1648" s="13"/>
      <c r="U1648" s="13"/>
    </row>
    <row r="1649" ht="15.75" customHeight="1">
      <c r="A1649" s="14" t="s">
        <v>4126</v>
      </c>
      <c r="B1649" s="15" t="s">
        <v>3275</v>
      </c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16"/>
      <c r="Q1649" s="3"/>
      <c r="R1649" s="3"/>
      <c r="S1649" s="13"/>
      <c r="T1649" s="13"/>
      <c r="U1649" s="13"/>
    </row>
    <row r="1650" ht="15.75" customHeight="1">
      <c r="A1650" s="14" t="s">
        <v>4127</v>
      </c>
      <c r="B1650" s="15" t="s">
        <v>1705</v>
      </c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16"/>
      <c r="Q1650" s="3"/>
      <c r="R1650" s="3"/>
      <c r="S1650" s="13"/>
      <c r="T1650" s="13"/>
      <c r="U1650" s="13"/>
    </row>
    <row r="1651" ht="15.75" customHeight="1">
      <c r="A1651" s="14" t="s">
        <v>4128</v>
      </c>
      <c r="B1651" s="15" t="s">
        <v>1267</v>
      </c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16"/>
      <c r="Q1651" s="3"/>
      <c r="R1651" s="3"/>
      <c r="S1651" s="13"/>
      <c r="T1651" s="13"/>
      <c r="U1651" s="13"/>
    </row>
    <row r="1652" ht="15.75" customHeight="1">
      <c r="A1652" s="14" t="s">
        <v>4129</v>
      </c>
      <c r="B1652" s="15" t="s">
        <v>3982</v>
      </c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16"/>
      <c r="Q1652" s="3"/>
      <c r="R1652" s="3"/>
      <c r="S1652" s="13"/>
      <c r="T1652" s="13"/>
      <c r="U1652" s="13"/>
    </row>
    <row r="1653" ht="15.75" customHeight="1">
      <c r="A1653" s="14" t="s">
        <v>4130</v>
      </c>
      <c r="B1653" s="15" t="s">
        <v>1310</v>
      </c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16"/>
      <c r="Q1653" s="3"/>
      <c r="R1653" s="3"/>
      <c r="S1653" s="13"/>
      <c r="T1653" s="13"/>
      <c r="U1653" s="13"/>
    </row>
    <row r="1654" ht="15.75" customHeight="1">
      <c r="A1654" s="14" t="s">
        <v>4131</v>
      </c>
      <c r="B1654" s="15" t="s">
        <v>708</v>
      </c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16"/>
      <c r="Q1654" s="3"/>
      <c r="R1654" s="3"/>
      <c r="S1654" s="13"/>
      <c r="T1654" s="13"/>
      <c r="U1654" s="13"/>
    </row>
    <row r="1655" ht="15.75" customHeight="1">
      <c r="A1655" s="14" t="s">
        <v>4132</v>
      </c>
      <c r="B1655" s="15" t="s">
        <v>720</v>
      </c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16"/>
      <c r="Q1655" s="3"/>
      <c r="R1655" s="3"/>
      <c r="S1655" s="13"/>
      <c r="T1655" s="13"/>
      <c r="U1655" s="13"/>
    </row>
    <row r="1656" ht="15.75" customHeight="1">
      <c r="A1656" s="14" t="s">
        <v>4133</v>
      </c>
      <c r="B1656" s="15" t="s">
        <v>1119</v>
      </c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16"/>
      <c r="Q1656" s="3"/>
      <c r="R1656" s="3"/>
      <c r="S1656" s="13"/>
      <c r="T1656" s="13"/>
      <c r="U1656" s="13"/>
    </row>
    <row r="1657" ht="15.75" customHeight="1">
      <c r="A1657" s="14" t="s">
        <v>4134</v>
      </c>
      <c r="B1657" s="15" t="s">
        <v>1190</v>
      </c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16"/>
      <c r="Q1657" s="3"/>
      <c r="R1657" s="3"/>
      <c r="S1657" s="13"/>
      <c r="T1657" s="13"/>
      <c r="U1657" s="13"/>
    </row>
    <row r="1658" ht="15.75" customHeight="1">
      <c r="A1658" s="14" t="s">
        <v>4135</v>
      </c>
      <c r="B1658" s="15" t="s">
        <v>1840</v>
      </c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16"/>
      <c r="Q1658" s="3"/>
      <c r="R1658" s="3"/>
      <c r="S1658" s="13"/>
      <c r="T1658" s="13"/>
      <c r="U1658" s="13"/>
    </row>
    <row r="1659" ht="15.75" customHeight="1">
      <c r="A1659" s="14" t="s">
        <v>4136</v>
      </c>
      <c r="B1659" s="15" t="s">
        <v>2124</v>
      </c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16"/>
      <c r="Q1659" s="3"/>
      <c r="R1659" s="3"/>
      <c r="S1659" s="13"/>
      <c r="T1659" s="13"/>
      <c r="U1659" s="13"/>
    </row>
    <row r="1660" ht="15.75" customHeight="1">
      <c r="A1660" s="14" t="s">
        <v>4137</v>
      </c>
      <c r="B1660" s="15" t="s">
        <v>3940</v>
      </c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16"/>
      <c r="Q1660" s="3"/>
      <c r="R1660" s="3"/>
      <c r="S1660" s="13"/>
      <c r="T1660" s="13"/>
      <c r="U1660" s="13"/>
    </row>
    <row r="1661" ht="15.75" customHeight="1">
      <c r="A1661" s="14" t="s">
        <v>4138</v>
      </c>
      <c r="B1661" s="15" t="s">
        <v>3262</v>
      </c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16"/>
      <c r="Q1661" s="3"/>
      <c r="R1661" s="3"/>
      <c r="S1661" s="13"/>
      <c r="T1661" s="13"/>
      <c r="U1661" s="13"/>
    </row>
    <row r="1662" ht="15.75" customHeight="1">
      <c r="A1662" s="14" t="s">
        <v>4139</v>
      </c>
      <c r="B1662" s="15" t="s">
        <v>4055</v>
      </c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15" t="s">
        <v>1093</v>
      </c>
      <c r="Q1662" s="3"/>
      <c r="R1662" s="3"/>
      <c r="S1662" s="13"/>
      <c r="T1662" s="13"/>
      <c r="U1662" s="13"/>
    </row>
    <row r="1663" ht="15.75" customHeight="1">
      <c r="A1663" s="14" t="s">
        <v>4140</v>
      </c>
      <c r="B1663" s="15" t="s">
        <v>4053</v>
      </c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15" t="s">
        <v>1093</v>
      </c>
      <c r="Q1663" s="3"/>
      <c r="R1663" s="3"/>
      <c r="S1663" s="13"/>
      <c r="T1663" s="13"/>
      <c r="U1663" s="13"/>
    </row>
    <row r="1664" ht="15.75" customHeight="1">
      <c r="A1664" s="14" t="s">
        <v>4141</v>
      </c>
      <c r="B1664" s="15" t="s">
        <v>4057</v>
      </c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15" t="s">
        <v>521</v>
      </c>
      <c r="Q1664" s="3"/>
      <c r="R1664" s="3"/>
      <c r="S1664" s="13"/>
      <c r="T1664" s="13"/>
      <c r="U1664" s="13"/>
    </row>
    <row r="1665" ht="15.75" customHeight="1">
      <c r="A1665" s="14" t="s">
        <v>4142</v>
      </c>
      <c r="B1665" s="15" t="s">
        <v>4049</v>
      </c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15" t="s">
        <v>521</v>
      </c>
      <c r="Q1665" s="3"/>
      <c r="R1665" s="3"/>
      <c r="S1665" s="13"/>
      <c r="T1665" s="13"/>
      <c r="U1665" s="13"/>
    </row>
    <row r="1666" ht="15.75" customHeight="1">
      <c r="A1666" s="14" t="s">
        <v>4143</v>
      </c>
      <c r="B1666" s="15" t="s">
        <v>4055</v>
      </c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15" t="s">
        <v>1821</v>
      </c>
      <c r="Q1666" s="3"/>
      <c r="R1666" s="3"/>
      <c r="S1666" s="13"/>
      <c r="T1666" s="13"/>
      <c r="U1666" s="13"/>
    </row>
    <row r="1667" ht="15.75" customHeight="1">
      <c r="A1667" s="14" t="s">
        <v>4144</v>
      </c>
      <c r="B1667" s="15" t="s">
        <v>4010</v>
      </c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15" t="s">
        <v>1093</v>
      </c>
      <c r="Q1667" s="3"/>
      <c r="R1667" s="3"/>
      <c r="S1667" s="13"/>
      <c r="T1667" s="13"/>
      <c r="U1667" s="13"/>
    </row>
    <row r="1668" ht="15.75" customHeight="1">
      <c r="A1668" s="14" t="s">
        <v>4145</v>
      </c>
      <c r="B1668" s="15" t="s">
        <v>1091</v>
      </c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15" t="s">
        <v>45</v>
      </c>
      <c r="Q1668" s="3"/>
      <c r="R1668" s="3"/>
      <c r="S1668" s="13"/>
      <c r="T1668" s="13"/>
      <c r="U1668" s="13"/>
    </row>
    <row r="1669" ht="15.75" customHeight="1">
      <c r="A1669" s="14" t="s">
        <v>4146</v>
      </c>
      <c r="B1669" s="15" t="s">
        <v>3280</v>
      </c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15" t="s">
        <v>823</v>
      </c>
      <c r="Q1669" s="3"/>
      <c r="R1669" s="3"/>
      <c r="S1669" s="13"/>
      <c r="T1669" s="13"/>
      <c r="U1669" s="13"/>
    </row>
    <row r="1670" ht="15.75" customHeight="1">
      <c r="A1670" s="14" t="s">
        <v>4147</v>
      </c>
      <c r="B1670" s="15" t="s">
        <v>1112</v>
      </c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15" t="s">
        <v>1093</v>
      </c>
      <c r="Q1670" s="3"/>
      <c r="R1670" s="3"/>
      <c r="S1670" s="13"/>
      <c r="T1670" s="13"/>
      <c r="U1670" s="13"/>
    </row>
    <row r="1671" ht="15.75" customHeight="1">
      <c r="A1671" s="14" t="s">
        <v>4148</v>
      </c>
      <c r="B1671" s="15" t="s">
        <v>3443</v>
      </c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15" t="s">
        <v>3260</v>
      </c>
      <c r="Q1671" s="3"/>
      <c r="R1671" s="3"/>
      <c r="S1671" s="13"/>
      <c r="T1671" s="13"/>
      <c r="U1671" s="13"/>
    </row>
    <row r="1672" ht="15.75" customHeight="1">
      <c r="A1672" s="14" t="s">
        <v>4149</v>
      </c>
      <c r="B1672" s="15" t="s">
        <v>3443</v>
      </c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15" t="s">
        <v>823</v>
      </c>
      <c r="Q1672" s="3"/>
      <c r="R1672" s="3"/>
      <c r="S1672" s="13"/>
      <c r="T1672" s="13"/>
      <c r="U1672" s="13"/>
    </row>
    <row r="1673" ht="15.75" customHeight="1">
      <c r="A1673" s="14" t="s">
        <v>4150</v>
      </c>
      <c r="B1673" s="15" t="s">
        <v>874</v>
      </c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15" t="s">
        <v>823</v>
      </c>
      <c r="Q1673" s="3"/>
      <c r="R1673" s="3"/>
      <c r="S1673" s="13"/>
      <c r="T1673" s="13"/>
      <c r="U1673" s="13"/>
    </row>
    <row r="1674" ht="15.75" customHeight="1">
      <c r="A1674" s="14" t="s">
        <v>4151</v>
      </c>
      <c r="B1674" s="15" t="s">
        <v>711</v>
      </c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15" t="s">
        <v>2175</v>
      </c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8" t="s">
        <v>4152</v>
      </c>
      <c r="B1" s="19" t="s">
        <v>16</v>
      </c>
      <c r="C1" s="19" t="s">
        <v>17</v>
      </c>
      <c r="D1" s="19" t="s">
        <v>4153</v>
      </c>
      <c r="E1" s="19" t="s">
        <v>4154</v>
      </c>
      <c r="F1" s="19" t="s">
        <v>29</v>
      </c>
      <c r="G1" s="19" t="s">
        <v>30</v>
      </c>
      <c r="H1" s="19" t="s">
        <v>33</v>
      </c>
    </row>
    <row r="2">
      <c r="A2" s="4" t="s">
        <v>4155</v>
      </c>
      <c r="B2" s="4" t="s">
        <v>4156</v>
      </c>
      <c r="C2" s="4" t="s">
        <v>2648</v>
      </c>
      <c r="D2" s="3">
        <v>25.0331298</v>
      </c>
      <c r="E2" s="3">
        <v>121.509383</v>
      </c>
      <c r="F2" s="3" t="s">
        <v>130</v>
      </c>
      <c r="G2" s="4" t="s">
        <v>4157</v>
      </c>
      <c r="H2" s="3"/>
    </row>
    <row r="3">
      <c r="A3" s="4" t="s">
        <v>4158</v>
      </c>
      <c r="B3" s="4" t="s">
        <v>4159</v>
      </c>
      <c r="C3" s="4" t="s">
        <v>2657</v>
      </c>
      <c r="D3" s="3">
        <v>25.0331346</v>
      </c>
      <c r="E3" s="3">
        <v>121.5095385</v>
      </c>
      <c r="F3" s="3" t="s">
        <v>130</v>
      </c>
      <c r="G3" s="4" t="s">
        <v>4157</v>
      </c>
      <c r="H3" s="3"/>
    </row>
    <row r="4">
      <c r="A4" s="4" t="s">
        <v>4160</v>
      </c>
      <c r="B4" s="4" t="s">
        <v>4161</v>
      </c>
      <c r="C4" s="4" t="s">
        <v>2673</v>
      </c>
      <c r="D4" s="3">
        <v>25.033069</v>
      </c>
      <c r="E4" s="3">
        <v>121.5091172</v>
      </c>
      <c r="F4" s="3" t="s">
        <v>130</v>
      </c>
      <c r="G4" s="4" t="s">
        <v>4157</v>
      </c>
      <c r="H4" s="3"/>
    </row>
    <row r="5">
      <c r="A5" s="4" t="s">
        <v>4162</v>
      </c>
      <c r="B5" s="4" t="s">
        <v>4163</v>
      </c>
      <c r="C5" s="4" t="s">
        <v>2675</v>
      </c>
      <c r="D5" s="3">
        <v>25.0330046</v>
      </c>
      <c r="E5" s="3">
        <v>121.5091144</v>
      </c>
      <c r="F5" s="3" t="s">
        <v>130</v>
      </c>
      <c r="G5" s="4" t="s">
        <v>4157</v>
      </c>
      <c r="H5" s="3"/>
    </row>
    <row r="6">
      <c r="A6" s="4" t="s">
        <v>4164</v>
      </c>
      <c r="B6" s="4" t="s">
        <v>4165</v>
      </c>
      <c r="C6" s="4" t="s">
        <v>2685</v>
      </c>
      <c r="D6" s="3">
        <v>25.0330933</v>
      </c>
      <c r="E6" s="3">
        <v>121.5092377</v>
      </c>
      <c r="F6" s="3" t="s">
        <v>130</v>
      </c>
      <c r="G6" s="4" t="s">
        <v>4157</v>
      </c>
      <c r="H6" s="3"/>
    </row>
    <row r="7">
      <c r="A7" s="4" t="s">
        <v>4166</v>
      </c>
      <c r="B7" s="4" t="s">
        <v>4167</v>
      </c>
      <c r="C7" s="4" t="s">
        <v>2694</v>
      </c>
      <c r="D7" s="3">
        <v>25.0328868</v>
      </c>
      <c r="E7" s="3">
        <v>121.5094574</v>
      </c>
      <c r="F7" s="3" t="s">
        <v>130</v>
      </c>
      <c r="G7" s="4" t="s">
        <v>4157</v>
      </c>
      <c r="H7" s="3"/>
    </row>
    <row r="8">
      <c r="A8" s="4" t="s">
        <v>4168</v>
      </c>
      <c r="B8" s="4" t="s">
        <v>4169</v>
      </c>
      <c r="C8" s="4" t="s">
        <v>2704</v>
      </c>
      <c r="D8" s="3">
        <v>25.0331334</v>
      </c>
      <c r="E8" s="3">
        <v>121.5096933</v>
      </c>
      <c r="F8" s="3" t="s">
        <v>130</v>
      </c>
      <c r="G8" s="4" t="s">
        <v>4157</v>
      </c>
      <c r="H8" s="3"/>
    </row>
    <row r="9">
      <c r="A9" s="4" t="s">
        <v>4170</v>
      </c>
      <c r="B9" s="4" t="s">
        <v>4171</v>
      </c>
      <c r="C9" s="4" t="s">
        <v>2709</v>
      </c>
      <c r="D9" s="3">
        <v>25.0330715</v>
      </c>
      <c r="E9" s="3">
        <v>121.5090964</v>
      </c>
      <c r="F9" s="3" t="s">
        <v>130</v>
      </c>
      <c r="G9" s="4" t="s">
        <v>4157</v>
      </c>
      <c r="H9" s="3"/>
    </row>
    <row r="10">
      <c r="A10" s="4" t="s">
        <v>4172</v>
      </c>
      <c r="B10" s="4" t="s">
        <v>4173</v>
      </c>
      <c r="C10" s="4" t="s">
        <v>2712</v>
      </c>
      <c r="D10" s="3">
        <v>25.0329135</v>
      </c>
      <c r="E10" s="3">
        <v>121.5094812</v>
      </c>
      <c r="F10" s="3" t="s">
        <v>130</v>
      </c>
      <c r="G10" s="4" t="s">
        <v>4157</v>
      </c>
      <c r="H10" s="3"/>
    </row>
    <row r="11">
      <c r="A11" s="4" t="s">
        <v>4174</v>
      </c>
      <c r="B11" s="4" t="s">
        <v>4175</v>
      </c>
      <c r="C11" s="4" t="s">
        <v>2716</v>
      </c>
      <c r="D11" s="3">
        <v>25.033085</v>
      </c>
      <c r="E11" s="3">
        <v>121.5094299</v>
      </c>
      <c r="F11" s="3" t="s">
        <v>130</v>
      </c>
      <c r="G11" s="4" t="s">
        <v>4157</v>
      </c>
      <c r="H11" s="3"/>
    </row>
    <row r="12">
      <c r="A12" s="4" t="s">
        <v>4176</v>
      </c>
      <c r="B12" s="4" t="s">
        <v>4177</v>
      </c>
      <c r="C12" s="4" t="s">
        <v>2722</v>
      </c>
      <c r="D12" s="3">
        <v>25.03313</v>
      </c>
      <c r="E12" s="3">
        <v>121.5097691</v>
      </c>
      <c r="F12" s="3" t="s">
        <v>130</v>
      </c>
      <c r="G12" s="4" t="s">
        <v>4157</v>
      </c>
      <c r="H12" s="3"/>
    </row>
    <row r="13">
      <c r="A13" s="4" t="s">
        <v>4178</v>
      </c>
      <c r="B13" s="4" t="s">
        <v>4179</v>
      </c>
      <c r="C13" s="4" t="s">
        <v>2724</v>
      </c>
      <c r="D13" s="3">
        <v>25.032966</v>
      </c>
      <c r="E13" s="3">
        <v>121.5092326</v>
      </c>
      <c r="F13" s="3" t="s">
        <v>130</v>
      </c>
      <c r="G13" s="4" t="s">
        <v>4157</v>
      </c>
      <c r="H13" s="3"/>
    </row>
    <row r="14">
      <c r="A14" s="4" t="s">
        <v>4180</v>
      </c>
      <c r="B14" s="4" t="s">
        <v>4181</v>
      </c>
      <c r="C14" s="4" t="s">
        <v>2726</v>
      </c>
      <c r="D14" s="3">
        <v>25.0331422</v>
      </c>
      <c r="E14" s="3">
        <v>121.5094792</v>
      </c>
      <c r="F14" s="3" t="s">
        <v>130</v>
      </c>
      <c r="G14" s="4" t="s">
        <v>4157</v>
      </c>
      <c r="H14" s="3"/>
    </row>
    <row r="15">
      <c r="A15" s="4" t="s">
        <v>4182</v>
      </c>
      <c r="B15" s="4" t="s">
        <v>4183</v>
      </c>
      <c r="C15" s="4" t="s">
        <v>2730</v>
      </c>
      <c r="D15" s="3">
        <v>25.0330863</v>
      </c>
      <c r="E15" s="3">
        <v>121.509341</v>
      </c>
      <c r="F15" s="3" t="s">
        <v>130</v>
      </c>
      <c r="G15" s="4" t="s">
        <v>4157</v>
      </c>
      <c r="H15" s="3"/>
    </row>
    <row r="16">
      <c r="A16" s="4" t="s">
        <v>4184</v>
      </c>
      <c r="B16" s="4" t="s">
        <v>4185</v>
      </c>
      <c r="C16" s="4" t="s">
        <v>2732</v>
      </c>
      <c r="D16" s="3">
        <v>25.0331507</v>
      </c>
      <c r="E16" s="3">
        <v>121.509589</v>
      </c>
      <c r="F16" s="3" t="s">
        <v>130</v>
      </c>
      <c r="G16" s="4" t="s">
        <v>4157</v>
      </c>
      <c r="H16" s="3"/>
    </row>
    <row r="17">
      <c r="A17" s="4" t="s">
        <v>4186</v>
      </c>
      <c r="B17" s="4" t="s">
        <v>4187</v>
      </c>
      <c r="C17" s="4" t="s">
        <v>2738</v>
      </c>
      <c r="D17" s="3">
        <v>25.0330936</v>
      </c>
      <c r="E17" s="3">
        <v>121.5091664</v>
      </c>
      <c r="F17" s="3" t="s">
        <v>130</v>
      </c>
      <c r="G17" s="4" t="s">
        <v>4157</v>
      </c>
      <c r="H17" s="3"/>
    </row>
    <row r="18">
      <c r="A18" s="4" t="s">
        <v>4188</v>
      </c>
      <c r="B18" s="4" t="s">
        <v>4189</v>
      </c>
      <c r="C18" s="4" t="s">
        <v>2741</v>
      </c>
      <c r="D18" s="3">
        <v>25.0330583</v>
      </c>
      <c r="E18" s="3">
        <v>121.5091086</v>
      </c>
      <c r="F18" s="3" t="s">
        <v>130</v>
      </c>
      <c r="G18" s="4" t="s">
        <v>4157</v>
      </c>
      <c r="H18" s="3"/>
    </row>
    <row r="19">
      <c r="A19" s="4" t="s">
        <v>4190</v>
      </c>
      <c r="B19" s="4" t="s">
        <v>4191</v>
      </c>
      <c r="C19" s="4" t="s">
        <v>2743</v>
      </c>
      <c r="D19" s="3">
        <v>25.0330863</v>
      </c>
      <c r="E19" s="3">
        <v>121.5092118</v>
      </c>
      <c r="F19" s="3" t="s">
        <v>130</v>
      </c>
      <c r="G19" s="4" t="s">
        <v>4157</v>
      </c>
      <c r="H19" s="3"/>
    </row>
    <row r="20">
      <c r="A20" s="4" t="s">
        <v>4192</v>
      </c>
      <c r="B20" s="4" t="s">
        <v>4193</v>
      </c>
      <c r="C20" s="4" t="s">
        <v>2745</v>
      </c>
      <c r="D20" s="3">
        <v>25.0331312</v>
      </c>
      <c r="E20" s="3">
        <v>121.5097481</v>
      </c>
      <c r="F20" s="3" t="s">
        <v>130</v>
      </c>
      <c r="G20" s="4" t="s">
        <v>4157</v>
      </c>
      <c r="H20" s="3"/>
    </row>
    <row r="21" ht="15.75" customHeight="1">
      <c r="A21" s="4" t="s">
        <v>4194</v>
      </c>
      <c r="B21" s="4" t="s">
        <v>4195</v>
      </c>
      <c r="C21" s="4" t="s">
        <v>2747</v>
      </c>
      <c r="D21" s="3">
        <v>25.0331314</v>
      </c>
      <c r="E21" s="3">
        <v>121.5091979</v>
      </c>
      <c r="F21" s="3" t="s">
        <v>130</v>
      </c>
      <c r="G21" s="4" t="s">
        <v>4157</v>
      </c>
      <c r="H21" s="3"/>
    </row>
    <row r="22" ht="15.75" customHeight="1">
      <c r="A22" s="4" t="s">
        <v>4196</v>
      </c>
      <c r="B22" s="4" t="s">
        <v>4197</v>
      </c>
      <c r="C22" s="4" t="s">
        <v>2749</v>
      </c>
      <c r="D22" s="3">
        <v>25.033112</v>
      </c>
      <c r="E22" s="3">
        <v>121.5096122</v>
      </c>
      <c r="F22" s="3" t="s">
        <v>130</v>
      </c>
      <c r="G22" s="4" t="s">
        <v>4157</v>
      </c>
      <c r="H22" s="3"/>
    </row>
    <row r="23" ht="15.75" customHeight="1">
      <c r="A23" s="4" t="s">
        <v>4198</v>
      </c>
      <c r="B23" s="4" t="s">
        <v>4199</v>
      </c>
      <c r="C23" s="4" t="s">
        <v>2751</v>
      </c>
      <c r="D23" s="3">
        <v>25.0329686</v>
      </c>
      <c r="E23" s="3">
        <v>121.5092527</v>
      </c>
      <c r="F23" s="3" t="s">
        <v>130</v>
      </c>
      <c r="G23" s="4" t="s">
        <v>4157</v>
      </c>
      <c r="H23" s="3"/>
    </row>
    <row r="24" ht="15.75" customHeight="1">
      <c r="A24" s="4" t="s">
        <v>4200</v>
      </c>
      <c r="B24" s="4" t="s">
        <v>4201</v>
      </c>
      <c r="C24" s="4" t="s">
        <v>2754</v>
      </c>
      <c r="D24" s="3">
        <v>25.032965</v>
      </c>
      <c r="E24" s="3">
        <v>121.5092177</v>
      </c>
      <c r="F24" s="3" t="s">
        <v>130</v>
      </c>
      <c r="G24" s="4" t="s">
        <v>4157</v>
      </c>
      <c r="H24" s="3"/>
    </row>
    <row r="25" ht="15.75" customHeight="1">
      <c r="A25" s="4" t="s">
        <v>4202</v>
      </c>
      <c r="B25" s="4" t="s">
        <v>4203</v>
      </c>
      <c r="C25" s="4" t="s">
        <v>2757</v>
      </c>
      <c r="D25" s="3">
        <v>25.0331035</v>
      </c>
      <c r="E25" s="3">
        <v>121.5092203</v>
      </c>
      <c r="F25" s="3" t="s">
        <v>130</v>
      </c>
      <c r="G25" s="4" t="s">
        <v>4157</v>
      </c>
      <c r="H25" s="3"/>
    </row>
    <row r="26" ht="15.75" customHeight="1">
      <c r="A26" s="4" t="s">
        <v>4204</v>
      </c>
      <c r="B26" s="4" t="s">
        <v>4205</v>
      </c>
      <c r="C26" s="4" t="s">
        <v>2759</v>
      </c>
      <c r="D26" s="3">
        <v>25.0328969</v>
      </c>
      <c r="E26" s="3">
        <v>121.5095782</v>
      </c>
      <c r="F26" s="3" t="s">
        <v>130</v>
      </c>
      <c r="G26" s="4" t="s">
        <v>4157</v>
      </c>
      <c r="H26" s="3"/>
    </row>
    <row r="27" ht="15.75" customHeight="1">
      <c r="A27" s="4" t="s">
        <v>4206</v>
      </c>
      <c r="B27" s="4" t="s">
        <v>4207</v>
      </c>
      <c r="C27" s="4" t="s">
        <v>2764</v>
      </c>
      <c r="D27" s="3">
        <v>25.0329832</v>
      </c>
      <c r="E27" s="3">
        <v>121.5092375</v>
      </c>
      <c r="F27" s="3" t="s">
        <v>130</v>
      </c>
      <c r="G27" s="4" t="s">
        <v>4157</v>
      </c>
      <c r="H27" s="3"/>
    </row>
    <row r="28" ht="15.75" customHeight="1">
      <c r="A28" s="4" t="s">
        <v>4208</v>
      </c>
      <c r="B28" s="4" t="s">
        <v>4209</v>
      </c>
      <c r="C28" s="4" t="s">
        <v>2771</v>
      </c>
      <c r="D28" s="3">
        <v>25.0330999</v>
      </c>
      <c r="E28" s="3">
        <v>121.5096839</v>
      </c>
      <c r="F28" s="3" t="s">
        <v>130</v>
      </c>
      <c r="G28" s="4" t="s">
        <v>4157</v>
      </c>
      <c r="H28" s="3"/>
    </row>
    <row r="29" ht="15.75" customHeight="1">
      <c r="A29" s="4" t="s">
        <v>4210</v>
      </c>
      <c r="B29" s="4" t="s">
        <v>4211</v>
      </c>
      <c r="C29" s="4" t="s">
        <v>2776</v>
      </c>
      <c r="D29" s="3">
        <v>25.0328848</v>
      </c>
      <c r="E29" s="3">
        <v>121.5096785</v>
      </c>
      <c r="F29" s="3" t="s">
        <v>130</v>
      </c>
      <c r="G29" s="4" t="s">
        <v>4157</v>
      </c>
      <c r="H29" s="3"/>
    </row>
    <row r="30" ht="15.75" customHeight="1">
      <c r="A30" s="4" t="s">
        <v>4212</v>
      </c>
      <c r="B30" s="4" t="s">
        <v>4213</v>
      </c>
      <c r="C30" s="4" t="s">
        <v>2784</v>
      </c>
      <c r="D30" s="3">
        <v>25.0330756</v>
      </c>
      <c r="E30" s="3">
        <v>121.5094597</v>
      </c>
      <c r="F30" s="3" t="s">
        <v>130</v>
      </c>
      <c r="G30" s="4" t="s">
        <v>4157</v>
      </c>
      <c r="H30" s="3"/>
    </row>
    <row r="31" ht="15.75" customHeight="1">
      <c r="A31" s="4" t="s">
        <v>4214</v>
      </c>
      <c r="B31" s="4" t="s">
        <v>4215</v>
      </c>
      <c r="C31" s="4" t="s">
        <v>2791</v>
      </c>
      <c r="D31" s="3">
        <v>25.0330636</v>
      </c>
      <c r="E31" s="3">
        <v>121.5098819</v>
      </c>
      <c r="F31" s="3" t="s">
        <v>130</v>
      </c>
      <c r="G31" s="4" t="s">
        <v>4157</v>
      </c>
      <c r="H31" s="3"/>
    </row>
    <row r="32" ht="15.75" customHeight="1">
      <c r="A32" s="4" t="s">
        <v>4216</v>
      </c>
      <c r="B32" s="4" t="s">
        <v>4217</v>
      </c>
      <c r="C32" s="4" t="s">
        <v>2794</v>
      </c>
      <c r="D32" s="3">
        <v>25.0330952</v>
      </c>
      <c r="E32" s="3">
        <v>121.5095116</v>
      </c>
      <c r="F32" s="3" t="s">
        <v>130</v>
      </c>
      <c r="G32" s="4" t="s">
        <v>4157</v>
      </c>
      <c r="H32" s="3"/>
    </row>
    <row r="33" ht="15.75" customHeight="1">
      <c r="A33" s="4" t="s">
        <v>4218</v>
      </c>
      <c r="B33" s="4" t="s">
        <v>4219</v>
      </c>
      <c r="C33" s="4" t="s">
        <v>2797</v>
      </c>
      <c r="D33" s="3">
        <v>25.0330989</v>
      </c>
      <c r="E33" s="3">
        <v>121.5091883</v>
      </c>
      <c r="F33" s="3" t="s">
        <v>130</v>
      </c>
      <c r="G33" s="4" t="s">
        <v>4157</v>
      </c>
      <c r="H33" s="3"/>
    </row>
    <row r="34" ht="15.75" customHeight="1">
      <c r="A34" s="4" t="s">
        <v>4220</v>
      </c>
      <c r="B34" s="4" t="s">
        <v>4221</v>
      </c>
      <c r="C34" s="4" t="s">
        <v>2803</v>
      </c>
      <c r="D34" s="3">
        <v>25.0331195</v>
      </c>
      <c r="E34" s="3">
        <v>121.5092338</v>
      </c>
      <c r="F34" s="3" t="s">
        <v>130</v>
      </c>
      <c r="G34" s="4" t="s">
        <v>4157</v>
      </c>
      <c r="H34" s="3"/>
    </row>
    <row r="35" ht="15.75" customHeight="1">
      <c r="A35" s="4" t="s">
        <v>4222</v>
      </c>
      <c r="B35" s="4" t="s">
        <v>4223</v>
      </c>
      <c r="C35" s="4" t="s">
        <v>4224</v>
      </c>
      <c r="D35" s="3">
        <v>25.0330393</v>
      </c>
      <c r="E35" s="3">
        <v>121.5091129</v>
      </c>
      <c r="F35" s="3" t="s">
        <v>130</v>
      </c>
      <c r="G35" s="4" t="s">
        <v>4157</v>
      </c>
      <c r="H35" s="3"/>
    </row>
    <row r="36" ht="15.75" customHeight="1">
      <c r="A36" s="4" t="s">
        <v>4225</v>
      </c>
      <c r="B36" s="4" t="s">
        <v>4226</v>
      </c>
      <c r="C36" s="4" t="s">
        <v>2806</v>
      </c>
      <c r="D36" s="3">
        <v>25.0330563</v>
      </c>
      <c r="E36" s="3">
        <v>121.50979</v>
      </c>
      <c r="F36" s="3" t="s">
        <v>130</v>
      </c>
      <c r="G36" s="4" t="s">
        <v>4157</v>
      </c>
      <c r="H36" s="3"/>
    </row>
    <row r="37" ht="15.75" customHeight="1">
      <c r="A37" s="4" t="s">
        <v>4227</v>
      </c>
      <c r="B37" s="4" t="s">
        <v>4228</v>
      </c>
      <c r="C37" s="4" t="s">
        <v>2810</v>
      </c>
      <c r="D37" s="3">
        <v>25.0330199</v>
      </c>
      <c r="E37" s="3">
        <v>121.5095029</v>
      </c>
      <c r="F37" s="3" t="s">
        <v>130</v>
      </c>
      <c r="G37" s="4" t="s">
        <v>4157</v>
      </c>
      <c r="H37" s="3"/>
    </row>
    <row r="38" ht="15.75" customHeight="1">
      <c r="A38" s="4" t="s">
        <v>4229</v>
      </c>
      <c r="B38" s="4" t="s">
        <v>4230</v>
      </c>
      <c r="C38" s="4" t="s">
        <v>2813</v>
      </c>
      <c r="D38" s="3">
        <v>25.0331365</v>
      </c>
      <c r="E38" s="3">
        <v>121.5096275</v>
      </c>
      <c r="F38" s="3" t="s">
        <v>130</v>
      </c>
      <c r="G38" s="4" t="s">
        <v>4157</v>
      </c>
      <c r="H38" s="3"/>
    </row>
    <row r="39" ht="15.75" customHeight="1">
      <c r="A39" s="4" t="s">
        <v>4231</v>
      </c>
      <c r="B39" s="4" t="s">
        <v>4232</v>
      </c>
      <c r="C39" s="4" t="s">
        <v>2815</v>
      </c>
      <c r="D39" s="3">
        <v>25.0331329</v>
      </c>
      <c r="E39" s="3">
        <v>121.5092774</v>
      </c>
      <c r="F39" s="3" t="s">
        <v>130</v>
      </c>
      <c r="G39" s="4" t="s">
        <v>4157</v>
      </c>
      <c r="H39" s="3"/>
    </row>
    <row r="40" ht="15.75" customHeight="1">
      <c r="A40" s="7" t="s">
        <v>4233</v>
      </c>
      <c r="B40" s="4" t="s">
        <v>4234</v>
      </c>
      <c r="C40" s="4" t="s">
        <v>4235</v>
      </c>
      <c r="D40" s="3">
        <v>25.0330626</v>
      </c>
      <c r="E40" s="3">
        <v>121.5094326</v>
      </c>
      <c r="F40" s="3" t="s">
        <v>130</v>
      </c>
      <c r="G40" s="4" t="s">
        <v>4157</v>
      </c>
      <c r="H40" s="3"/>
    </row>
    <row r="41" ht="15.75" customHeight="1">
      <c r="A41" s="4" t="s">
        <v>4236</v>
      </c>
      <c r="B41" s="4" t="s">
        <v>4237</v>
      </c>
      <c r="C41" s="4" t="s">
        <v>2820</v>
      </c>
      <c r="D41" s="3">
        <v>25.0330821</v>
      </c>
      <c r="E41" s="3">
        <v>121.5092609</v>
      </c>
      <c r="F41" s="3" t="s">
        <v>130</v>
      </c>
      <c r="G41" s="4" t="s">
        <v>4157</v>
      </c>
      <c r="H41" s="3"/>
    </row>
    <row r="42" ht="15.75" customHeight="1">
      <c r="A42" s="4" t="s">
        <v>4238</v>
      </c>
      <c r="B42" s="4" t="s">
        <v>4239</v>
      </c>
      <c r="C42" s="4" t="s">
        <v>2823</v>
      </c>
      <c r="D42" s="3">
        <v>25.0330213</v>
      </c>
      <c r="E42" s="3">
        <v>121.5098481</v>
      </c>
      <c r="F42" s="3" t="s">
        <v>130</v>
      </c>
      <c r="G42" s="4" t="s">
        <v>4157</v>
      </c>
      <c r="H42" s="3"/>
    </row>
    <row r="43" ht="15.75" customHeight="1">
      <c r="A43" s="4" t="s">
        <v>4240</v>
      </c>
      <c r="B43" s="4" t="s">
        <v>4241</v>
      </c>
      <c r="C43" s="4" t="s">
        <v>2826</v>
      </c>
      <c r="D43" s="3">
        <v>25.0329764</v>
      </c>
      <c r="E43" s="3">
        <v>121.5092459</v>
      </c>
      <c r="F43" s="3" t="s">
        <v>130</v>
      </c>
      <c r="G43" s="4" t="s">
        <v>4157</v>
      </c>
      <c r="H43" s="3"/>
    </row>
    <row r="44" ht="15.75" customHeight="1">
      <c r="A44" s="4" t="s">
        <v>4242</v>
      </c>
      <c r="B44" s="4" t="s">
        <v>4243</v>
      </c>
      <c r="C44" s="4" t="s">
        <v>2832</v>
      </c>
      <c r="D44" s="3">
        <v>25.0330614</v>
      </c>
      <c r="E44" s="3">
        <v>121.5096064</v>
      </c>
      <c r="F44" s="3" t="s">
        <v>130</v>
      </c>
      <c r="G44" s="4" t="s">
        <v>4157</v>
      </c>
      <c r="H44" s="3"/>
    </row>
    <row r="45" ht="15.75" customHeight="1">
      <c r="A45" s="4" t="s">
        <v>4244</v>
      </c>
      <c r="B45" s="4" t="s">
        <v>4245</v>
      </c>
      <c r="C45" s="4" t="s">
        <v>2834</v>
      </c>
      <c r="D45" s="3">
        <v>25.0329861</v>
      </c>
      <c r="E45" s="3">
        <v>121.509157</v>
      </c>
      <c r="F45" s="3" t="s">
        <v>130</v>
      </c>
      <c r="G45" s="4" t="s">
        <v>4157</v>
      </c>
      <c r="H45" s="3"/>
    </row>
    <row r="46" ht="15.75" customHeight="1">
      <c r="A46" s="4" t="s">
        <v>4246</v>
      </c>
      <c r="B46" s="4" t="s">
        <v>4247</v>
      </c>
      <c r="C46" s="4" t="s">
        <v>2836</v>
      </c>
      <c r="D46" s="3">
        <v>25.0331161</v>
      </c>
      <c r="E46" s="3">
        <v>121.5092695</v>
      </c>
      <c r="F46" s="3" t="s">
        <v>130</v>
      </c>
      <c r="G46" s="4" t="s">
        <v>4157</v>
      </c>
      <c r="H46" s="3"/>
    </row>
    <row r="47" ht="15.75" customHeight="1">
      <c r="A47" s="4" t="s">
        <v>4248</v>
      </c>
      <c r="B47" s="4" t="s">
        <v>4249</v>
      </c>
      <c r="C47" s="4" t="s">
        <v>2838</v>
      </c>
      <c r="D47" s="3">
        <v>25.0329849</v>
      </c>
      <c r="E47" s="3">
        <v>121.5092144</v>
      </c>
      <c r="F47" s="3" t="s">
        <v>130</v>
      </c>
      <c r="G47" s="4" t="s">
        <v>4157</v>
      </c>
      <c r="H47" s="3"/>
    </row>
    <row r="48" ht="15.75" customHeight="1">
      <c r="A48" s="4" t="s">
        <v>4250</v>
      </c>
      <c r="B48" s="4" t="s">
        <v>4251</v>
      </c>
      <c r="C48" s="4" t="s">
        <v>2840</v>
      </c>
      <c r="D48" s="3">
        <v>25.0331222</v>
      </c>
      <c r="E48" s="3">
        <v>121.5092532</v>
      </c>
      <c r="F48" s="3" t="s">
        <v>130</v>
      </c>
      <c r="G48" s="4" t="s">
        <v>4157</v>
      </c>
      <c r="H48" s="3"/>
    </row>
    <row r="49" ht="15.75" customHeight="1">
      <c r="A49" s="4" t="s">
        <v>4252</v>
      </c>
      <c r="B49" s="4" t="s">
        <v>4253</v>
      </c>
      <c r="C49" s="9" t="s">
        <v>2818</v>
      </c>
      <c r="D49" s="3">
        <v>25.033103</v>
      </c>
      <c r="E49" s="3">
        <v>121.5095802</v>
      </c>
      <c r="F49" s="3" t="s">
        <v>130</v>
      </c>
      <c r="G49" s="4" t="s">
        <v>4157</v>
      </c>
      <c r="H49" s="3"/>
    </row>
    <row r="50" ht="15.75" customHeight="1">
      <c r="A50" s="4" t="s">
        <v>4254</v>
      </c>
      <c r="B50" s="4" t="s">
        <v>4255</v>
      </c>
      <c r="C50" s="4" t="s">
        <v>2435</v>
      </c>
      <c r="D50" s="3">
        <v>25.0328293</v>
      </c>
      <c r="E50" s="3">
        <v>121.509288</v>
      </c>
      <c r="F50" s="3" t="s">
        <v>130</v>
      </c>
      <c r="G50" s="4" t="s">
        <v>4157</v>
      </c>
      <c r="H50" s="3"/>
    </row>
    <row r="51" ht="15.75" customHeight="1">
      <c r="A51" s="4" t="s">
        <v>4256</v>
      </c>
      <c r="B51" s="4" t="s">
        <v>4257</v>
      </c>
      <c r="C51" s="4" t="s">
        <v>2441</v>
      </c>
      <c r="D51" s="3">
        <v>25.0328099</v>
      </c>
      <c r="E51" s="3">
        <v>121.5092584</v>
      </c>
      <c r="F51" s="3" t="s">
        <v>130</v>
      </c>
      <c r="G51" s="4" t="s">
        <v>4157</v>
      </c>
      <c r="H51" s="3"/>
    </row>
    <row r="52" ht="15.75" customHeight="1">
      <c r="A52" s="4" t="s">
        <v>4258</v>
      </c>
      <c r="B52" s="4" t="s">
        <v>4259</v>
      </c>
      <c r="C52" s="4" t="s">
        <v>2458</v>
      </c>
      <c r="D52" s="3">
        <v>25.0327831</v>
      </c>
      <c r="E52" s="3">
        <v>121.5092997</v>
      </c>
      <c r="F52" s="3" t="s">
        <v>130</v>
      </c>
      <c r="G52" s="4" t="s">
        <v>4157</v>
      </c>
      <c r="H52" s="3"/>
    </row>
    <row r="53" ht="15.75" customHeight="1">
      <c r="A53" s="4" t="s">
        <v>4260</v>
      </c>
      <c r="B53" s="4" t="s">
        <v>4261</v>
      </c>
      <c r="C53" s="4" t="s">
        <v>2489</v>
      </c>
      <c r="D53" s="3">
        <v>25.0327576</v>
      </c>
      <c r="E53" s="3">
        <v>121.5092472</v>
      </c>
      <c r="F53" s="3" t="s">
        <v>130</v>
      </c>
      <c r="G53" s="4" t="s">
        <v>4157</v>
      </c>
      <c r="H53" s="3"/>
    </row>
    <row r="54" ht="15.75" customHeight="1">
      <c r="A54" s="4" t="s">
        <v>4262</v>
      </c>
      <c r="B54" s="4" t="s">
        <v>4263</v>
      </c>
      <c r="C54" s="4" t="s">
        <v>2501</v>
      </c>
      <c r="D54" s="3">
        <v>25.0327941</v>
      </c>
      <c r="E54" s="3">
        <v>121.5092134</v>
      </c>
      <c r="F54" s="3" t="s">
        <v>130</v>
      </c>
      <c r="G54" s="4" t="s">
        <v>4157</v>
      </c>
      <c r="H54" s="3"/>
    </row>
    <row r="55" ht="15.75" customHeight="1">
      <c r="A55" s="4" t="s">
        <v>4264</v>
      </c>
      <c r="B55" s="4" t="s">
        <v>4265</v>
      </c>
      <c r="C55" s="4" t="s">
        <v>2510</v>
      </c>
      <c r="D55" s="3">
        <v>25.0328184</v>
      </c>
      <c r="E55" s="3">
        <v>121.5093488</v>
      </c>
      <c r="F55" s="3" t="s">
        <v>130</v>
      </c>
      <c r="G55" s="4" t="s">
        <v>4157</v>
      </c>
      <c r="H55" s="3"/>
    </row>
    <row r="56" ht="15.75" customHeight="1">
      <c r="A56" s="4" t="s">
        <v>4266</v>
      </c>
      <c r="B56" s="4" t="s">
        <v>4267</v>
      </c>
      <c r="C56" s="4" t="s">
        <v>4268</v>
      </c>
      <c r="D56" s="3">
        <v>25.0328658</v>
      </c>
      <c r="E56" s="3">
        <v>121.5092534</v>
      </c>
      <c r="F56" s="3" t="s">
        <v>130</v>
      </c>
      <c r="G56" s="4" t="s">
        <v>4157</v>
      </c>
      <c r="H56" s="3"/>
    </row>
    <row r="57" ht="15.75" customHeight="1">
      <c r="A57" s="4" t="s">
        <v>4269</v>
      </c>
      <c r="B57" s="4" t="s">
        <v>4270</v>
      </c>
      <c r="C57" s="4" t="s">
        <v>2516</v>
      </c>
      <c r="D57" s="3">
        <v>25.0327967</v>
      </c>
      <c r="E57" s="3">
        <v>121.5092639</v>
      </c>
      <c r="F57" s="3" t="s">
        <v>130</v>
      </c>
      <c r="G57" s="4" t="s">
        <v>4157</v>
      </c>
      <c r="H57" s="3"/>
    </row>
    <row r="58" ht="15.75" customHeight="1">
      <c r="A58" s="4" t="s">
        <v>4271</v>
      </c>
      <c r="B58" s="4" t="s">
        <v>4272</v>
      </c>
      <c r="C58" s="4" t="s">
        <v>2519</v>
      </c>
      <c r="D58" s="3">
        <v>25.0328137</v>
      </c>
      <c r="E58" s="3">
        <v>121.5092758</v>
      </c>
      <c r="F58" s="3" t="s">
        <v>130</v>
      </c>
      <c r="G58" s="4" t="s">
        <v>4157</v>
      </c>
      <c r="H58" s="3"/>
    </row>
    <row r="59" ht="15.75" customHeight="1">
      <c r="A59" s="4" t="s">
        <v>4273</v>
      </c>
      <c r="B59" s="4" t="s">
        <v>4274</v>
      </c>
      <c r="C59" s="4" t="s">
        <v>2527</v>
      </c>
      <c r="D59" s="3">
        <v>25.0327846</v>
      </c>
      <c r="E59" s="3">
        <v>121.5094446</v>
      </c>
      <c r="F59" s="3" t="s">
        <v>130</v>
      </c>
      <c r="G59" s="4" t="s">
        <v>4157</v>
      </c>
      <c r="H59" s="3"/>
    </row>
    <row r="60" ht="15.75" customHeight="1">
      <c r="A60" s="4" t="s">
        <v>4275</v>
      </c>
      <c r="B60" s="4" t="s">
        <v>4276</v>
      </c>
      <c r="C60" s="4" t="s">
        <v>4277</v>
      </c>
      <c r="D60" s="3">
        <v>25.0327092</v>
      </c>
      <c r="E60" s="3">
        <v>121.509451</v>
      </c>
      <c r="F60" s="3" t="s">
        <v>130</v>
      </c>
      <c r="G60" s="4" t="s">
        <v>4157</v>
      </c>
      <c r="H60" s="3"/>
    </row>
    <row r="61" ht="15.75" customHeight="1">
      <c r="A61" s="4" t="s">
        <v>4278</v>
      </c>
      <c r="B61" s="4" t="s">
        <v>4279</v>
      </c>
      <c r="C61" s="4" t="s">
        <v>2547</v>
      </c>
      <c r="D61" s="3">
        <v>25.0327688</v>
      </c>
      <c r="E61" s="3">
        <v>121.5092028</v>
      </c>
      <c r="F61" s="3" t="s">
        <v>130</v>
      </c>
      <c r="G61" s="4" t="s">
        <v>4157</v>
      </c>
      <c r="H61" s="3"/>
    </row>
    <row r="62" ht="15.75" customHeight="1">
      <c r="A62" s="4" t="s">
        <v>4280</v>
      </c>
      <c r="B62" s="4" t="s">
        <v>4281</v>
      </c>
      <c r="C62" s="4" t="s">
        <v>2550</v>
      </c>
      <c r="D62" s="3">
        <v>25.0328198</v>
      </c>
      <c r="E62" s="3">
        <v>121.5093207</v>
      </c>
      <c r="F62" s="3" t="s">
        <v>130</v>
      </c>
      <c r="G62" s="4" t="s">
        <v>4157</v>
      </c>
      <c r="H62" s="3"/>
    </row>
    <row r="63" ht="15.75" customHeight="1">
      <c r="A63" s="4" t="s">
        <v>4282</v>
      </c>
      <c r="B63" s="4" t="s">
        <v>4283</v>
      </c>
      <c r="C63" s="4" t="s">
        <v>2552</v>
      </c>
      <c r="D63" s="3">
        <v>25.0329268</v>
      </c>
      <c r="E63" s="3">
        <v>121.5095432</v>
      </c>
      <c r="F63" s="3" t="s">
        <v>130</v>
      </c>
      <c r="G63" s="4" t="s">
        <v>4157</v>
      </c>
      <c r="H63" s="3"/>
    </row>
    <row r="64" ht="15.75" customHeight="1">
      <c r="A64" s="4" t="s">
        <v>4284</v>
      </c>
      <c r="B64" s="4" t="s">
        <v>4285</v>
      </c>
      <c r="C64" s="4" t="s">
        <v>2560</v>
      </c>
      <c r="D64" s="3">
        <v>25.0328466</v>
      </c>
      <c r="E64" s="3">
        <v>121.5093835</v>
      </c>
      <c r="F64" s="3" t="s">
        <v>130</v>
      </c>
      <c r="G64" s="4" t="s">
        <v>4157</v>
      </c>
      <c r="H64" s="3"/>
    </row>
    <row r="65" ht="15.75" customHeight="1">
      <c r="A65" s="4" t="s">
        <v>4286</v>
      </c>
      <c r="B65" s="4" t="s">
        <v>4287</v>
      </c>
      <c r="C65" s="4" t="s">
        <v>2562</v>
      </c>
      <c r="D65" s="3">
        <v>25.0329197</v>
      </c>
      <c r="E65" s="3">
        <v>121.5091834</v>
      </c>
      <c r="F65" s="3" t="s">
        <v>130</v>
      </c>
      <c r="G65" s="4"/>
      <c r="H65" s="3"/>
    </row>
    <row r="66" ht="15.75" customHeight="1">
      <c r="A66" s="4" t="s">
        <v>4288</v>
      </c>
      <c r="B66" s="4" t="s">
        <v>4289</v>
      </c>
      <c r="C66" s="4" t="s">
        <v>2572</v>
      </c>
      <c r="D66" s="3">
        <v>25.0328225</v>
      </c>
      <c r="E66" s="3">
        <v>121.5093737</v>
      </c>
      <c r="F66" s="3" t="s">
        <v>130</v>
      </c>
      <c r="G66" s="4" t="s">
        <v>4157</v>
      </c>
      <c r="H66" s="3"/>
    </row>
    <row r="67" ht="15.75" customHeight="1">
      <c r="A67" s="4" t="s">
        <v>4290</v>
      </c>
      <c r="B67" s="4" t="s">
        <v>4291</v>
      </c>
      <c r="C67" s="4" t="s">
        <v>2574</v>
      </c>
      <c r="D67" s="3">
        <v>25.0327678</v>
      </c>
      <c r="E67" s="3">
        <v>121.5094058</v>
      </c>
      <c r="F67" s="3" t="s">
        <v>130</v>
      </c>
      <c r="G67" s="4" t="s">
        <v>4157</v>
      </c>
      <c r="H67" s="3"/>
    </row>
    <row r="68" ht="15.75" customHeight="1">
      <c r="A68" s="4" t="s">
        <v>4292</v>
      </c>
      <c r="B68" s="4" t="s">
        <v>4293</v>
      </c>
      <c r="C68" s="4" t="s">
        <v>2579</v>
      </c>
      <c r="D68" s="3">
        <v>25.0328273</v>
      </c>
      <c r="E68" s="3">
        <v>121.5093909</v>
      </c>
      <c r="F68" s="3" t="s">
        <v>130</v>
      </c>
      <c r="G68" s="4" t="s">
        <v>4157</v>
      </c>
      <c r="H68" s="3"/>
    </row>
    <row r="69" ht="15.75" customHeight="1">
      <c r="A69" s="4" t="s">
        <v>4294</v>
      </c>
      <c r="B69" s="4" t="s">
        <v>4295</v>
      </c>
      <c r="C69" s="4" t="s">
        <v>2581</v>
      </c>
      <c r="D69" s="3">
        <v>25.032797</v>
      </c>
      <c r="E69" s="3">
        <v>121.5093841</v>
      </c>
      <c r="F69" s="3" t="s">
        <v>130</v>
      </c>
      <c r="G69" s="4" t="s">
        <v>4157</v>
      </c>
      <c r="H69" s="3"/>
    </row>
    <row r="70" ht="15.75" customHeight="1">
      <c r="A70" s="4" t="s">
        <v>4296</v>
      </c>
      <c r="B70" s="4" t="s">
        <v>4297</v>
      </c>
      <c r="C70" s="4" t="s">
        <v>2583</v>
      </c>
      <c r="D70" s="3">
        <v>25.032786</v>
      </c>
      <c r="E70" s="3">
        <v>121.5092713</v>
      </c>
      <c r="F70" s="3" t="s">
        <v>130</v>
      </c>
      <c r="G70" s="4" t="s">
        <v>4157</v>
      </c>
      <c r="H70" s="3"/>
    </row>
    <row r="71" ht="15.75" customHeight="1">
      <c r="A71" s="4" t="s">
        <v>4298</v>
      </c>
      <c r="B71" s="4" t="s">
        <v>4299</v>
      </c>
      <c r="C71" s="4" t="s">
        <v>2588</v>
      </c>
      <c r="D71" s="3">
        <v>25.0328213</v>
      </c>
      <c r="E71" s="3">
        <v>121.5094104</v>
      </c>
      <c r="F71" s="3" t="s">
        <v>130</v>
      </c>
      <c r="G71" s="4" t="s">
        <v>4157</v>
      </c>
      <c r="H71" s="3"/>
    </row>
    <row r="72" ht="15.75" customHeight="1">
      <c r="A72" s="4" t="s">
        <v>4300</v>
      </c>
      <c r="B72" s="4" t="s">
        <v>4301</v>
      </c>
      <c r="C72" s="4" t="s">
        <v>2590</v>
      </c>
      <c r="D72" s="3">
        <v>25.0328419</v>
      </c>
      <c r="E72" s="3">
        <v>121.5091958</v>
      </c>
      <c r="F72" s="3" t="s">
        <v>130</v>
      </c>
      <c r="G72" s="4" t="s">
        <v>4157</v>
      </c>
      <c r="H72" s="3"/>
    </row>
    <row r="73" ht="15.75" customHeight="1">
      <c r="A73" s="4" t="s">
        <v>4302</v>
      </c>
      <c r="B73" s="4" t="s">
        <v>4303</v>
      </c>
      <c r="C73" s="4" t="s">
        <v>2592</v>
      </c>
      <c r="D73" s="3">
        <v>25.0328093</v>
      </c>
      <c r="E73" s="3">
        <v>121.5093443</v>
      </c>
      <c r="F73" s="3" t="s">
        <v>130</v>
      </c>
      <c r="G73" s="4" t="s">
        <v>4157</v>
      </c>
      <c r="H73" s="3"/>
    </row>
    <row r="74" ht="15.75" customHeight="1">
      <c r="A74" s="4" t="s">
        <v>4304</v>
      </c>
      <c r="B74" s="4" t="s">
        <v>4305</v>
      </c>
      <c r="C74" s="4" t="s">
        <v>2597</v>
      </c>
      <c r="D74" s="3">
        <v>25.0328118</v>
      </c>
      <c r="E74" s="3">
        <v>121.5093065</v>
      </c>
      <c r="F74" s="3" t="s">
        <v>130</v>
      </c>
      <c r="G74" s="4" t="s">
        <v>4157</v>
      </c>
      <c r="H74" s="3"/>
    </row>
    <row r="75" ht="15.75" customHeight="1">
      <c r="A75" s="4" t="s">
        <v>4306</v>
      </c>
      <c r="B75" s="4" t="s">
        <v>4307</v>
      </c>
      <c r="C75" s="4" t="s">
        <v>2599</v>
      </c>
      <c r="D75" s="3">
        <v>25.0327741</v>
      </c>
      <c r="E75" s="3">
        <v>121.509348</v>
      </c>
      <c r="F75" s="3" t="s">
        <v>130</v>
      </c>
      <c r="G75" s="4" t="s">
        <v>4157</v>
      </c>
      <c r="H75" s="3"/>
    </row>
    <row r="76" ht="15.75" customHeight="1">
      <c r="A76" s="4" t="s">
        <v>4308</v>
      </c>
      <c r="B76" s="4" t="s">
        <v>4309</v>
      </c>
      <c r="C76" s="4" t="s">
        <v>2602</v>
      </c>
      <c r="D76" s="3">
        <v>25.0327231</v>
      </c>
      <c r="E76" s="3">
        <v>121.509376</v>
      </c>
      <c r="F76" s="3" t="s">
        <v>130</v>
      </c>
      <c r="G76" s="4" t="s">
        <v>4157</v>
      </c>
      <c r="H76" s="3"/>
    </row>
    <row r="77" ht="15.75" customHeight="1">
      <c r="A77" s="4" t="s">
        <v>4310</v>
      </c>
      <c r="B77" s="4" t="s">
        <v>4311</v>
      </c>
      <c r="C77" s="4" t="s">
        <v>2605</v>
      </c>
      <c r="D77" s="3">
        <v>25.032717</v>
      </c>
      <c r="E77" s="3">
        <v>121.5094095</v>
      </c>
      <c r="F77" s="3" t="s">
        <v>130</v>
      </c>
      <c r="G77" s="4" t="s">
        <v>4157</v>
      </c>
      <c r="H77" s="3"/>
    </row>
    <row r="78" ht="15.75" customHeight="1">
      <c r="A78" s="4" t="s">
        <v>4312</v>
      </c>
      <c r="B78" s="4" t="s">
        <v>4313</v>
      </c>
      <c r="C78" s="4" t="s">
        <v>2607</v>
      </c>
      <c r="D78" s="3">
        <v>25.0328798</v>
      </c>
      <c r="E78" s="3">
        <v>121.509235</v>
      </c>
      <c r="F78" s="3" t="s">
        <v>130</v>
      </c>
      <c r="G78" s="4" t="s">
        <v>4157</v>
      </c>
      <c r="H78" s="3"/>
    </row>
    <row r="79" ht="15.75" customHeight="1">
      <c r="A79" s="4" t="s">
        <v>4314</v>
      </c>
      <c r="B79" s="4" t="s">
        <v>4315</v>
      </c>
      <c r="C79" s="4" t="s">
        <v>2609</v>
      </c>
      <c r="D79" s="3">
        <v>25.0327595</v>
      </c>
      <c r="E79" s="3">
        <v>121.5093449</v>
      </c>
      <c r="F79" s="3" t="s">
        <v>130</v>
      </c>
      <c r="G79" s="4" t="s">
        <v>4157</v>
      </c>
      <c r="H79" s="3"/>
    </row>
    <row r="80" ht="15.75" customHeight="1">
      <c r="A80" s="4" t="s">
        <v>4316</v>
      </c>
      <c r="B80" s="4" t="s">
        <v>4317</v>
      </c>
      <c r="C80" s="4" t="s">
        <v>2611</v>
      </c>
      <c r="D80" s="3">
        <v>25.0328336</v>
      </c>
      <c r="E80" s="3">
        <v>121.5093112</v>
      </c>
      <c r="F80" s="3" t="s">
        <v>130</v>
      </c>
      <c r="G80" s="4" t="s">
        <v>4157</v>
      </c>
      <c r="H80" s="3"/>
    </row>
    <row r="81" ht="15.75" customHeight="1">
      <c r="A81" s="4" t="s">
        <v>4318</v>
      </c>
      <c r="B81" s="4" t="s">
        <v>4319</v>
      </c>
      <c r="C81" s="4" t="s">
        <v>2318</v>
      </c>
      <c r="D81" s="3">
        <v>25.0327522</v>
      </c>
      <c r="E81" s="3">
        <v>121.5098105</v>
      </c>
      <c r="F81" s="3" t="s">
        <v>130</v>
      </c>
      <c r="G81" s="4" t="s">
        <v>4157</v>
      </c>
      <c r="H81" s="3"/>
    </row>
    <row r="82" ht="15.75" customHeight="1">
      <c r="A82" s="4" t="s">
        <v>4320</v>
      </c>
      <c r="B82" s="4" t="s">
        <v>4321</v>
      </c>
      <c r="C82" s="4" t="s">
        <v>2347</v>
      </c>
      <c r="D82" s="3">
        <v>25.0327813</v>
      </c>
      <c r="E82" s="3">
        <v>121.5098574</v>
      </c>
      <c r="F82" s="3" t="s">
        <v>130</v>
      </c>
      <c r="G82" s="4" t="s">
        <v>4157</v>
      </c>
      <c r="H82" s="3"/>
    </row>
    <row r="83" ht="15.75" customHeight="1">
      <c r="A83" s="4" t="s">
        <v>4322</v>
      </c>
      <c r="B83" s="4" t="s">
        <v>4323</v>
      </c>
      <c r="C83" s="4" t="s">
        <v>2352</v>
      </c>
      <c r="D83" s="3">
        <v>25.0328591</v>
      </c>
      <c r="E83" s="3">
        <v>121.5098546</v>
      </c>
      <c r="F83" s="3" t="s">
        <v>130</v>
      </c>
      <c r="G83" s="4" t="s">
        <v>4157</v>
      </c>
      <c r="H83" s="3"/>
    </row>
    <row r="84" ht="15.75" customHeight="1">
      <c r="A84" s="4" t="s">
        <v>4324</v>
      </c>
      <c r="B84" s="4" t="s">
        <v>4325</v>
      </c>
      <c r="C84" s="4" t="s">
        <v>2364</v>
      </c>
      <c r="D84" s="3">
        <v>25.0326234</v>
      </c>
      <c r="E84" s="3">
        <v>121.5097123</v>
      </c>
      <c r="F84" s="3" t="s">
        <v>130</v>
      </c>
      <c r="G84" s="4" t="s">
        <v>4157</v>
      </c>
      <c r="H84" s="3"/>
    </row>
    <row r="85" ht="15.75" customHeight="1">
      <c r="A85" s="4" t="s">
        <v>4326</v>
      </c>
      <c r="B85" s="4" t="s">
        <v>4327</v>
      </c>
      <c r="C85" s="4" t="s">
        <v>2368</v>
      </c>
      <c r="D85" s="3">
        <v>25.0327582</v>
      </c>
      <c r="E85" s="3">
        <v>121.5098288</v>
      </c>
      <c r="F85" s="3" t="s">
        <v>130</v>
      </c>
      <c r="G85" s="4" t="s">
        <v>4157</v>
      </c>
      <c r="H85" s="3"/>
    </row>
    <row r="86" ht="15.75" customHeight="1">
      <c r="A86" s="4" t="s">
        <v>4328</v>
      </c>
      <c r="B86" s="4" t="s">
        <v>4329</v>
      </c>
      <c r="C86" s="4" t="s">
        <v>2371</v>
      </c>
      <c r="D86" s="3">
        <v>25.0327424</v>
      </c>
      <c r="E86" s="3">
        <v>121.5098636</v>
      </c>
      <c r="F86" s="3" t="s">
        <v>130</v>
      </c>
      <c r="G86" s="4" t="s">
        <v>4157</v>
      </c>
      <c r="H86" s="3"/>
    </row>
    <row r="87" ht="15.75" customHeight="1">
      <c r="A87" s="4" t="s">
        <v>4330</v>
      </c>
      <c r="B87" s="4" t="s">
        <v>4331</v>
      </c>
      <c r="C87" s="4" t="s">
        <v>2391</v>
      </c>
      <c r="D87" s="3">
        <v>25.0326853</v>
      </c>
      <c r="E87" s="3">
        <v>121.5097977</v>
      </c>
      <c r="F87" s="3" t="s">
        <v>130</v>
      </c>
      <c r="G87" s="4" t="s">
        <v>4157</v>
      </c>
      <c r="H87" s="3"/>
    </row>
    <row r="88" ht="15.75" customHeight="1">
      <c r="A88" s="4" t="s">
        <v>4332</v>
      </c>
      <c r="B88" s="4" t="s">
        <v>4333</v>
      </c>
      <c r="C88" s="4" t="s">
        <v>2394</v>
      </c>
      <c r="D88" s="3">
        <v>25.0327631</v>
      </c>
      <c r="E88" s="3">
        <v>121.5098016</v>
      </c>
      <c r="F88" s="3" t="s">
        <v>130</v>
      </c>
      <c r="G88" s="4" t="s">
        <v>4157</v>
      </c>
      <c r="H88" s="3"/>
    </row>
    <row r="89" ht="15.75" customHeight="1">
      <c r="A89" s="4" t="s">
        <v>4334</v>
      </c>
      <c r="B89" s="4" t="s">
        <v>4335</v>
      </c>
      <c r="C89" s="4" t="s">
        <v>2396</v>
      </c>
      <c r="D89" s="3">
        <v>25.0328105</v>
      </c>
      <c r="E89" s="3">
        <v>121.509835</v>
      </c>
      <c r="F89" s="3" t="s">
        <v>130</v>
      </c>
      <c r="G89" s="4" t="s">
        <v>4157</v>
      </c>
      <c r="H89" s="3"/>
    </row>
    <row r="90" ht="15.75" customHeight="1">
      <c r="A90" s="4" t="s">
        <v>4336</v>
      </c>
      <c r="B90" s="4" t="s">
        <v>4337</v>
      </c>
      <c r="C90" s="4" t="s">
        <v>2399</v>
      </c>
      <c r="D90" s="3">
        <v>25.0327329</v>
      </c>
      <c r="E90" s="3">
        <v>121.5098052</v>
      </c>
      <c r="F90" s="3" t="s">
        <v>130</v>
      </c>
      <c r="G90" s="4" t="s">
        <v>4157</v>
      </c>
      <c r="H90" s="3"/>
    </row>
    <row r="91" ht="15.75" customHeight="1">
      <c r="A91" s="4" t="s">
        <v>4338</v>
      </c>
      <c r="B91" s="4" t="s">
        <v>4339</v>
      </c>
      <c r="C91" s="4" t="s">
        <v>2402</v>
      </c>
      <c r="D91" s="3">
        <v>25.0326698</v>
      </c>
      <c r="E91" s="3">
        <v>121.5096817</v>
      </c>
      <c r="F91" s="3" t="s">
        <v>130</v>
      </c>
      <c r="G91" s="4" t="s">
        <v>4157</v>
      </c>
      <c r="H91" s="3"/>
    </row>
    <row r="92" ht="15.75" customHeight="1">
      <c r="A92" s="4" t="s">
        <v>4340</v>
      </c>
      <c r="B92" s="4" t="s">
        <v>4341</v>
      </c>
      <c r="C92" s="4" t="s">
        <v>1819</v>
      </c>
      <c r="D92" s="3">
        <v>25.0325877</v>
      </c>
      <c r="E92" s="3">
        <v>121.509838</v>
      </c>
      <c r="F92" s="3" t="s">
        <v>130</v>
      </c>
      <c r="G92" s="4" t="s">
        <v>4157</v>
      </c>
      <c r="H92" s="3"/>
    </row>
    <row r="93" ht="15.75" customHeight="1">
      <c r="A93" s="4" t="s">
        <v>4342</v>
      </c>
      <c r="B93" s="4" t="s">
        <v>4343</v>
      </c>
      <c r="C93" s="4" t="s">
        <v>1896</v>
      </c>
      <c r="D93" s="3">
        <v>25.0327809</v>
      </c>
      <c r="E93" s="3">
        <v>121.5096727</v>
      </c>
      <c r="F93" s="3" t="s">
        <v>130</v>
      </c>
      <c r="G93" s="4" t="s">
        <v>1838</v>
      </c>
      <c r="H93" s="3"/>
    </row>
    <row r="94" ht="15.75" customHeight="1">
      <c r="A94" s="4" t="s">
        <v>4344</v>
      </c>
      <c r="B94" s="4" t="s">
        <v>4345</v>
      </c>
      <c r="C94" s="4" t="s">
        <v>1937</v>
      </c>
      <c r="D94" s="3">
        <v>25.0327967</v>
      </c>
      <c r="E94" s="3">
        <v>121.5096404</v>
      </c>
      <c r="F94" s="3" t="s">
        <v>130</v>
      </c>
      <c r="G94" s="4" t="s">
        <v>1838</v>
      </c>
      <c r="H94" s="3"/>
    </row>
    <row r="95" ht="15.75" customHeight="1">
      <c r="A95" s="4" t="s">
        <v>4346</v>
      </c>
      <c r="B95" s="4" t="s">
        <v>4347</v>
      </c>
      <c r="C95" s="4" t="s">
        <v>2008</v>
      </c>
      <c r="D95" s="3">
        <v>25.0327979</v>
      </c>
      <c r="E95" s="3">
        <v>121.5097046</v>
      </c>
      <c r="F95" s="3" t="s">
        <v>130</v>
      </c>
      <c r="G95" s="4" t="s">
        <v>1838</v>
      </c>
      <c r="H95" s="3"/>
    </row>
    <row r="96" ht="15.75" customHeight="1">
      <c r="A96" s="4" t="s">
        <v>4348</v>
      </c>
      <c r="B96" s="4" t="s">
        <v>4349</v>
      </c>
      <c r="C96" s="4" t="s">
        <v>2068</v>
      </c>
      <c r="D96" s="3">
        <v>25.0328149</v>
      </c>
      <c r="E96" s="3">
        <v>121.5096871</v>
      </c>
      <c r="F96" s="3" t="s">
        <v>130</v>
      </c>
      <c r="G96" s="4" t="s">
        <v>1838</v>
      </c>
      <c r="H96" s="3"/>
    </row>
    <row r="97" ht="15.75" customHeight="1">
      <c r="A97" s="4" t="s">
        <v>4350</v>
      </c>
      <c r="B97" s="4" t="s">
        <v>4351</v>
      </c>
      <c r="C97" s="4" t="s">
        <v>2070</v>
      </c>
      <c r="D97" s="3">
        <v>25.0328806</v>
      </c>
      <c r="E97" s="3">
        <v>121.5092417</v>
      </c>
      <c r="F97" s="3" t="s">
        <v>130</v>
      </c>
      <c r="G97" s="4" t="s">
        <v>1832</v>
      </c>
      <c r="H97" s="3"/>
    </row>
    <row r="98" ht="15.75" customHeight="1">
      <c r="A98" s="4" t="s">
        <v>4352</v>
      </c>
      <c r="B98" s="4" t="s">
        <v>4353</v>
      </c>
      <c r="C98" s="4" t="s">
        <v>2073</v>
      </c>
      <c r="D98" s="3">
        <v>25.0328866</v>
      </c>
      <c r="E98" s="3">
        <v>121.5092228</v>
      </c>
      <c r="F98" s="3" t="s">
        <v>130</v>
      </c>
      <c r="G98" s="4" t="s">
        <v>1832</v>
      </c>
      <c r="H98" s="3"/>
    </row>
    <row r="99" ht="15.75" customHeight="1">
      <c r="A99" s="4" t="s">
        <v>4354</v>
      </c>
      <c r="B99" s="4" t="s">
        <v>4355</v>
      </c>
      <c r="C99" s="4" t="s">
        <v>2077</v>
      </c>
      <c r="D99" s="3">
        <v>25.0329219</v>
      </c>
      <c r="E99" s="3">
        <v>121.5093152</v>
      </c>
      <c r="F99" s="3" t="s">
        <v>130</v>
      </c>
      <c r="G99" s="4" t="s">
        <v>1832</v>
      </c>
      <c r="H99" s="3"/>
    </row>
    <row r="100" ht="15.75" customHeight="1">
      <c r="A100" s="4" t="s">
        <v>4356</v>
      </c>
      <c r="B100" s="4" t="s">
        <v>4357</v>
      </c>
      <c r="C100" s="4" t="s">
        <v>2079</v>
      </c>
      <c r="D100" s="3">
        <v>25.0328042</v>
      </c>
      <c r="E100" s="3">
        <v>121.5096636</v>
      </c>
      <c r="F100" s="3" t="s">
        <v>130</v>
      </c>
      <c r="G100" s="4" t="s">
        <v>1838</v>
      </c>
      <c r="H100" s="3"/>
    </row>
    <row r="101" ht="15.75" customHeight="1">
      <c r="A101" s="4" t="s">
        <v>4358</v>
      </c>
      <c r="B101" s="4" t="s">
        <v>4359</v>
      </c>
      <c r="C101" s="4" t="s">
        <v>2081</v>
      </c>
      <c r="D101" s="3">
        <v>25.0327641</v>
      </c>
      <c r="E101" s="3">
        <v>121.5096501</v>
      </c>
      <c r="F101" s="3" t="s">
        <v>130</v>
      </c>
      <c r="G101" s="4" t="s">
        <v>1838</v>
      </c>
      <c r="H101" s="3"/>
    </row>
    <row r="102" ht="15.75" customHeight="1">
      <c r="A102" s="4" t="s">
        <v>4360</v>
      </c>
      <c r="B102" s="4" t="s">
        <v>4361</v>
      </c>
      <c r="C102" s="4" t="s">
        <v>2091</v>
      </c>
      <c r="D102" s="3">
        <v>25.0328577</v>
      </c>
      <c r="E102" s="3">
        <v>121.5092651</v>
      </c>
      <c r="F102" s="3" t="s">
        <v>130</v>
      </c>
      <c r="G102" s="4" t="s">
        <v>1832</v>
      </c>
      <c r="H102" s="3"/>
    </row>
    <row r="103" ht="15.75" customHeight="1">
      <c r="A103" s="4" t="s">
        <v>4362</v>
      </c>
      <c r="B103" s="4" t="s">
        <v>4363</v>
      </c>
      <c r="C103" s="4" t="s">
        <v>2094</v>
      </c>
      <c r="D103" s="3">
        <v>25.0327459</v>
      </c>
      <c r="E103" s="3">
        <v>121.5097129</v>
      </c>
      <c r="F103" s="3" t="s">
        <v>130</v>
      </c>
      <c r="G103" s="4" t="s">
        <v>1838</v>
      </c>
      <c r="H103" s="3"/>
    </row>
    <row r="104" ht="15.75" customHeight="1">
      <c r="A104" s="4" t="s">
        <v>4364</v>
      </c>
      <c r="B104" s="4" t="s">
        <v>4365</v>
      </c>
      <c r="C104" s="4" t="s">
        <v>2096</v>
      </c>
      <c r="D104" s="3">
        <v>25.0328468</v>
      </c>
      <c r="E104" s="3">
        <v>121.5092394</v>
      </c>
      <c r="F104" s="3" t="s">
        <v>130</v>
      </c>
      <c r="G104" s="4" t="s">
        <v>1832</v>
      </c>
      <c r="H104" s="3"/>
    </row>
    <row r="105" ht="15.75" customHeight="1">
      <c r="A105" s="4" t="s">
        <v>4366</v>
      </c>
      <c r="B105" s="4" t="s">
        <v>4367</v>
      </c>
      <c r="C105" s="4" t="s">
        <v>2099</v>
      </c>
      <c r="D105" s="3">
        <v>25.032882</v>
      </c>
      <c r="E105" s="3">
        <v>121.5092661</v>
      </c>
      <c r="F105" s="3" t="s">
        <v>130</v>
      </c>
      <c r="G105" s="4" t="s">
        <v>1832</v>
      </c>
      <c r="H105" s="3"/>
    </row>
    <row r="106" ht="15.75" customHeight="1">
      <c r="A106" s="4" t="s">
        <v>4368</v>
      </c>
      <c r="B106" s="4" t="s">
        <v>4369</v>
      </c>
      <c r="C106" s="4" t="s">
        <v>2103</v>
      </c>
      <c r="D106" s="3">
        <v>25.0328942</v>
      </c>
      <c r="E106" s="3">
        <v>121.5091868</v>
      </c>
      <c r="F106" s="3" t="s">
        <v>130</v>
      </c>
      <c r="G106" s="4" t="s">
        <v>1832</v>
      </c>
      <c r="H106" s="3"/>
    </row>
    <row r="107" ht="15.75" customHeight="1">
      <c r="A107" s="4" t="s">
        <v>4370</v>
      </c>
      <c r="B107" s="4" t="s">
        <v>4371</v>
      </c>
      <c r="C107" s="4" t="s">
        <v>2107</v>
      </c>
      <c r="D107" s="3">
        <v>25.0328565</v>
      </c>
      <c r="E107" s="3">
        <v>121.5092109</v>
      </c>
      <c r="F107" s="3" t="s">
        <v>130</v>
      </c>
      <c r="G107" s="4" t="s">
        <v>1832</v>
      </c>
      <c r="H107" s="3"/>
    </row>
    <row r="108" ht="15.75" customHeight="1">
      <c r="A108" s="4" t="s">
        <v>4372</v>
      </c>
      <c r="B108" s="4" t="s">
        <v>4373</v>
      </c>
      <c r="C108" s="4" t="s">
        <v>2112</v>
      </c>
      <c r="D108" s="3">
        <v>25.0327714</v>
      </c>
      <c r="E108" s="3">
        <v>121.5096909</v>
      </c>
      <c r="F108" s="3" t="s">
        <v>130</v>
      </c>
      <c r="G108" s="4" t="s">
        <v>1838</v>
      </c>
      <c r="H108" s="3"/>
    </row>
    <row r="109" ht="15.75" customHeight="1">
      <c r="A109" s="4" t="s">
        <v>4374</v>
      </c>
      <c r="B109" s="4" t="s">
        <v>4375</v>
      </c>
      <c r="C109" s="4" t="s">
        <v>2119</v>
      </c>
      <c r="D109" s="3">
        <v>25.0328771</v>
      </c>
      <c r="E109" s="3">
        <v>121.5092093</v>
      </c>
      <c r="F109" s="3" t="s">
        <v>130</v>
      </c>
      <c r="G109" s="4" t="s">
        <v>1832</v>
      </c>
      <c r="H109" s="3"/>
    </row>
    <row r="110" ht="15.75" customHeight="1">
      <c r="A110" s="4" t="s">
        <v>4376</v>
      </c>
      <c r="B110" s="4" t="s">
        <v>4377</v>
      </c>
      <c r="C110" s="4" t="s">
        <v>2122</v>
      </c>
      <c r="D110" s="3">
        <v>25.0328616</v>
      </c>
      <c r="E110" s="3">
        <v>121.5091929</v>
      </c>
      <c r="F110" s="3" t="s">
        <v>130</v>
      </c>
      <c r="G110" s="4" t="s">
        <v>1832</v>
      </c>
      <c r="H110" s="3"/>
    </row>
    <row r="111" ht="15.75" customHeight="1">
      <c r="A111" s="4" t="s">
        <v>4378</v>
      </c>
      <c r="B111" s="4" t="s">
        <v>4379</v>
      </c>
      <c r="C111" s="4" t="s">
        <v>2126</v>
      </c>
      <c r="D111" s="3">
        <v>25.0329078</v>
      </c>
      <c r="E111" s="3">
        <v>121.5092545</v>
      </c>
      <c r="F111" s="3" t="s">
        <v>130</v>
      </c>
      <c r="G111" s="4" t="s">
        <v>1832</v>
      </c>
      <c r="H111" s="3"/>
    </row>
    <row r="112" ht="15.75" customHeight="1">
      <c r="A112" s="4" t="s">
        <v>4380</v>
      </c>
      <c r="B112" s="4" t="s">
        <v>4381</v>
      </c>
      <c r="C112" s="4" t="s">
        <v>2130</v>
      </c>
      <c r="D112" s="3">
        <v>25.0328749</v>
      </c>
      <c r="E112" s="3">
        <v>121.5092798</v>
      </c>
      <c r="F112" s="3" t="s">
        <v>130</v>
      </c>
      <c r="G112" s="4" t="s">
        <v>1832</v>
      </c>
      <c r="H112" s="3"/>
    </row>
    <row r="113" ht="15.75" customHeight="1">
      <c r="A113" s="4" t="s">
        <v>4382</v>
      </c>
      <c r="B113" s="4" t="s">
        <v>4383</v>
      </c>
      <c r="C113" s="4" t="s">
        <v>2132</v>
      </c>
      <c r="D113" s="3">
        <v>25.0328786</v>
      </c>
      <c r="E113" s="3">
        <v>121.5091805</v>
      </c>
      <c r="F113" s="3" t="s">
        <v>130</v>
      </c>
      <c r="G113" s="4" t="s">
        <v>1832</v>
      </c>
      <c r="H113" s="3"/>
    </row>
    <row r="114" ht="15.75" customHeight="1">
      <c r="A114" s="4" t="s">
        <v>4384</v>
      </c>
      <c r="B114" s="4" t="s">
        <v>4385</v>
      </c>
      <c r="C114" s="4" t="s">
        <v>2134</v>
      </c>
      <c r="D114" s="3">
        <v>25.0329029</v>
      </c>
      <c r="E114" s="3">
        <v>121.5092796</v>
      </c>
      <c r="F114" s="3" t="s">
        <v>130</v>
      </c>
      <c r="G114" s="4" t="s">
        <v>1832</v>
      </c>
      <c r="H114" s="3"/>
    </row>
    <row r="115" ht="15.75" customHeight="1">
      <c r="A115" s="4" t="s">
        <v>4386</v>
      </c>
      <c r="B115" s="4" t="s">
        <v>4387</v>
      </c>
      <c r="C115" s="4" t="s">
        <v>2139</v>
      </c>
      <c r="D115" s="3">
        <v>25.0328215</v>
      </c>
      <c r="E115" s="3">
        <v>121.5095852</v>
      </c>
      <c r="F115" s="3" t="s">
        <v>130</v>
      </c>
      <c r="G115" s="4" t="s">
        <v>4157</v>
      </c>
      <c r="H115" s="3"/>
    </row>
    <row r="116" ht="15.75" customHeight="1">
      <c r="A116" s="4" t="s">
        <v>4388</v>
      </c>
      <c r="B116" s="4" t="s">
        <v>4389</v>
      </c>
      <c r="C116" s="4" t="s">
        <v>2146</v>
      </c>
      <c r="D116" s="3">
        <v>25.0327741</v>
      </c>
      <c r="E116" s="3">
        <v>121.5096575</v>
      </c>
      <c r="F116" s="3" t="s">
        <v>130</v>
      </c>
      <c r="G116" s="4" t="s">
        <v>1838</v>
      </c>
      <c r="H116" s="3"/>
    </row>
    <row r="117" ht="15.75" customHeight="1">
      <c r="A117" s="4" t="s">
        <v>4390</v>
      </c>
      <c r="B117" s="4" t="s">
        <v>4391</v>
      </c>
      <c r="C117" s="4" t="s">
        <v>2148</v>
      </c>
      <c r="D117" s="3">
        <v>25.0328433</v>
      </c>
      <c r="E117" s="3">
        <v>121.5095554</v>
      </c>
      <c r="F117" s="3" t="s">
        <v>130</v>
      </c>
      <c r="G117" s="4" t="s">
        <v>4157</v>
      </c>
      <c r="H117" s="3"/>
    </row>
    <row r="118" ht="15.75" customHeight="1">
      <c r="A118" s="4" t="s">
        <v>4392</v>
      </c>
      <c r="B118" s="4" t="s">
        <v>4393</v>
      </c>
      <c r="C118" s="4" t="s">
        <v>2151</v>
      </c>
      <c r="D118" s="3">
        <v>25.0327619</v>
      </c>
      <c r="E118" s="3">
        <v>121.5097176</v>
      </c>
      <c r="F118" s="3" t="s">
        <v>130</v>
      </c>
      <c r="G118" s="4" t="s">
        <v>1838</v>
      </c>
      <c r="H118" s="3"/>
    </row>
    <row r="119" ht="15.75" customHeight="1">
      <c r="A119" s="4" t="s">
        <v>4394</v>
      </c>
      <c r="B119" s="4" t="s">
        <v>4395</v>
      </c>
      <c r="C119" s="4" t="s">
        <v>2153</v>
      </c>
      <c r="D119" s="3">
        <v>25.0328448</v>
      </c>
      <c r="E119" s="3">
        <v>121.5092533</v>
      </c>
      <c r="F119" s="3" t="s">
        <v>130</v>
      </c>
      <c r="G119" s="4" t="s">
        <v>1832</v>
      </c>
      <c r="H119" s="3"/>
    </row>
    <row r="120" ht="15.75" customHeight="1">
      <c r="A120" s="4" t="s">
        <v>4396</v>
      </c>
      <c r="B120" s="4" t="s">
        <v>4397</v>
      </c>
      <c r="C120" s="4" t="s">
        <v>2159</v>
      </c>
      <c r="D120" s="3">
        <v>25.0328533</v>
      </c>
      <c r="E120" s="3">
        <v>121.5092907</v>
      </c>
      <c r="F120" s="3" t="s">
        <v>130</v>
      </c>
      <c r="G120" s="4" t="s">
        <v>1832</v>
      </c>
      <c r="H120" s="3"/>
    </row>
    <row r="121" ht="15.75" customHeight="1">
      <c r="A121" s="4" t="s">
        <v>4398</v>
      </c>
      <c r="B121" s="4" t="s">
        <v>4399</v>
      </c>
      <c r="C121" s="4" t="s">
        <v>2182</v>
      </c>
      <c r="D121" s="3">
        <v>25.032846</v>
      </c>
      <c r="E121" s="3">
        <v>121.509269</v>
      </c>
      <c r="F121" s="3" t="s">
        <v>130</v>
      </c>
      <c r="G121" s="4" t="s">
        <v>1832</v>
      </c>
      <c r="H121" s="3"/>
    </row>
    <row r="122" ht="15.75" customHeight="1">
      <c r="A122" s="4" t="s">
        <v>4400</v>
      </c>
      <c r="B122" s="4" t="s">
        <v>4401</v>
      </c>
      <c r="C122" s="4" t="s">
        <v>2184</v>
      </c>
      <c r="D122" s="3">
        <v>25.0327792</v>
      </c>
      <c r="E122" s="3">
        <v>121.509631</v>
      </c>
      <c r="F122" s="3" t="s">
        <v>130</v>
      </c>
      <c r="G122" s="4" t="s">
        <v>1838</v>
      </c>
      <c r="H122" s="3"/>
    </row>
    <row r="123" ht="15.75" customHeight="1">
      <c r="A123" s="4" t="s">
        <v>4402</v>
      </c>
      <c r="B123" s="4" t="s">
        <v>4403</v>
      </c>
      <c r="C123" s="4" t="s">
        <v>2189</v>
      </c>
      <c r="D123" s="3">
        <v>25.0328849</v>
      </c>
      <c r="E123" s="3">
        <v>121.5092996</v>
      </c>
      <c r="F123" s="3" t="s">
        <v>130</v>
      </c>
      <c r="G123" s="4" t="s">
        <v>1832</v>
      </c>
      <c r="H123" s="3"/>
    </row>
    <row r="124" ht="15.75" customHeight="1">
      <c r="A124" s="4" t="s">
        <v>4404</v>
      </c>
      <c r="B124" s="4" t="s">
        <v>4405</v>
      </c>
      <c r="C124" s="4" t="s">
        <v>2191</v>
      </c>
      <c r="D124" s="3">
        <v>25.032908</v>
      </c>
      <c r="E124" s="3">
        <v>121.5092324</v>
      </c>
      <c r="F124" s="3" t="s">
        <v>130</v>
      </c>
      <c r="G124" s="4" t="s">
        <v>1832</v>
      </c>
      <c r="H124" s="3"/>
    </row>
    <row r="125" ht="15.75" customHeight="1">
      <c r="A125" s="4" t="s">
        <v>4406</v>
      </c>
      <c r="B125" s="4" t="s">
        <v>4407</v>
      </c>
      <c r="C125" s="4" t="s">
        <v>2201</v>
      </c>
      <c r="D125" s="3">
        <v>25.0327488</v>
      </c>
      <c r="E125" s="3">
        <v>121.5097004</v>
      </c>
      <c r="F125" s="3" t="s">
        <v>130</v>
      </c>
      <c r="G125" s="4" t="s">
        <v>1838</v>
      </c>
      <c r="H125" s="3"/>
    </row>
    <row r="126" ht="15.75" customHeight="1">
      <c r="A126" s="4" t="s">
        <v>4408</v>
      </c>
      <c r="B126" s="4" t="s">
        <v>4409</v>
      </c>
      <c r="C126" s="4" t="s">
        <v>2205</v>
      </c>
      <c r="D126" s="3">
        <v>25.0328654</v>
      </c>
      <c r="E126" s="3">
        <v>121.5092483</v>
      </c>
      <c r="F126" s="3" t="s">
        <v>130</v>
      </c>
      <c r="G126" s="4" t="s">
        <v>1832</v>
      </c>
      <c r="H126" s="3"/>
    </row>
    <row r="127" ht="15.75" customHeight="1">
      <c r="A127" s="4" t="s">
        <v>4410</v>
      </c>
      <c r="B127" s="4" t="s">
        <v>4411</v>
      </c>
      <c r="C127" s="4" t="s">
        <v>2210</v>
      </c>
      <c r="D127" s="3">
        <v>25.0329031</v>
      </c>
      <c r="E127" s="3">
        <v>121.5092066</v>
      </c>
      <c r="F127" s="3" t="s">
        <v>130</v>
      </c>
      <c r="G127" s="4" t="s">
        <v>1832</v>
      </c>
      <c r="H127" s="3"/>
    </row>
    <row r="128" ht="15.75" customHeight="1">
      <c r="A128" s="4" t="s">
        <v>4412</v>
      </c>
      <c r="B128" s="4" t="s">
        <v>4413</v>
      </c>
      <c r="C128" s="4" t="s">
        <v>2215</v>
      </c>
      <c r="D128" s="3">
        <v>25.0328353</v>
      </c>
      <c r="E128" s="3">
        <v>121.5092814</v>
      </c>
      <c r="F128" s="3" t="s">
        <v>130</v>
      </c>
      <c r="G128" s="4" t="s">
        <v>1832</v>
      </c>
      <c r="H128" s="3"/>
    </row>
    <row r="129" ht="15.75" customHeight="1">
      <c r="A129" s="4" t="s">
        <v>4414</v>
      </c>
      <c r="B129" s="4" t="s">
        <v>4415</v>
      </c>
      <c r="C129" s="4" t="s">
        <v>2219</v>
      </c>
      <c r="D129" s="3">
        <v>25.0328523</v>
      </c>
      <c r="E129" s="3">
        <v>121.5093054</v>
      </c>
      <c r="F129" s="3" t="s">
        <v>130</v>
      </c>
      <c r="G129" s="4" t="s">
        <v>1832</v>
      </c>
      <c r="H129" s="3"/>
    </row>
    <row r="130" ht="15.75" customHeight="1">
      <c r="A130" s="4" t="s">
        <v>4416</v>
      </c>
      <c r="B130" s="4" t="s">
        <v>4417</v>
      </c>
      <c r="C130" s="4" t="s">
        <v>2221</v>
      </c>
      <c r="D130" s="3">
        <v>25.032749</v>
      </c>
      <c r="E130" s="3">
        <v>121.5097305</v>
      </c>
      <c r="F130" s="3" t="s">
        <v>130</v>
      </c>
      <c r="G130" s="4" t="s">
        <v>1838</v>
      </c>
      <c r="H130" s="3"/>
    </row>
    <row r="131" ht="15.75" customHeight="1">
      <c r="A131" s="4" t="s">
        <v>4418</v>
      </c>
      <c r="B131" s="4" t="s">
        <v>4419</v>
      </c>
      <c r="C131" s="4" t="s">
        <v>2226</v>
      </c>
      <c r="D131" s="3">
        <v>25.0328317</v>
      </c>
      <c r="E131" s="3">
        <v>121.5092958</v>
      </c>
      <c r="F131" s="3" t="s">
        <v>130</v>
      </c>
      <c r="G131" s="4" t="s">
        <v>1832</v>
      </c>
      <c r="H131" s="3"/>
    </row>
    <row r="132" ht="15.75" customHeight="1">
      <c r="A132" s="4" t="s">
        <v>4420</v>
      </c>
      <c r="B132" s="4" t="s">
        <v>4421</v>
      </c>
      <c r="C132" s="4" t="s">
        <v>2228</v>
      </c>
      <c r="D132" s="3">
        <v>25.0328462</v>
      </c>
      <c r="E132" s="3">
        <v>121.5092139</v>
      </c>
      <c r="F132" s="3" t="s">
        <v>130</v>
      </c>
      <c r="G132" s="4" t="s">
        <v>1832</v>
      </c>
      <c r="H132" s="3"/>
    </row>
    <row r="133" ht="15.75" customHeight="1">
      <c r="A133" s="4" t="s">
        <v>4422</v>
      </c>
      <c r="B133" s="4" t="s">
        <v>4423</v>
      </c>
      <c r="C133" s="4" t="s">
        <v>2230</v>
      </c>
      <c r="D133" s="3">
        <v>25.032873</v>
      </c>
      <c r="E133" s="3">
        <v>121.5093117</v>
      </c>
      <c r="F133" s="3" t="s">
        <v>130</v>
      </c>
      <c r="G133" s="4" t="s">
        <v>1832</v>
      </c>
      <c r="H133" s="3"/>
    </row>
    <row r="134" ht="15.75" customHeight="1">
      <c r="A134" s="4" t="s">
        <v>4424</v>
      </c>
      <c r="B134" s="4" t="s">
        <v>4425</v>
      </c>
      <c r="C134" s="4" t="s">
        <v>2233</v>
      </c>
      <c r="D134" s="3">
        <v>25.0327527</v>
      </c>
      <c r="E134" s="3">
        <v>121.5096589</v>
      </c>
      <c r="F134" s="3" t="s">
        <v>130</v>
      </c>
      <c r="G134" s="4" t="s">
        <v>1838</v>
      </c>
      <c r="H134" s="3"/>
    </row>
    <row r="135" ht="15.75" customHeight="1">
      <c r="A135" s="4" t="s">
        <v>4426</v>
      </c>
      <c r="B135" s="4" t="s">
        <v>4427</v>
      </c>
      <c r="C135" s="4" t="s">
        <v>2236</v>
      </c>
      <c r="D135" s="3">
        <v>25.0327563</v>
      </c>
      <c r="E135" s="3">
        <v>121.5096467</v>
      </c>
      <c r="F135" s="3" t="s">
        <v>130</v>
      </c>
      <c r="G135" s="4" t="s">
        <v>1838</v>
      </c>
      <c r="H135" s="3"/>
    </row>
    <row r="136" ht="15.75" customHeight="1">
      <c r="A136" s="4" t="s">
        <v>4428</v>
      </c>
      <c r="B136" s="4" t="s">
        <v>4429</v>
      </c>
      <c r="C136" s="4" t="s">
        <v>2239</v>
      </c>
      <c r="D136" s="3">
        <v>25.0327903</v>
      </c>
      <c r="E136" s="3">
        <v>121.509715</v>
      </c>
      <c r="F136" s="3" t="s">
        <v>130</v>
      </c>
      <c r="G136" s="4" t="s">
        <v>1838</v>
      </c>
      <c r="H136" s="3"/>
    </row>
    <row r="137" ht="15.75" customHeight="1">
      <c r="A137" s="4" t="s">
        <v>4430</v>
      </c>
      <c r="B137" s="4" t="s">
        <v>4431</v>
      </c>
      <c r="C137" s="4" t="s">
        <v>2246</v>
      </c>
      <c r="D137" s="3">
        <v>25.0328645</v>
      </c>
      <c r="E137" s="3">
        <v>121.5092281</v>
      </c>
      <c r="F137" s="3" t="s">
        <v>130</v>
      </c>
      <c r="G137" s="4" t="s">
        <v>1832</v>
      </c>
      <c r="H137" s="3"/>
    </row>
    <row r="138" ht="15.75" customHeight="1">
      <c r="A138" s="4" t="s">
        <v>4432</v>
      </c>
      <c r="B138" s="4" t="s">
        <v>4433</v>
      </c>
      <c r="C138" s="4" t="s">
        <v>1852</v>
      </c>
      <c r="D138" s="3">
        <v>25.0327869</v>
      </c>
      <c r="E138" s="3">
        <v>121.5097307</v>
      </c>
      <c r="F138" s="3" t="s">
        <v>130</v>
      </c>
      <c r="G138" s="4" t="s">
        <v>1838</v>
      </c>
      <c r="H138" s="3"/>
    </row>
    <row r="139" ht="15.75" customHeight="1">
      <c r="A139" s="4" t="s">
        <v>4434</v>
      </c>
      <c r="B139" s="4" t="s">
        <v>4435</v>
      </c>
      <c r="C139" s="4" t="s">
        <v>1855</v>
      </c>
      <c r="D139" s="3">
        <v>25.0328027</v>
      </c>
      <c r="E139" s="3">
        <v>121.5095924</v>
      </c>
      <c r="F139" s="3" t="s">
        <v>130</v>
      </c>
      <c r="G139" s="4" t="s">
        <v>4157</v>
      </c>
      <c r="H139" s="3"/>
    </row>
    <row r="140" ht="15.75" customHeight="1">
      <c r="A140" s="4" t="s">
        <v>4436</v>
      </c>
      <c r="B140" s="4" t="s">
        <v>4437</v>
      </c>
      <c r="C140" s="4" t="s">
        <v>1858</v>
      </c>
      <c r="D140" s="3">
        <v>25.0328076</v>
      </c>
      <c r="E140" s="3">
        <v>121.5092316</v>
      </c>
      <c r="F140" s="3" t="s">
        <v>130</v>
      </c>
      <c r="G140" s="4" t="s">
        <v>1832</v>
      </c>
      <c r="H140" s="3"/>
    </row>
    <row r="141" ht="15.75" customHeight="1">
      <c r="A141" s="4" t="s">
        <v>4438</v>
      </c>
      <c r="B141" s="4" t="s">
        <v>4439</v>
      </c>
      <c r="C141" s="4" t="s">
        <v>1862</v>
      </c>
      <c r="D141" s="3">
        <v>25.0328234</v>
      </c>
      <c r="E141" s="3">
        <v>121.5092113</v>
      </c>
      <c r="F141" s="3" t="s">
        <v>130</v>
      </c>
      <c r="G141" s="4" t="s">
        <v>1832</v>
      </c>
      <c r="H141" s="3"/>
    </row>
    <row r="142" ht="15.75" customHeight="1">
      <c r="A142" s="4" t="s">
        <v>4440</v>
      </c>
      <c r="B142" s="4" t="s">
        <v>4441</v>
      </c>
      <c r="C142" s="4" t="s">
        <v>1864</v>
      </c>
      <c r="D142" s="3">
        <v>25.0328088</v>
      </c>
      <c r="E142" s="3">
        <v>121.5096229</v>
      </c>
      <c r="F142" s="3" t="s">
        <v>130</v>
      </c>
      <c r="G142" s="4" t="s">
        <v>1838</v>
      </c>
      <c r="H142" s="3"/>
    </row>
    <row r="143" ht="15.75" customHeight="1">
      <c r="A143" s="4" t="s">
        <v>4442</v>
      </c>
      <c r="B143" s="4" t="s">
        <v>4443</v>
      </c>
      <c r="C143" s="4" t="s">
        <v>1869</v>
      </c>
      <c r="D143" s="3">
        <v>25.0328222</v>
      </c>
      <c r="E143" s="3">
        <v>121.5092647</v>
      </c>
      <c r="F143" s="3" t="s">
        <v>130</v>
      </c>
      <c r="G143" s="4" t="s">
        <v>1832</v>
      </c>
      <c r="H143" s="3"/>
    </row>
    <row r="144" ht="15.75" customHeight="1">
      <c r="A144" s="4" t="s">
        <v>4444</v>
      </c>
      <c r="B144" s="4" t="s">
        <v>4445</v>
      </c>
      <c r="C144" s="4" t="s">
        <v>1873</v>
      </c>
      <c r="D144" s="3">
        <v>25.0328161</v>
      </c>
      <c r="E144" s="3">
        <v>121.5092834</v>
      </c>
      <c r="F144" s="3" t="s">
        <v>130</v>
      </c>
      <c r="G144" s="4" t="s">
        <v>1832</v>
      </c>
      <c r="H144" s="3"/>
    </row>
    <row r="145" ht="15.75" customHeight="1">
      <c r="A145" s="4" t="s">
        <v>4446</v>
      </c>
      <c r="B145" s="4" t="s">
        <v>4447</v>
      </c>
      <c r="C145" s="4" t="s">
        <v>1881</v>
      </c>
      <c r="D145" s="3">
        <v>25.0328307</v>
      </c>
      <c r="E145" s="3">
        <v>121.5093182</v>
      </c>
      <c r="F145" s="3" t="s">
        <v>130</v>
      </c>
      <c r="G145" s="4" t="s">
        <v>4157</v>
      </c>
      <c r="H145" s="3"/>
    </row>
    <row r="146" ht="15.75" customHeight="1">
      <c r="A146" s="4" t="s">
        <v>4448</v>
      </c>
      <c r="B146" s="4" t="s">
        <v>4449</v>
      </c>
      <c r="C146" s="4" t="s">
        <v>1884</v>
      </c>
      <c r="D146" s="3">
        <v>25.0327565</v>
      </c>
      <c r="E146" s="3">
        <v>121.5096734</v>
      </c>
      <c r="F146" s="3" t="s">
        <v>130</v>
      </c>
      <c r="G146" s="4" t="s">
        <v>1838</v>
      </c>
      <c r="H146" s="3"/>
    </row>
    <row r="147" ht="15.75" customHeight="1">
      <c r="A147" s="4" t="s">
        <v>4450</v>
      </c>
      <c r="B147" s="4" t="s">
        <v>4451</v>
      </c>
      <c r="C147" s="4" t="s">
        <v>1886</v>
      </c>
      <c r="D147" s="3">
        <v>25.0328465</v>
      </c>
      <c r="E147" s="3">
        <v>121.5093099</v>
      </c>
      <c r="F147" s="3" t="s">
        <v>130</v>
      </c>
      <c r="G147" s="4" t="s">
        <v>1832</v>
      </c>
      <c r="H147" s="3"/>
    </row>
    <row r="148" ht="15.75" customHeight="1">
      <c r="A148" s="4" t="s">
        <v>4452</v>
      </c>
      <c r="B148" s="4" t="s">
        <v>4453</v>
      </c>
      <c r="C148" s="4" t="s">
        <v>1889</v>
      </c>
      <c r="D148" s="3">
        <v>25.032741</v>
      </c>
      <c r="E148" s="3">
        <v>121.5096985</v>
      </c>
      <c r="F148" s="3" t="s">
        <v>130</v>
      </c>
      <c r="G148" s="4" t="s">
        <v>1838</v>
      </c>
      <c r="H148" s="3"/>
    </row>
    <row r="149" ht="15.75" customHeight="1">
      <c r="A149" s="4" t="s">
        <v>4454</v>
      </c>
      <c r="B149" s="4" t="s">
        <v>4455</v>
      </c>
      <c r="C149" s="4" t="s">
        <v>1891</v>
      </c>
      <c r="D149" s="3">
        <v>25.0328297</v>
      </c>
      <c r="E149" s="3">
        <v>121.5096501</v>
      </c>
      <c r="F149" s="3" t="s">
        <v>130</v>
      </c>
      <c r="G149" s="4" t="s">
        <v>1838</v>
      </c>
      <c r="H149" s="3"/>
    </row>
    <row r="150" ht="15.75" customHeight="1">
      <c r="A150" s="4" t="s">
        <v>4456</v>
      </c>
      <c r="B150" s="4" t="s">
        <v>4457</v>
      </c>
      <c r="C150" s="4" t="s">
        <v>1894</v>
      </c>
      <c r="D150" s="3">
        <v>25.0327944</v>
      </c>
      <c r="E150" s="3">
        <v>121.5092933</v>
      </c>
      <c r="F150" s="3" t="s">
        <v>130</v>
      </c>
      <c r="G150" s="4" t="s">
        <v>1832</v>
      </c>
      <c r="H150" s="3"/>
    </row>
    <row r="151" ht="15.75" customHeight="1">
      <c r="A151" s="4" t="s">
        <v>4458</v>
      </c>
      <c r="B151" s="4" t="s">
        <v>4459</v>
      </c>
      <c r="C151" s="4" t="s">
        <v>1898</v>
      </c>
      <c r="D151" s="3">
        <v>25.0328759</v>
      </c>
      <c r="E151" s="3">
        <v>121.5093092</v>
      </c>
      <c r="F151" s="3" t="s">
        <v>130</v>
      </c>
      <c r="G151" s="4" t="s">
        <v>1832</v>
      </c>
      <c r="H151" s="3"/>
    </row>
    <row r="152" ht="15.75" customHeight="1">
      <c r="A152" s="4" t="s">
        <v>4460</v>
      </c>
      <c r="B152" s="4" t="s">
        <v>4461</v>
      </c>
      <c r="C152" s="4" t="s">
        <v>1901</v>
      </c>
      <c r="D152" s="3">
        <v>25.0327325</v>
      </c>
      <c r="E152" s="3">
        <v>121.5096444</v>
      </c>
      <c r="F152" s="3" t="s">
        <v>130</v>
      </c>
      <c r="G152" s="4" t="s">
        <v>1838</v>
      </c>
      <c r="H152" s="3"/>
    </row>
    <row r="153" ht="15.75" customHeight="1">
      <c r="A153" s="4" t="s">
        <v>4462</v>
      </c>
      <c r="B153" s="4" t="s">
        <v>4463</v>
      </c>
      <c r="C153" s="4" t="s">
        <v>1903</v>
      </c>
      <c r="D153" s="3">
        <v>25.032741</v>
      </c>
      <c r="E153" s="3">
        <v>121.5096778</v>
      </c>
      <c r="F153" s="3" t="s">
        <v>130</v>
      </c>
      <c r="G153" s="4" t="s">
        <v>1838</v>
      </c>
      <c r="H153" s="3"/>
    </row>
    <row r="154" ht="15.75" customHeight="1">
      <c r="A154" s="4" t="s">
        <v>4464</v>
      </c>
      <c r="B154" s="4" t="s">
        <v>4465</v>
      </c>
      <c r="C154" s="4" t="s">
        <v>1905</v>
      </c>
      <c r="D154" s="3">
        <v>25.032826</v>
      </c>
      <c r="E154" s="3">
        <v>121.5097179</v>
      </c>
      <c r="F154" s="3" t="s">
        <v>130</v>
      </c>
      <c r="G154" s="4" t="s">
        <v>1838</v>
      </c>
      <c r="H154" s="3"/>
    </row>
    <row r="155" ht="15.75" customHeight="1">
      <c r="A155" s="4" t="s">
        <v>4466</v>
      </c>
      <c r="B155" s="4" t="s">
        <v>4467</v>
      </c>
      <c r="C155" s="4" t="s">
        <v>1908</v>
      </c>
      <c r="D155" s="3">
        <v>25.0328139</v>
      </c>
      <c r="E155" s="3">
        <v>121.5093115</v>
      </c>
      <c r="F155" s="3" t="s">
        <v>130</v>
      </c>
      <c r="G155" s="4" t="s">
        <v>1832</v>
      </c>
      <c r="H155" s="3"/>
    </row>
    <row r="156" ht="15.75" customHeight="1">
      <c r="A156" s="4" t="s">
        <v>4468</v>
      </c>
      <c r="B156" s="4" t="s">
        <v>4469</v>
      </c>
      <c r="C156" s="4" t="s">
        <v>1910</v>
      </c>
      <c r="D156" s="3">
        <v>25.0327325</v>
      </c>
      <c r="E156" s="3">
        <v>121.5096304</v>
      </c>
      <c r="F156" s="3" t="s">
        <v>130</v>
      </c>
      <c r="G156" s="4" t="s">
        <v>1838</v>
      </c>
      <c r="H156" s="3"/>
    </row>
    <row r="157" ht="15.75" customHeight="1">
      <c r="A157" s="4" t="s">
        <v>4470</v>
      </c>
      <c r="B157" s="4" t="s">
        <v>4471</v>
      </c>
      <c r="C157" s="4" t="s">
        <v>1912</v>
      </c>
      <c r="D157" s="3">
        <v>25.0328117</v>
      </c>
      <c r="E157" s="3">
        <v>121.5097373</v>
      </c>
      <c r="F157" s="3" t="s">
        <v>130</v>
      </c>
      <c r="G157" s="4" t="s">
        <v>1838</v>
      </c>
      <c r="H157" s="3"/>
    </row>
    <row r="158" ht="15.75" customHeight="1">
      <c r="A158" s="4" t="s">
        <v>4472</v>
      </c>
      <c r="B158" s="4" t="s">
        <v>4473</v>
      </c>
      <c r="C158" s="4" t="s">
        <v>1914</v>
      </c>
      <c r="D158" s="3">
        <v>25.0327266</v>
      </c>
      <c r="E158" s="3">
        <v>121.5096688</v>
      </c>
      <c r="F158" s="3" t="s">
        <v>130</v>
      </c>
      <c r="G158" s="4" t="s">
        <v>1838</v>
      </c>
      <c r="H158" s="3"/>
    </row>
    <row r="159" ht="15.75" customHeight="1">
      <c r="A159" s="4" t="s">
        <v>4474</v>
      </c>
      <c r="B159" s="4" t="s">
        <v>4475</v>
      </c>
      <c r="C159" s="4" t="s">
        <v>1917</v>
      </c>
      <c r="D159" s="3">
        <v>25.0328457</v>
      </c>
      <c r="E159" s="3">
        <v>121.5091845</v>
      </c>
      <c r="F159" s="3" t="s">
        <v>130</v>
      </c>
      <c r="G159" s="4" t="s">
        <v>1832</v>
      </c>
      <c r="H159" s="3"/>
    </row>
    <row r="160" ht="15.75" customHeight="1">
      <c r="A160" s="4" t="s">
        <v>4476</v>
      </c>
      <c r="B160" s="4" t="s">
        <v>4477</v>
      </c>
      <c r="C160" s="4" t="s">
        <v>1919</v>
      </c>
      <c r="D160" s="3">
        <v>25.0328323</v>
      </c>
      <c r="E160" s="3">
        <v>121.5092327</v>
      </c>
      <c r="F160" s="3" t="s">
        <v>130</v>
      </c>
      <c r="G160" s="4" t="s">
        <v>1832</v>
      </c>
      <c r="H160" s="3"/>
    </row>
    <row r="161" ht="15.75" customHeight="1">
      <c r="A161" s="4" t="s">
        <v>4478</v>
      </c>
      <c r="B161" s="4" t="s">
        <v>4479</v>
      </c>
      <c r="C161" s="4" t="s">
        <v>1921</v>
      </c>
      <c r="D161" s="3">
        <v>25.0328129</v>
      </c>
      <c r="E161" s="3">
        <v>121.5092513</v>
      </c>
      <c r="F161" s="3" t="s">
        <v>130</v>
      </c>
      <c r="G161" s="4" t="s">
        <v>1832</v>
      </c>
      <c r="H161" s="3"/>
    </row>
    <row r="162" ht="15.75" customHeight="1">
      <c r="A162" s="4" t="s">
        <v>4480</v>
      </c>
      <c r="B162" s="4" t="s">
        <v>4481</v>
      </c>
      <c r="C162" s="4" t="s">
        <v>1923</v>
      </c>
      <c r="D162" s="3">
        <v>25.0328275</v>
      </c>
      <c r="E162" s="3">
        <v>121.5092459</v>
      </c>
      <c r="F162" s="3" t="s">
        <v>130</v>
      </c>
      <c r="G162" s="4" t="s">
        <v>1832</v>
      </c>
      <c r="H162" s="3"/>
    </row>
    <row r="163" ht="15.75" customHeight="1">
      <c r="A163" s="4" t="s">
        <v>4482</v>
      </c>
      <c r="B163" s="4" t="s">
        <v>4483</v>
      </c>
      <c r="C163" s="4" t="s">
        <v>1925</v>
      </c>
      <c r="D163" s="3">
        <v>25.0327388</v>
      </c>
      <c r="E163" s="3">
        <v>121.5096736</v>
      </c>
      <c r="F163" s="3" t="s">
        <v>130</v>
      </c>
      <c r="G163" s="4" t="s">
        <v>1838</v>
      </c>
      <c r="H163" s="3"/>
    </row>
    <row r="164" ht="15.75" customHeight="1">
      <c r="A164" s="4" t="s">
        <v>4484</v>
      </c>
      <c r="B164" s="4" t="s">
        <v>4485</v>
      </c>
      <c r="C164" s="4" t="s">
        <v>1927</v>
      </c>
      <c r="D164" s="3">
        <v>25.0327339</v>
      </c>
      <c r="E164" s="3">
        <v>121.5097257</v>
      </c>
      <c r="F164" s="3" t="s">
        <v>130</v>
      </c>
      <c r="G164" s="4" t="s">
        <v>1838</v>
      </c>
      <c r="H164" s="3"/>
    </row>
    <row r="165" ht="15.75" customHeight="1">
      <c r="A165" s="4" t="s">
        <v>4486</v>
      </c>
      <c r="B165" s="4" t="s">
        <v>4487</v>
      </c>
      <c r="C165" s="4" t="s">
        <v>1929</v>
      </c>
      <c r="D165" s="3">
        <v>25.032914</v>
      </c>
      <c r="E165" s="3">
        <v>121.5091634</v>
      </c>
      <c r="F165" s="3" t="s">
        <v>130</v>
      </c>
      <c r="G165" s="4" t="s">
        <v>1832</v>
      </c>
      <c r="H165" s="3"/>
    </row>
    <row r="166" ht="15.75" customHeight="1">
      <c r="A166" s="4" t="s">
        <v>4488</v>
      </c>
      <c r="B166" s="4" t="s">
        <v>4489</v>
      </c>
      <c r="C166" s="4" t="s">
        <v>1935</v>
      </c>
      <c r="D166" s="3">
        <v>25.0328058</v>
      </c>
      <c r="E166" s="3">
        <v>121.5095789</v>
      </c>
      <c r="F166" s="3" t="s">
        <v>130</v>
      </c>
      <c r="G166" s="4" t="s">
        <v>1838</v>
      </c>
      <c r="H166" s="3"/>
    </row>
    <row r="167" ht="15.75" customHeight="1">
      <c r="A167" s="4" t="s">
        <v>4490</v>
      </c>
      <c r="B167" s="4" t="s">
        <v>4491</v>
      </c>
      <c r="C167" s="4" t="s">
        <v>1939</v>
      </c>
      <c r="D167" s="3">
        <v>25.0328447</v>
      </c>
      <c r="E167" s="3">
        <v>121.5091939</v>
      </c>
      <c r="F167" s="3" t="s">
        <v>130</v>
      </c>
      <c r="G167" s="4" t="s">
        <v>1832</v>
      </c>
      <c r="H167" s="3"/>
    </row>
    <row r="168" ht="15.75" customHeight="1">
      <c r="A168" s="4" t="s">
        <v>4492</v>
      </c>
      <c r="B168" s="4" t="s">
        <v>4493</v>
      </c>
      <c r="C168" s="4" t="s">
        <v>1941</v>
      </c>
      <c r="D168" s="3">
        <v>25.0327669</v>
      </c>
      <c r="E168" s="3">
        <v>121.5096189</v>
      </c>
      <c r="F168" s="3" t="s">
        <v>130</v>
      </c>
      <c r="G168" s="4" t="s">
        <v>1838</v>
      </c>
      <c r="H168" s="3"/>
    </row>
    <row r="169" ht="15.75" customHeight="1">
      <c r="A169" s="4" t="s">
        <v>4494</v>
      </c>
      <c r="B169" s="4" t="s">
        <v>4495</v>
      </c>
      <c r="C169" s="4" t="s">
        <v>1943</v>
      </c>
      <c r="D169" s="3">
        <v>25.0329225</v>
      </c>
      <c r="E169" s="3">
        <v>121.5092687</v>
      </c>
      <c r="F169" s="3" t="s">
        <v>130</v>
      </c>
      <c r="G169" s="4" t="s">
        <v>1832</v>
      </c>
      <c r="H169" s="3"/>
    </row>
    <row r="170" ht="15.75" customHeight="1">
      <c r="A170" s="4" t="s">
        <v>4496</v>
      </c>
      <c r="B170" s="4" t="s">
        <v>4497</v>
      </c>
      <c r="C170" s="4" t="s">
        <v>1946</v>
      </c>
      <c r="D170" s="3">
        <v>25.0327925</v>
      </c>
      <c r="E170" s="3">
        <v>121.5092538</v>
      </c>
      <c r="F170" s="3" t="s">
        <v>130</v>
      </c>
      <c r="G170" s="4" t="s">
        <v>1832</v>
      </c>
      <c r="H170" s="3"/>
    </row>
    <row r="171" ht="15.75" customHeight="1">
      <c r="A171" s="4" t="s">
        <v>4498</v>
      </c>
      <c r="B171" s="4" t="s">
        <v>4499</v>
      </c>
      <c r="C171" s="4" t="s">
        <v>1948</v>
      </c>
      <c r="D171" s="3">
        <v>25.0328083</v>
      </c>
      <c r="E171" s="3">
        <v>121.5095594</v>
      </c>
      <c r="F171" s="3" t="s">
        <v>130</v>
      </c>
      <c r="G171" s="4" t="s">
        <v>1838</v>
      </c>
      <c r="H171" s="3"/>
    </row>
    <row r="172" ht="15.75" customHeight="1">
      <c r="A172" s="4" t="s">
        <v>4500</v>
      </c>
      <c r="B172" s="4" t="s">
        <v>4501</v>
      </c>
      <c r="C172" s="4" t="s">
        <v>1951</v>
      </c>
      <c r="D172" s="3">
        <v>25.0328095</v>
      </c>
      <c r="E172" s="3">
        <v>121.5092723</v>
      </c>
      <c r="F172" s="3" t="s">
        <v>130</v>
      </c>
      <c r="G172" s="4" t="s">
        <v>1832</v>
      </c>
      <c r="H172" s="3"/>
    </row>
    <row r="173" ht="15.75" customHeight="1">
      <c r="A173" s="4" t="s">
        <v>4502</v>
      </c>
      <c r="B173" s="4" t="s">
        <v>4503</v>
      </c>
      <c r="C173" s="4" t="s">
        <v>1953</v>
      </c>
      <c r="D173" s="3">
        <v>25.0328291</v>
      </c>
      <c r="E173" s="3">
        <v>121.5091835</v>
      </c>
      <c r="F173" s="3" t="s">
        <v>130</v>
      </c>
      <c r="G173" s="4" t="s">
        <v>1832</v>
      </c>
      <c r="H173" s="3"/>
    </row>
    <row r="174" ht="15.75" customHeight="1">
      <c r="A174" s="4" t="s">
        <v>4504</v>
      </c>
      <c r="B174" s="4" t="s">
        <v>4505</v>
      </c>
      <c r="C174" s="4" t="s">
        <v>1955</v>
      </c>
      <c r="D174" s="3">
        <v>25.0329154</v>
      </c>
      <c r="E174" s="3">
        <v>121.5092947</v>
      </c>
      <c r="F174" s="3" t="s">
        <v>130</v>
      </c>
      <c r="G174" s="4" t="s">
        <v>1832</v>
      </c>
      <c r="H174" s="3"/>
    </row>
    <row r="175" ht="15.75" customHeight="1">
      <c r="A175" s="4" t="s">
        <v>4506</v>
      </c>
      <c r="B175" s="4" t="s">
        <v>4507</v>
      </c>
      <c r="C175" s="4" t="s">
        <v>1957</v>
      </c>
      <c r="D175" s="3">
        <v>25.0329264</v>
      </c>
      <c r="E175" s="3">
        <v>121.5091833</v>
      </c>
      <c r="F175" s="3" t="s">
        <v>130</v>
      </c>
      <c r="G175" s="4" t="s">
        <v>1832</v>
      </c>
      <c r="H175" s="3"/>
    </row>
    <row r="176" ht="15.75" customHeight="1">
      <c r="A176" s="4" t="s">
        <v>4508</v>
      </c>
      <c r="B176" s="4" t="s">
        <v>4509</v>
      </c>
      <c r="C176" s="4" t="s">
        <v>1962</v>
      </c>
      <c r="D176" s="3">
        <v>25.032868</v>
      </c>
      <c r="E176" s="3">
        <v>121.5093267</v>
      </c>
      <c r="F176" s="3" t="s">
        <v>130</v>
      </c>
      <c r="G176" s="4" t="s">
        <v>1832</v>
      </c>
      <c r="H176" s="3"/>
    </row>
    <row r="177" ht="15.75" customHeight="1">
      <c r="A177" s="4" t="s">
        <v>4510</v>
      </c>
      <c r="B177" s="4" t="s">
        <v>4511</v>
      </c>
      <c r="C177" s="4" t="s">
        <v>1964</v>
      </c>
      <c r="D177" s="3">
        <v>25.0328814</v>
      </c>
      <c r="E177" s="3">
        <v>121.509167</v>
      </c>
      <c r="F177" s="3" t="s">
        <v>130</v>
      </c>
      <c r="G177" s="4" t="s">
        <v>1832</v>
      </c>
      <c r="H177" s="3"/>
    </row>
    <row r="178" ht="15.75" customHeight="1">
      <c r="A178" s="4" t="s">
        <v>4512</v>
      </c>
      <c r="B178" s="4" t="s">
        <v>4513</v>
      </c>
      <c r="C178" s="4" t="s">
        <v>1966</v>
      </c>
      <c r="D178" s="3">
        <v>25.0328316</v>
      </c>
      <c r="E178" s="3">
        <v>121.5093466</v>
      </c>
      <c r="F178" s="3" t="s">
        <v>130</v>
      </c>
      <c r="G178" s="4" t="s">
        <v>1832</v>
      </c>
      <c r="H178" s="3"/>
    </row>
    <row r="179" ht="15.75" customHeight="1">
      <c r="A179" s="4" t="s">
        <v>4514</v>
      </c>
      <c r="B179" s="4" t="s">
        <v>4515</v>
      </c>
      <c r="C179" s="4" t="s">
        <v>1968</v>
      </c>
      <c r="D179" s="3">
        <v>25.0329069</v>
      </c>
      <c r="E179" s="3">
        <v>121.5092539</v>
      </c>
      <c r="F179" s="3" t="s">
        <v>130</v>
      </c>
      <c r="G179" s="4" t="s">
        <v>1832</v>
      </c>
      <c r="H179" s="3"/>
    </row>
    <row r="180" ht="15.75" customHeight="1">
      <c r="A180" s="4" t="s">
        <v>4516</v>
      </c>
      <c r="B180" s="4" t="s">
        <v>4517</v>
      </c>
      <c r="C180" s="4" t="s">
        <v>1970</v>
      </c>
      <c r="D180" s="3">
        <v>25.0327331</v>
      </c>
      <c r="E180" s="3">
        <v>121.5096856</v>
      </c>
      <c r="F180" s="3" t="s">
        <v>130</v>
      </c>
      <c r="G180" s="4" t="s">
        <v>1838</v>
      </c>
      <c r="H180" s="3"/>
    </row>
    <row r="181" ht="15.75" customHeight="1">
      <c r="A181" s="4" t="s">
        <v>4518</v>
      </c>
      <c r="B181" s="4" t="s">
        <v>4519</v>
      </c>
      <c r="C181" s="4" t="s">
        <v>1972</v>
      </c>
      <c r="D181" s="3">
        <v>25.0328231</v>
      </c>
      <c r="E181" s="3">
        <v>121.5093315</v>
      </c>
      <c r="F181" s="3" t="s">
        <v>130</v>
      </c>
      <c r="G181" s="4" t="s">
        <v>1832</v>
      </c>
      <c r="H181" s="3"/>
    </row>
    <row r="182" ht="15.75" customHeight="1">
      <c r="A182" s="4" t="s">
        <v>4520</v>
      </c>
      <c r="B182" s="4" t="s">
        <v>4521</v>
      </c>
      <c r="C182" s="4" t="s">
        <v>1974</v>
      </c>
      <c r="D182" s="3">
        <v>25.0327198</v>
      </c>
      <c r="E182" s="3">
        <v>121.509668</v>
      </c>
      <c r="F182" s="3" t="s">
        <v>130</v>
      </c>
      <c r="G182" s="4" t="s">
        <v>1838</v>
      </c>
      <c r="H182" s="3"/>
    </row>
    <row r="183" ht="15.75" customHeight="1">
      <c r="A183" s="4" t="s">
        <v>4522</v>
      </c>
      <c r="B183" s="4" t="s">
        <v>4523</v>
      </c>
      <c r="C183" s="4" t="s">
        <v>1976</v>
      </c>
      <c r="D183" s="3">
        <v>25.0328063</v>
      </c>
      <c r="E183" s="3">
        <v>121.5096824</v>
      </c>
      <c r="F183" s="3" t="s">
        <v>130</v>
      </c>
      <c r="G183" s="4" t="s">
        <v>1838</v>
      </c>
      <c r="H183" s="3"/>
    </row>
    <row r="184" ht="15.75" customHeight="1">
      <c r="A184" s="4" t="s">
        <v>4524</v>
      </c>
      <c r="B184" s="4" t="s">
        <v>4525</v>
      </c>
      <c r="C184" s="4" t="s">
        <v>1978</v>
      </c>
      <c r="D184" s="3">
        <v>25.032816</v>
      </c>
      <c r="E184" s="3">
        <v>121.5092102</v>
      </c>
      <c r="F184" s="3" t="s">
        <v>130</v>
      </c>
      <c r="G184" s="4" t="s">
        <v>1832</v>
      </c>
      <c r="H184" s="3"/>
    </row>
    <row r="185" ht="15.75" customHeight="1">
      <c r="A185" s="4" t="s">
        <v>4526</v>
      </c>
      <c r="B185" s="4" t="s">
        <v>4527</v>
      </c>
      <c r="C185" s="4" t="s">
        <v>1980</v>
      </c>
      <c r="D185" s="3">
        <v>25.0328063</v>
      </c>
      <c r="E185" s="3">
        <v>121.5093415</v>
      </c>
      <c r="F185" s="3" t="s">
        <v>130</v>
      </c>
      <c r="G185" s="4" t="s">
        <v>1832</v>
      </c>
      <c r="H185" s="3"/>
    </row>
    <row r="186" ht="15.75" customHeight="1">
      <c r="A186" s="4" t="s">
        <v>4528</v>
      </c>
      <c r="B186" s="4" t="s">
        <v>4529</v>
      </c>
      <c r="C186" s="4" t="s">
        <v>1984</v>
      </c>
      <c r="D186" s="3">
        <v>25.0328002</v>
      </c>
      <c r="E186" s="3">
        <v>121.5093119</v>
      </c>
      <c r="F186" s="3" t="s">
        <v>130</v>
      </c>
      <c r="G186" s="4" t="s">
        <v>1832</v>
      </c>
      <c r="H186" s="3"/>
    </row>
    <row r="187" ht="15.75" customHeight="1">
      <c r="A187" s="4" t="s">
        <v>4530</v>
      </c>
      <c r="B187" s="4" t="s">
        <v>4531</v>
      </c>
      <c r="C187" s="4" t="s">
        <v>1986</v>
      </c>
      <c r="D187" s="3">
        <v>25.0327625</v>
      </c>
      <c r="E187" s="3">
        <v>121.509631</v>
      </c>
      <c r="F187" s="3" t="s">
        <v>130</v>
      </c>
      <c r="G187" s="4" t="s">
        <v>1838</v>
      </c>
      <c r="H187" s="3"/>
    </row>
    <row r="188" ht="15.75" customHeight="1">
      <c r="A188" s="4" t="s">
        <v>4532</v>
      </c>
      <c r="B188" s="4" t="s">
        <v>4533</v>
      </c>
      <c r="C188" s="4" t="s">
        <v>1988</v>
      </c>
      <c r="D188" s="3">
        <v>25.0327795</v>
      </c>
      <c r="E188" s="3">
        <v>121.5097341</v>
      </c>
      <c r="F188" s="3" t="s">
        <v>130</v>
      </c>
      <c r="G188" s="4" t="s">
        <v>1838</v>
      </c>
      <c r="H188" s="3"/>
    </row>
    <row r="189" ht="15.75" customHeight="1">
      <c r="A189" s="4" t="s">
        <v>4534</v>
      </c>
      <c r="B189" s="4" t="s">
        <v>4535</v>
      </c>
      <c r="C189" s="4" t="s">
        <v>1990</v>
      </c>
      <c r="D189" s="3">
        <v>25.0327941</v>
      </c>
      <c r="E189" s="3">
        <v>121.5093263</v>
      </c>
      <c r="F189" s="3" t="s">
        <v>130</v>
      </c>
      <c r="G189" s="4" t="s">
        <v>1832</v>
      </c>
      <c r="H189" s="3"/>
    </row>
    <row r="190" ht="15.75" customHeight="1">
      <c r="A190" s="4" t="s">
        <v>4536</v>
      </c>
      <c r="B190" s="4" t="s">
        <v>4537</v>
      </c>
      <c r="C190" s="4" t="s">
        <v>1992</v>
      </c>
      <c r="D190" s="3">
        <v>25.0328002</v>
      </c>
      <c r="E190" s="3">
        <v>121.5092243</v>
      </c>
      <c r="F190" s="3" t="s">
        <v>130</v>
      </c>
      <c r="G190" s="4" t="s">
        <v>1832</v>
      </c>
      <c r="H190" s="3"/>
    </row>
    <row r="191" ht="15.75" customHeight="1">
      <c r="A191" s="4" t="s">
        <v>4538</v>
      </c>
      <c r="B191" s="4" t="s">
        <v>4539</v>
      </c>
      <c r="C191" s="4" t="s">
        <v>1994</v>
      </c>
      <c r="D191" s="3">
        <v>25.0327273</v>
      </c>
      <c r="E191" s="3">
        <v>121.5096252</v>
      </c>
      <c r="F191" s="3" t="s">
        <v>130</v>
      </c>
      <c r="G191" s="4" t="s">
        <v>1838</v>
      </c>
      <c r="H191" s="3"/>
    </row>
    <row r="192" ht="15.75" customHeight="1">
      <c r="A192" s="4" t="s">
        <v>4540</v>
      </c>
      <c r="B192" s="4" t="s">
        <v>4541</v>
      </c>
      <c r="C192" s="4" t="s">
        <v>1996</v>
      </c>
      <c r="D192" s="3">
        <v>25.0328427</v>
      </c>
      <c r="E192" s="3">
        <v>121.509625</v>
      </c>
      <c r="F192" s="3" t="s">
        <v>130</v>
      </c>
      <c r="G192" s="4" t="s">
        <v>1838</v>
      </c>
      <c r="H192" s="3"/>
    </row>
    <row r="193" ht="15.75" customHeight="1">
      <c r="A193" s="4" t="s">
        <v>4542</v>
      </c>
      <c r="B193" s="4" t="s">
        <v>4543</v>
      </c>
      <c r="C193" s="4" t="s">
        <v>2000</v>
      </c>
      <c r="D193" s="3">
        <v>25.0327421</v>
      </c>
      <c r="E193" s="3">
        <v>121.5096462</v>
      </c>
      <c r="F193" s="3" t="s">
        <v>130</v>
      </c>
      <c r="G193" s="4" t="s">
        <v>1838</v>
      </c>
      <c r="H193" s="3"/>
    </row>
    <row r="194" ht="15.75" customHeight="1">
      <c r="A194" s="4" t="s">
        <v>4544</v>
      </c>
      <c r="B194" s="4" t="s">
        <v>4545</v>
      </c>
      <c r="C194" s="4" t="s">
        <v>2002</v>
      </c>
      <c r="D194" s="3">
        <v>25.0329292</v>
      </c>
      <c r="E194" s="3">
        <v>121.5092035</v>
      </c>
      <c r="F194" s="3" t="s">
        <v>130</v>
      </c>
      <c r="G194" s="4" t="s">
        <v>1832</v>
      </c>
      <c r="H194" s="3"/>
    </row>
    <row r="195" ht="15.75" customHeight="1">
      <c r="A195" s="4" t="s">
        <v>4546</v>
      </c>
      <c r="B195" s="4" t="s">
        <v>4547</v>
      </c>
      <c r="C195" s="4" t="s">
        <v>2006</v>
      </c>
      <c r="D195" s="3">
        <v>25.0329134</v>
      </c>
      <c r="E195" s="3">
        <v>121.5093107</v>
      </c>
      <c r="F195" s="3" t="s">
        <v>130</v>
      </c>
      <c r="G195" s="4" t="s">
        <v>1832</v>
      </c>
      <c r="H195" s="3"/>
    </row>
    <row r="196" ht="15.75" customHeight="1">
      <c r="A196" s="4" t="s">
        <v>4548</v>
      </c>
      <c r="B196" s="4" t="s">
        <v>4549</v>
      </c>
      <c r="C196" s="4" t="s">
        <v>2010</v>
      </c>
      <c r="D196" s="3">
        <v>25.0328211</v>
      </c>
      <c r="E196" s="3">
        <v>121.5096982</v>
      </c>
      <c r="F196" s="3" t="s">
        <v>130</v>
      </c>
      <c r="G196" s="4" t="s">
        <v>1838</v>
      </c>
      <c r="H196" s="3"/>
    </row>
    <row r="197" ht="15.75" customHeight="1">
      <c r="A197" s="4" t="s">
        <v>4550</v>
      </c>
      <c r="B197" s="4" t="s">
        <v>4551</v>
      </c>
      <c r="C197" s="4" t="s">
        <v>2013</v>
      </c>
      <c r="D197" s="3">
        <v>25.0328235</v>
      </c>
      <c r="E197" s="3">
        <v>121.5091978</v>
      </c>
      <c r="F197" s="3" t="s">
        <v>130</v>
      </c>
      <c r="G197" s="4" t="s">
        <v>1832</v>
      </c>
      <c r="H197" s="3"/>
    </row>
    <row r="198" ht="15.75" customHeight="1">
      <c r="A198" s="4" t="s">
        <v>4552</v>
      </c>
      <c r="B198" s="4" t="s">
        <v>4553</v>
      </c>
      <c r="C198" s="4" t="s">
        <v>2015</v>
      </c>
      <c r="D198" s="3">
        <v>25.0327348</v>
      </c>
      <c r="E198" s="3">
        <v>121.5096939</v>
      </c>
      <c r="F198" s="3" t="s">
        <v>130</v>
      </c>
      <c r="G198" s="4" t="s">
        <v>1838</v>
      </c>
      <c r="H198" s="3"/>
    </row>
    <row r="199" ht="15.75" customHeight="1">
      <c r="A199" s="4" t="s">
        <v>4554</v>
      </c>
      <c r="B199" s="4" t="s">
        <v>4555</v>
      </c>
      <c r="C199" s="4" t="s">
        <v>2017</v>
      </c>
      <c r="D199" s="3">
        <v>25.0327385</v>
      </c>
      <c r="E199" s="3">
        <v>121.5097059</v>
      </c>
      <c r="F199" s="3" t="s">
        <v>130</v>
      </c>
      <c r="G199" s="4" t="s">
        <v>1838</v>
      </c>
      <c r="H199" s="3"/>
    </row>
    <row r="200" ht="15.75" customHeight="1">
      <c r="A200" s="4" t="s">
        <v>4556</v>
      </c>
      <c r="B200" s="4" t="s">
        <v>4557</v>
      </c>
      <c r="C200" s="4" t="s">
        <v>2020</v>
      </c>
      <c r="D200" s="3">
        <v>25.0327761</v>
      </c>
      <c r="E200" s="3">
        <v>121.5097393</v>
      </c>
      <c r="F200" s="3" t="s">
        <v>130</v>
      </c>
      <c r="G200" s="4" t="s">
        <v>1838</v>
      </c>
      <c r="H200" s="3"/>
    </row>
    <row r="201" ht="15.75" customHeight="1">
      <c r="A201" s="4" t="s">
        <v>4558</v>
      </c>
      <c r="B201" s="4" t="s">
        <v>4559</v>
      </c>
      <c r="C201" s="4" t="s">
        <v>2022</v>
      </c>
      <c r="D201" s="3">
        <v>25.0328551</v>
      </c>
      <c r="E201" s="3">
        <v>121.509318</v>
      </c>
      <c r="F201" s="3" t="s">
        <v>130</v>
      </c>
      <c r="G201" s="4" t="s">
        <v>1832</v>
      </c>
      <c r="H201" s="3"/>
    </row>
    <row r="202" ht="15.75" customHeight="1">
      <c r="A202" s="4" t="s">
        <v>4560</v>
      </c>
      <c r="B202" s="4" t="s">
        <v>4561</v>
      </c>
      <c r="C202" s="4" t="s">
        <v>2024</v>
      </c>
      <c r="D202" s="3">
        <v>25.0327907</v>
      </c>
      <c r="E202" s="3">
        <v>121.5092723</v>
      </c>
      <c r="F202" s="3" t="s">
        <v>130</v>
      </c>
      <c r="G202" s="4" t="s">
        <v>1832</v>
      </c>
      <c r="H202" s="3"/>
    </row>
    <row r="203" ht="15.75" customHeight="1">
      <c r="A203" s="4" t="s">
        <v>4562</v>
      </c>
      <c r="B203" s="4" t="s">
        <v>4563</v>
      </c>
      <c r="C203" s="4" t="s">
        <v>2028</v>
      </c>
      <c r="D203" s="3">
        <v>25.0328687</v>
      </c>
      <c r="E203" s="3">
        <v>121.5091674</v>
      </c>
      <c r="F203" s="3" t="s">
        <v>130</v>
      </c>
      <c r="G203" s="4" t="s">
        <v>1832</v>
      </c>
      <c r="H203" s="3"/>
    </row>
    <row r="204" ht="15.75" customHeight="1">
      <c r="A204" s="4" t="s">
        <v>4564</v>
      </c>
      <c r="B204" s="4" t="s">
        <v>4565</v>
      </c>
      <c r="C204" s="4" t="s">
        <v>4566</v>
      </c>
      <c r="D204" s="3">
        <v>25.0327909</v>
      </c>
      <c r="E204" s="3">
        <v>121.5092384</v>
      </c>
      <c r="F204" s="3" t="s">
        <v>130</v>
      </c>
      <c r="G204" s="4" t="s">
        <v>1832</v>
      </c>
      <c r="H204" s="3"/>
    </row>
    <row r="205" ht="15.75" customHeight="1">
      <c r="A205" s="4" t="s">
        <v>4567</v>
      </c>
      <c r="B205" s="4" t="s">
        <v>4568</v>
      </c>
      <c r="C205" s="4" t="s">
        <v>2031</v>
      </c>
      <c r="D205" s="3">
        <v>25.0328578</v>
      </c>
      <c r="E205" s="3">
        <v>121.5093375</v>
      </c>
      <c r="F205" s="3" t="s">
        <v>130</v>
      </c>
      <c r="G205" s="4" t="s">
        <v>1832</v>
      </c>
      <c r="H205" s="3"/>
    </row>
    <row r="206" ht="15.75" customHeight="1">
      <c r="A206" s="4" t="s">
        <v>4569</v>
      </c>
      <c r="B206" s="4" t="s">
        <v>4570</v>
      </c>
      <c r="C206" s="4" t="s">
        <v>2036</v>
      </c>
      <c r="D206" s="3">
        <v>25.0327776</v>
      </c>
      <c r="E206" s="3">
        <v>121.5092931</v>
      </c>
      <c r="F206" s="3" t="s">
        <v>130</v>
      </c>
      <c r="G206" s="4" t="s">
        <v>1832</v>
      </c>
      <c r="H206" s="3"/>
    </row>
    <row r="207" ht="15.75" customHeight="1">
      <c r="A207" s="4" t="s">
        <v>4571</v>
      </c>
      <c r="B207" s="4" t="s">
        <v>4572</v>
      </c>
      <c r="C207" s="4" t="s">
        <v>2038</v>
      </c>
      <c r="D207" s="3">
        <v>25.0329064</v>
      </c>
      <c r="E207" s="3">
        <v>121.5093225</v>
      </c>
      <c r="F207" s="3" t="s">
        <v>130</v>
      </c>
      <c r="G207" s="4" t="s">
        <v>1832</v>
      </c>
      <c r="H207" s="3"/>
    </row>
    <row r="208" ht="15.75" customHeight="1">
      <c r="A208" s="4" t="s">
        <v>4573</v>
      </c>
      <c r="B208" s="4" t="s">
        <v>4574</v>
      </c>
      <c r="C208" s="4" t="s">
        <v>2040</v>
      </c>
      <c r="D208" s="3">
        <v>25.032718</v>
      </c>
      <c r="E208" s="3">
        <v>121.5096389</v>
      </c>
      <c r="F208" s="3" t="s">
        <v>130</v>
      </c>
      <c r="G208" s="4" t="s">
        <v>1838</v>
      </c>
      <c r="H208" s="3"/>
    </row>
    <row r="209" ht="15.75" customHeight="1">
      <c r="A209" s="4" t="s">
        <v>4575</v>
      </c>
      <c r="B209" s="4" t="s">
        <v>4576</v>
      </c>
      <c r="C209" s="4" t="s">
        <v>2042</v>
      </c>
      <c r="D209" s="3">
        <v>25.0328323</v>
      </c>
      <c r="E209" s="3">
        <v>121.5096629</v>
      </c>
      <c r="F209" s="3" t="s">
        <v>130</v>
      </c>
      <c r="G209" s="4" t="s">
        <v>1838</v>
      </c>
      <c r="H209" s="3"/>
    </row>
    <row r="210" ht="15.75" customHeight="1">
      <c r="A210" s="4" t="s">
        <v>4577</v>
      </c>
      <c r="B210" s="4" t="s">
        <v>4578</v>
      </c>
      <c r="C210" s="4" t="s">
        <v>2044</v>
      </c>
      <c r="D210" s="3">
        <v>25.032831</v>
      </c>
      <c r="E210" s="3">
        <v>121.5093611</v>
      </c>
      <c r="F210" s="3" t="s">
        <v>130</v>
      </c>
      <c r="G210" s="4" t="s">
        <v>1832</v>
      </c>
      <c r="H210" s="3"/>
    </row>
    <row r="211" ht="15.75" customHeight="1">
      <c r="A211" s="4" t="s">
        <v>4579</v>
      </c>
      <c r="B211" s="4" t="s">
        <v>4580</v>
      </c>
      <c r="C211" s="4" t="s">
        <v>2046</v>
      </c>
      <c r="D211" s="3">
        <v>25.0327776</v>
      </c>
      <c r="E211" s="3">
        <v>121.5093274</v>
      </c>
      <c r="F211" s="3" t="s">
        <v>130</v>
      </c>
      <c r="G211" s="4" t="s">
        <v>1832</v>
      </c>
      <c r="H211" s="3"/>
    </row>
    <row r="212" ht="15.75" customHeight="1">
      <c r="A212" s="4" t="s">
        <v>4581</v>
      </c>
      <c r="B212" s="4" t="s">
        <v>4582</v>
      </c>
      <c r="C212" s="4" t="s">
        <v>2048</v>
      </c>
      <c r="D212" s="3">
        <v>25.0327897</v>
      </c>
      <c r="E212" s="3">
        <v>121.5092951</v>
      </c>
      <c r="F212" s="3" t="s">
        <v>130</v>
      </c>
      <c r="G212" s="4" t="s">
        <v>1832</v>
      </c>
      <c r="H212" s="3"/>
    </row>
    <row r="213" ht="15.75" customHeight="1">
      <c r="A213" s="4" t="s">
        <v>4583</v>
      </c>
      <c r="B213" s="4" t="s">
        <v>4584</v>
      </c>
      <c r="C213" s="4" t="s">
        <v>2050</v>
      </c>
      <c r="D213" s="3">
        <v>25.0328057</v>
      </c>
      <c r="E213" s="3">
        <v>121.5095242</v>
      </c>
      <c r="F213" s="3" t="s">
        <v>130</v>
      </c>
      <c r="G213" s="4" t="s">
        <v>1838</v>
      </c>
      <c r="H213" s="3"/>
    </row>
    <row r="214" ht="15.75" customHeight="1">
      <c r="A214" s="4" t="s">
        <v>4585</v>
      </c>
      <c r="B214" s="4" t="s">
        <v>4586</v>
      </c>
      <c r="C214" s="4" t="s">
        <v>2054</v>
      </c>
      <c r="D214" s="3">
        <v>25.0327462</v>
      </c>
      <c r="E214" s="3">
        <v>121.5096232</v>
      </c>
      <c r="F214" s="3" t="s">
        <v>130</v>
      </c>
      <c r="G214" s="4" t="s">
        <v>1838</v>
      </c>
      <c r="H214" s="3"/>
    </row>
    <row r="215" ht="15.75" customHeight="1">
      <c r="A215" s="4" t="s">
        <v>4587</v>
      </c>
      <c r="B215" s="4" t="s">
        <v>4588</v>
      </c>
      <c r="C215" s="4" t="s">
        <v>1875</v>
      </c>
      <c r="D215" s="3">
        <v>25.0327912</v>
      </c>
      <c r="E215" s="3">
        <v>121.50967</v>
      </c>
      <c r="F215" s="3" t="s">
        <v>130</v>
      </c>
      <c r="G215" s="4" t="s">
        <v>1838</v>
      </c>
      <c r="H215" s="3"/>
    </row>
    <row r="216" ht="15.75" customHeight="1">
      <c r="A216" s="4" t="s">
        <v>4589</v>
      </c>
      <c r="B216" s="4" t="s">
        <v>4590</v>
      </c>
      <c r="C216" s="4" t="s">
        <v>2059</v>
      </c>
      <c r="D216" s="3">
        <v>25.0327827</v>
      </c>
      <c r="E216" s="3">
        <v>121.5095666</v>
      </c>
      <c r="F216" s="3" t="s">
        <v>130</v>
      </c>
      <c r="G216" s="4" t="s">
        <v>4157</v>
      </c>
      <c r="H216" s="3"/>
    </row>
    <row r="217" ht="15.75" customHeight="1">
      <c r="A217" s="4" t="s">
        <v>4591</v>
      </c>
      <c r="B217" s="4" t="s">
        <v>4592</v>
      </c>
      <c r="C217" s="4" t="s">
        <v>2064</v>
      </c>
      <c r="D217" s="3">
        <v>25.0327219</v>
      </c>
      <c r="E217" s="3">
        <v>121.5097124</v>
      </c>
      <c r="F217" s="3" t="s">
        <v>130</v>
      </c>
      <c r="G217" s="4" t="s">
        <v>1838</v>
      </c>
      <c r="H217" s="3"/>
    </row>
    <row r="218" ht="15.75" customHeight="1">
      <c r="A218" s="4" t="s">
        <v>4593</v>
      </c>
      <c r="B218" s="4" t="s">
        <v>4594</v>
      </c>
      <c r="C218" s="4" t="s">
        <v>2066</v>
      </c>
      <c r="D218" s="3">
        <v>25.032728</v>
      </c>
      <c r="E218" s="3">
        <v>121.5097043</v>
      </c>
      <c r="F218" s="3" t="s">
        <v>130</v>
      </c>
      <c r="G218" s="4" t="s">
        <v>1838</v>
      </c>
      <c r="H218" s="3"/>
    </row>
    <row r="219" ht="15.75" customHeight="1">
      <c r="A219" s="4" t="s">
        <v>4595</v>
      </c>
      <c r="B219" s="4" t="s">
        <v>4596</v>
      </c>
      <c r="C219" s="4" t="s">
        <v>2262</v>
      </c>
      <c r="D219" s="3">
        <v>25.032685</v>
      </c>
      <c r="E219" s="3">
        <v>121.5096403</v>
      </c>
      <c r="F219" s="3" t="s">
        <v>130</v>
      </c>
      <c r="G219" s="4" t="s">
        <v>4157</v>
      </c>
      <c r="H219" s="3"/>
    </row>
    <row r="220" ht="15.75" customHeight="1">
      <c r="A220" s="4" t="s">
        <v>4597</v>
      </c>
      <c r="B220" s="4" t="s">
        <v>4598</v>
      </c>
      <c r="C220" s="4" t="s">
        <v>2273</v>
      </c>
      <c r="D220" s="3">
        <v>25.0326725</v>
      </c>
      <c r="E220" s="3">
        <v>121.5096543</v>
      </c>
      <c r="F220" s="3" t="s">
        <v>130</v>
      </c>
      <c r="G220" s="4" t="s">
        <v>4157</v>
      </c>
      <c r="H220" s="3"/>
    </row>
    <row r="221" ht="15.75" customHeight="1">
      <c r="A221" s="4" t="s">
        <v>4599</v>
      </c>
      <c r="B221" s="4" t="s">
        <v>4600</v>
      </c>
      <c r="C221" s="4" t="s">
        <v>2448</v>
      </c>
      <c r="D221" s="3">
        <v>25.032708</v>
      </c>
      <c r="E221" s="3">
        <v>121.509552</v>
      </c>
      <c r="F221" s="3" t="s">
        <v>130</v>
      </c>
      <c r="G221" s="4" t="s">
        <v>4157</v>
      </c>
      <c r="H221" s="3"/>
    </row>
    <row r="222" ht="15.75" customHeight="1">
      <c r="A222" s="4" t="s">
        <v>4601</v>
      </c>
      <c r="B222" s="4" t="s">
        <v>4602</v>
      </c>
      <c r="C222" s="4" t="s">
        <v>2630</v>
      </c>
      <c r="D222" s="3">
        <v>25.0330853</v>
      </c>
      <c r="E222" s="3">
        <v>121.5093145</v>
      </c>
      <c r="F222" s="3" t="s">
        <v>130</v>
      </c>
      <c r="G222" s="4" t="s">
        <v>4157</v>
      </c>
      <c r="H222" s="3"/>
    </row>
    <row r="223" ht="15.75" customHeight="1">
      <c r="A223" s="4" t="s">
        <v>4603</v>
      </c>
      <c r="B223" s="4" t="s">
        <v>4604</v>
      </c>
      <c r="C223" s="4" t="s">
        <v>4605</v>
      </c>
      <c r="D223" s="3">
        <v>25.032933</v>
      </c>
      <c r="E223" s="3">
        <v>121.509261</v>
      </c>
      <c r="F223" s="3" t="s">
        <v>130</v>
      </c>
      <c r="G223" s="4" t="s">
        <v>4157</v>
      </c>
      <c r="H223" s="3"/>
    </row>
    <row r="224" ht="15.75" customHeight="1">
      <c r="A224" s="4" t="s">
        <v>4606</v>
      </c>
      <c r="B224" s="4" t="s">
        <v>4607</v>
      </c>
      <c r="C224" s="4" t="s">
        <v>2659</v>
      </c>
      <c r="D224" s="3">
        <v>25.032942</v>
      </c>
      <c r="E224" s="3">
        <v>121.509237</v>
      </c>
      <c r="F224" s="3" t="s">
        <v>130</v>
      </c>
      <c r="G224" s="4" t="s">
        <v>4157</v>
      </c>
      <c r="H224" s="3"/>
    </row>
    <row r="225" ht="15.75" customHeight="1">
      <c r="A225" s="4" t="s">
        <v>4608</v>
      </c>
      <c r="B225" s="4" t="s">
        <v>4609</v>
      </c>
      <c r="C225" s="4" t="s">
        <v>2613</v>
      </c>
      <c r="D225" s="3">
        <v>25.033082</v>
      </c>
      <c r="E225" s="3">
        <v>121.509425</v>
      </c>
      <c r="F225" s="3" t="s">
        <v>130</v>
      </c>
      <c r="G225" s="4" t="s">
        <v>4157</v>
      </c>
      <c r="H225" s="3"/>
    </row>
    <row r="226" ht="15.75" customHeight="1">
      <c r="A226" s="4" t="s">
        <v>4610</v>
      </c>
      <c r="B226" s="4" t="s">
        <v>4611</v>
      </c>
      <c r="C226" s="4" t="s">
        <v>2279</v>
      </c>
      <c r="D226" s="3">
        <v>25.032761</v>
      </c>
      <c r="E226" s="3">
        <v>121.509776</v>
      </c>
      <c r="F226" s="3" t="s">
        <v>130</v>
      </c>
      <c r="G226" s="4" t="s">
        <v>4157</v>
      </c>
      <c r="H226" s="3"/>
    </row>
    <row r="227" ht="15.75" customHeight="1">
      <c r="A227" s="4" t="s">
        <v>4612</v>
      </c>
      <c r="B227" s="4" t="s">
        <v>4613</v>
      </c>
      <c r="C227" s="4" t="s">
        <v>2420</v>
      </c>
      <c r="D227" s="3">
        <v>25.032785</v>
      </c>
      <c r="E227" s="3">
        <v>121.509399</v>
      </c>
      <c r="F227" s="3" t="s">
        <v>130</v>
      </c>
      <c r="G227" s="4" t="s">
        <v>4157</v>
      </c>
      <c r="H227" s="3"/>
    </row>
    <row r="228" ht="15.75" customHeight="1">
      <c r="A228" s="4" t="s">
        <v>4614</v>
      </c>
      <c r="B228" s="4" t="s">
        <v>4615</v>
      </c>
      <c r="C228" s="4" t="s">
        <v>2452</v>
      </c>
      <c r="D228" s="3">
        <v>25.032767</v>
      </c>
      <c r="E228" s="3">
        <v>121.5094</v>
      </c>
      <c r="F228" s="3" t="s">
        <v>130</v>
      </c>
      <c r="G228" s="4" t="s">
        <v>4157</v>
      </c>
      <c r="H228" s="3"/>
    </row>
    <row r="229" ht="15.75" customHeight="1">
      <c r="A229" s="4" t="s">
        <v>4616</v>
      </c>
      <c r="B229" s="4" t="s">
        <v>4617</v>
      </c>
      <c r="C229" s="4" t="s">
        <v>2444</v>
      </c>
      <c r="D229" s="3">
        <v>25.032728</v>
      </c>
      <c r="E229" s="3">
        <v>121.509454</v>
      </c>
      <c r="F229" s="3" t="s">
        <v>130</v>
      </c>
      <c r="G229" s="4" t="s">
        <v>4157</v>
      </c>
      <c r="H229" s="3"/>
    </row>
    <row r="230" ht="15.75" customHeight="1">
      <c r="A230" s="4" t="s">
        <v>4618</v>
      </c>
      <c r="B230" s="4" t="s">
        <v>4619</v>
      </c>
      <c r="C230" s="4" t="s">
        <v>2431</v>
      </c>
      <c r="D230" s="3">
        <v>25.032783</v>
      </c>
      <c r="E230" s="3">
        <v>121.509333</v>
      </c>
      <c r="F230" s="3" t="s">
        <v>130</v>
      </c>
      <c r="G230" s="4" t="s">
        <v>4157</v>
      </c>
      <c r="H230" s="3"/>
    </row>
    <row r="231" ht="15.75" customHeight="1">
      <c r="A231" s="4" t="s">
        <v>4620</v>
      </c>
      <c r="B231" s="4" t="s">
        <v>4621</v>
      </c>
      <c r="C231" s="4" t="s">
        <v>1834</v>
      </c>
      <c r="D231" s="3">
        <v>25.032504</v>
      </c>
      <c r="E231" s="3">
        <v>121.511001</v>
      </c>
      <c r="F231" s="3" t="s">
        <v>44</v>
      </c>
      <c r="G231" s="4" t="s">
        <v>4157</v>
      </c>
      <c r="H231" s="3"/>
    </row>
    <row r="232" ht="15.75" customHeight="1">
      <c r="A232" s="4" t="s">
        <v>4622</v>
      </c>
      <c r="B232" s="4" t="s">
        <v>4623</v>
      </c>
      <c r="C232" s="4" t="s">
        <v>2416</v>
      </c>
      <c r="D232" s="3">
        <v>25.032792</v>
      </c>
      <c r="E232" s="3">
        <v>121.509298</v>
      </c>
      <c r="F232" s="3" t="s">
        <v>130</v>
      </c>
      <c r="G232" s="4" t="s">
        <v>4157</v>
      </c>
      <c r="H232" s="3"/>
    </row>
    <row r="233" ht="15.75" customHeight="1">
      <c r="A233" s="4" t="s">
        <v>4624</v>
      </c>
      <c r="B233" s="4" t="s">
        <v>4625</v>
      </c>
      <c r="C233" s="4" t="s">
        <v>2636</v>
      </c>
      <c r="D233" s="3">
        <v>25.0330972</v>
      </c>
      <c r="E233" s="3">
        <v>121.5092214</v>
      </c>
      <c r="F233" s="3" t="s">
        <v>130</v>
      </c>
      <c r="G233" s="4" t="s">
        <v>4157</v>
      </c>
      <c r="H233" s="3"/>
    </row>
    <row r="234" ht="15.75" customHeight="1">
      <c r="A234" s="4" t="s">
        <v>4626</v>
      </c>
      <c r="B234" s="4" t="s">
        <v>4627</v>
      </c>
      <c r="C234" s="4" t="s">
        <v>2651</v>
      </c>
      <c r="D234" s="3">
        <v>25.032929</v>
      </c>
      <c r="E234" s="3">
        <v>121.5088505</v>
      </c>
      <c r="F234" s="3" t="s">
        <v>56</v>
      </c>
      <c r="G234" s="4" t="s">
        <v>4157</v>
      </c>
      <c r="H234" s="3"/>
    </row>
    <row r="235" ht="15.75" customHeight="1">
      <c r="A235" s="4" t="s">
        <v>4628</v>
      </c>
      <c r="B235" s="4" t="s">
        <v>4629</v>
      </c>
      <c r="C235" s="4" t="s">
        <v>2651</v>
      </c>
      <c r="D235" s="3">
        <v>25.0329695</v>
      </c>
      <c r="E235" s="3">
        <v>121.5094939</v>
      </c>
      <c r="F235" s="3" t="s">
        <v>130</v>
      </c>
      <c r="G235" s="4" t="s">
        <v>4157</v>
      </c>
      <c r="H235" s="3"/>
    </row>
    <row r="236" ht="15.75" customHeight="1">
      <c r="A236" s="4" t="s">
        <v>4630</v>
      </c>
      <c r="B236" s="4" t="s">
        <v>4631</v>
      </c>
      <c r="C236" s="4" t="s">
        <v>2622</v>
      </c>
      <c r="D236" s="3">
        <v>25.033062</v>
      </c>
      <c r="E236" s="3">
        <v>121.509115</v>
      </c>
      <c r="F236" s="3" t="s">
        <v>130</v>
      </c>
      <c r="G236" s="4" t="s">
        <v>4157</v>
      </c>
      <c r="H236" s="3"/>
    </row>
    <row r="237" ht="15.75" customHeight="1">
      <c r="A237" s="4" t="s">
        <v>4632</v>
      </c>
      <c r="B237" s="4" t="s">
        <v>4633</v>
      </c>
      <c r="C237" s="4" t="s">
        <v>559</v>
      </c>
      <c r="D237" s="3">
        <v>25.032771</v>
      </c>
      <c r="E237" s="3">
        <v>121.509359</v>
      </c>
      <c r="F237" s="3" t="s">
        <v>130</v>
      </c>
      <c r="G237" s="4" t="s">
        <v>4157</v>
      </c>
      <c r="H237" s="3"/>
    </row>
    <row r="238" ht="15.75" customHeight="1">
      <c r="A238" s="4" t="s">
        <v>4634</v>
      </c>
      <c r="B238" s="4" t="s">
        <v>4635</v>
      </c>
      <c r="C238" s="4" t="s">
        <v>2253</v>
      </c>
      <c r="D238" s="3">
        <v>25.032782</v>
      </c>
      <c r="E238" s="3">
        <v>121.509808</v>
      </c>
      <c r="F238" s="3" t="s">
        <v>130</v>
      </c>
      <c r="G238" s="4" t="s">
        <v>4157</v>
      </c>
      <c r="H238" s="3"/>
    </row>
    <row r="239" ht="15.75" customHeight="1">
      <c r="A239" s="4" t="s">
        <v>4636</v>
      </c>
      <c r="B239" s="4" t="s">
        <v>4637</v>
      </c>
      <c r="C239" s="4" t="s">
        <v>1315</v>
      </c>
      <c r="D239" s="3">
        <v>25.032774</v>
      </c>
      <c r="E239" s="3">
        <v>121.509788</v>
      </c>
      <c r="F239" s="3" t="s">
        <v>130</v>
      </c>
      <c r="G239" s="4" t="s">
        <v>4157</v>
      </c>
      <c r="H239" s="3"/>
    </row>
    <row r="240" ht="15.75" customHeight="1">
      <c r="A240" s="4" t="s">
        <v>4638</v>
      </c>
      <c r="B240" s="4" t="s">
        <v>4639</v>
      </c>
      <c r="C240" s="4" t="s">
        <v>2282</v>
      </c>
      <c r="D240" s="3">
        <v>25.032767</v>
      </c>
      <c r="E240" s="3">
        <v>121.50977</v>
      </c>
      <c r="F240" s="3" t="s">
        <v>130</v>
      </c>
      <c r="G240" s="4"/>
      <c r="H240" s="3"/>
    </row>
    <row r="241" ht="15.75" customHeight="1">
      <c r="A241" s="4" t="s">
        <v>4640</v>
      </c>
      <c r="B241" s="4" t="s">
        <v>4641</v>
      </c>
      <c r="C241" s="4" t="s">
        <v>1844</v>
      </c>
      <c r="D241" s="3">
        <v>25.032588</v>
      </c>
      <c r="E241" s="3">
        <v>121.509767</v>
      </c>
      <c r="F241" s="3" t="s">
        <v>130</v>
      </c>
      <c r="G241" s="4" t="s">
        <v>4157</v>
      </c>
      <c r="H241" s="3"/>
    </row>
    <row r="242" ht="15.75" customHeight="1">
      <c r="A242" s="4" t="s">
        <v>4642</v>
      </c>
      <c r="B242" s="4" t="s">
        <v>4643</v>
      </c>
      <c r="C242" s="4" t="s">
        <v>2627</v>
      </c>
      <c r="D242" s="3">
        <v>25.0330917</v>
      </c>
      <c r="E242" s="3">
        <v>121.5090769</v>
      </c>
      <c r="F242" s="3" t="s">
        <v>130</v>
      </c>
      <c r="G242" s="4" t="s">
        <v>4157</v>
      </c>
      <c r="H242" s="3"/>
    </row>
    <row r="243" ht="15.75" customHeight="1">
      <c r="A243" s="4" t="s">
        <v>4644</v>
      </c>
      <c r="B243" s="4" t="s">
        <v>4645</v>
      </c>
      <c r="C243" s="4" t="s">
        <v>2627</v>
      </c>
      <c r="D243" s="3">
        <v>25.032683</v>
      </c>
      <c r="E243" s="3">
        <v>121.510185</v>
      </c>
      <c r="F243" s="3" t="s">
        <v>130</v>
      </c>
      <c r="G243" s="4" t="s">
        <v>4157</v>
      </c>
      <c r="H243" s="3"/>
    </row>
    <row r="244" ht="15.75" customHeight="1">
      <c r="A244" s="4" t="s">
        <v>4646</v>
      </c>
      <c r="B244" s="4" t="s">
        <v>4647</v>
      </c>
      <c r="C244" s="4" t="s">
        <v>2619</v>
      </c>
      <c r="D244" s="3">
        <v>25.033024</v>
      </c>
      <c r="E244" s="3">
        <v>121.509119</v>
      </c>
      <c r="F244" s="3" t="s">
        <v>130</v>
      </c>
      <c r="G244" s="4" t="s">
        <v>4157</v>
      </c>
      <c r="H244" s="3"/>
    </row>
    <row r="245" ht="15.75" customHeight="1">
      <c r="A245" s="4" t="s">
        <v>4648</v>
      </c>
      <c r="B245" s="4" t="s">
        <v>4649</v>
      </c>
      <c r="C245" s="4" t="s">
        <v>2426</v>
      </c>
      <c r="D245" s="3">
        <v>25.032848</v>
      </c>
      <c r="E245" s="3">
        <v>121.509366</v>
      </c>
      <c r="F245" s="3" t="s">
        <v>130</v>
      </c>
      <c r="G245" s="4" t="s">
        <v>4157</v>
      </c>
      <c r="H245" s="3"/>
    </row>
    <row r="246" ht="15.75" customHeight="1">
      <c r="A246" s="4" t="s">
        <v>4650</v>
      </c>
      <c r="B246" s="4" t="s">
        <v>4651</v>
      </c>
      <c r="C246" s="4" t="s">
        <v>2643</v>
      </c>
      <c r="D246" s="3">
        <v>25.0331427</v>
      </c>
      <c r="E246" s="3">
        <v>121.5095793</v>
      </c>
      <c r="F246" s="3" t="s">
        <v>130</v>
      </c>
      <c r="G246" s="4" t="s">
        <v>4157</v>
      </c>
      <c r="H246" s="3"/>
    </row>
    <row r="247" ht="15.75" customHeight="1">
      <c r="A247" s="4" t="s">
        <v>4652</v>
      </c>
      <c r="B247" s="4" t="s">
        <v>4653</v>
      </c>
      <c r="C247" s="4" t="s">
        <v>1826</v>
      </c>
      <c r="D247" s="3">
        <v>25.032745</v>
      </c>
      <c r="E247" s="3">
        <v>121.50956</v>
      </c>
      <c r="F247" s="3" t="s">
        <v>130</v>
      </c>
      <c r="G247" s="4" t="s">
        <v>4157</v>
      </c>
      <c r="H247" s="3"/>
    </row>
    <row r="248" ht="15.75" customHeight="1">
      <c r="A248" s="4" t="s">
        <v>4654</v>
      </c>
      <c r="B248" s="4" t="s">
        <v>4655</v>
      </c>
      <c r="C248" s="4" t="s">
        <v>1836</v>
      </c>
      <c r="D248" s="3">
        <v>25.03279</v>
      </c>
      <c r="E248" s="3">
        <v>121.509741</v>
      </c>
      <c r="F248" s="3" t="s">
        <v>130</v>
      </c>
      <c r="G248" s="4" t="s">
        <v>1838</v>
      </c>
      <c r="H248" s="3"/>
    </row>
    <row r="249" ht="15.75" customHeight="1">
      <c r="A249" s="4" t="s">
        <v>4656</v>
      </c>
      <c r="B249" s="4" t="s">
        <v>4657</v>
      </c>
      <c r="C249" s="4" t="s">
        <v>2258</v>
      </c>
      <c r="D249" s="3">
        <v>25.03277</v>
      </c>
      <c r="E249" s="3">
        <v>121.509738</v>
      </c>
      <c r="F249" s="3" t="s">
        <v>130</v>
      </c>
      <c r="G249" s="4" t="s">
        <v>1838</v>
      </c>
      <c r="H249" s="3"/>
    </row>
    <row r="250" ht="15.75" customHeight="1">
      <c r="A250" s="4" t="s">
        <v>4658</v>
      </c>
      <c r="B250" s="4" t="s">
        <v>4659</v>
      </c>
      <c r="C250" s="4" t="s">
        <v>2265</v>
      </c>
      <c r="D250" s="3">
        <v>25.032793</v>
      </c>
      <c r="E250" s="3">
        <v>121.509732</v>
      </c>
      <c r="F250" s="3" t="s">
        <v>130</v>
      </c>
      <c r="G250" s="4" t="s">
        <v>1838</v>
      </c>
      <c r="H250" s="3"/>
    </row>
    <row r="251" ht="15.75" customHeight="1">
      <c r="A251" s="4" t="s">
        <v>4660</v>
      </c>
      <c r="B251" s="4" t="s">
        <v>4661</v>
      </c>
      <c r="C251" s="4" t="s">
        <v>2276</v>
      </c>
      <c r="D251" s="3">
        <v>25.0326296</v>
      </c>
      <c r="E251" s="3">
        <v>121.5098413</v>
      </c>
      <c r="F251" s="3" t="s">
        <v>130</v>
      </c>
      <c r="G251" s="4" t="s">
        <v>4157</v>
      </c>
      <c r="H251" s="3"/>
    </row>
    <row r="252" ht="15.75" customHeight="1">
      <c r="A252" s="4" t="s">
        <v>4662</v>
      </c>
      <c r="B252" s="4" t="s">
        <v>4663</v>
      </c>
      <c r="C252" s="4" t="s">
        <v>2289</v>
      </c>
      <c r="D252" s="3">
        <v>25.032622</v>
      </c>
      <c r="E252" s="3">
        <v>121.51004</v>
      </c>
      <c r="F252" s="3" t="s">
        <v>130</v>
      </c>
      <c r="G252" s="4" t="s">
        <v>4157</v>
      </c>
      <c r="H252" s="3"/>
    </row>
    <row r="253" ht="15.75" customHeight="1">
      <c r="A253" s="4" t="s">
        <v>4664</v>
      </c>
      <c r="B253" s="4" t="s">
        <v>4665</v>
      </c>
      <c r="C253" s="4" t="s">
        <v>2260</v>
      </c>
      <c r="D253" s="3">
        <v>25.032596</v>
      </c>
      <c r="E253" s="3">
        <v>121.50992</v>
      </c>
      <c r="F253" s="3" t="s">
        <v>130</v>
      </c>
      <c r="G253" s="4" t="s">
        <v>4157</v>
      </c>
      <c r="H253" s="3"/>
    </row>
    <row r="254" ht="15.75" customHeight="1">
      <c r="A254" s="4" t="s">
        <v>4666</v>
      </c>
      <c r="B254" s="4" t="s">
        <v>4667</v>
      </c>
      <c r="C254" s="4" t="s">
        <v>2256</v>
      </c>
      <c r="D254" s="3">
        <v>25.03257</v>
      </c>
      <c r="E254" s="3">
        <v>121.509888</v>
      </c>
      <c r="F254" s="3" t="s">
        <v>130</v>
      </c>
      <c r="G254" s="4" t="s">
        <v>4157</v>
      </c>
      <c r="H254" s="3"/>
    </row>
    <row r="255" ht="15.75" customHeight="1">
      <c r="A255" s="4" t="s">
        <v>4668</v>
      </c>
      <c r="B255" s="4" t="s">
        <v>4669</v>
      </c>
      <c r="C255" s="4" t="s">
        <v>2465</v>
      </c>
      <c r="D255" s="3">
        <v>25.03279</v>
      </c>
      <c r="E255" s="3">
        <v>121.509454</v>
      </c>
      <c r="F255" s="3" t="s">
        <v>130</v>
      </c>
      <c r="G255" s="4" t="s">
        <v>4157</v>
      </c>
      <c r="H255" s="3"/>
    </row>
    <row r="256" ht="15.75" customHeight="1">
      <c r="A256" s="4" t="s">
        <v>4670</v>
      </c>
      <c r="B256" s="4" t="s">
        <v>4671</v>
      </c>
      <c r="C256" s="4" t="s">
        <v>2617</v>
      </c>
      <c r="D256" s="3">
        <v>25.0331341</v>
      </c>
      <c r="E256" s="3">
        <v>121.5093546</v>
      </c>
      <c r="F256" s="3" t="s">
        <v>130</v>
      </c>
      <c r="G256" s="4" t="s">
        <v>4157</v>
      </c>
      <c r="H256" s="3"/>
    </row>
    <row r="257" ht="15.75" customHeight="1">
      <c r="A257" s="4" t="s">
        <v>4672</v>
      </c>
      <c r="B257" s="4" t="s">
        <v>4673</v>
      </c>
      <c r="C257" s="4" t="s">
        <v>1528</v>
      </c>
      <c r="D257" s="3">
        <v>25.0321466</v>
      </c>
      <c r="E257" s="3">
        <v>121.5092572</v>
      </c>
      <c r="F257" s="3" t="s">
        <v>156</v>
      </c>
      <c r="G257" s="4" t="s">
        <v>4157</v>
      </c>
      <c r="H257" s="3"/>
    </row>
    <row r="258" ht="15.75" customHeight="1">
      <c r="A258" s="4" t="s">
        <v>4674</v>
      </c>
      <c r="B258" s="4" t="s">
        <v>4675</v>
      </c>
      <c r="C258" s="4" t="s">
        <v>2470</v>
      </c>
      <c r="D258" s="3">
        <v>25.032744</v>
      </c>
      <c r="E258" s="3">
        <v>121.509445</v>
      </c>
      <c r="F258" s="3" t="s">
        <v>130</v>
      </c>
      <c r="G258" s="4" t="s">
        <v>4157</v>
      </c>
      <c r="H258" s="3"/>
    </row>
    <row r="259" ht="15.75" customHeight="1">
      <c r="A259" s="4" t="s">
        <v>4676</v>
      </c>
      <c r="B259" s="4" t="s">
        <v>4677</v>
      </c>
      <c r="C259" s="4" t="s">
        <v>2479</v>
      </c>
      <c r="D259" s="3">
        <v>25.032796</v>
      </c>
      <c r="E259" s="3">
        <v>121.50938</v>
      </c>
      <c r="F259" s="3" t="s">
        <v>130</v>
      </c>
      <c r="G259" s="4" t="s">
        <v>4157</v>
      </c>
      <c r="H259" s="3"/>
    </row>
    <row r="260" ht="15.75" customHeight="1">
      <c r="A260" s="4" t="s">
        <v>4678</v>
      </c>
      <c r="B260" s="4" t="s">
        <v>4679</v>
      </c>
      <c r="C260" s="4" t="s">
        <v>2083</v>
      </c>
      <c r="D260" s="3">
        <v>25.032853</v>
      </c>
      <c r="E260" s="3">
        <v>121.509291</v>
      </c>
      <c r="F260" s="3" t="s">
        <v>130</v>
      </c>
      <c r="G260" s="4" t="s">
        <v>4157</v>
      </c>
      <c r="H260" s="3"/>
    </row>
    <row r="261" ht="15.75" customHeight="1">
      <c r="A261" s="4" t="s">
        <v>4680</v>
      </c>
      <c r="B261" s="4" t="s">
        <v>4681</v>
      </c>
      <c r="C261" s="4" t="s">
        <v>2661</v>
      </c>
      <c r="D261" s="3">
        <v>25.0329773</v>
      </c>
      <c r="E261" s="3">
        <v>121.509355</v>
      </c>
      <c r="F261" s="3" t="s">
        <v>130</v>
      </c>
      <c r="G261" s="4" t="s">
        <v>4157</v>
      </c>
      <c r="H261" s="3"/>
    </row>
    <row r="262" ht="15.75" customHeight="1">
      <c r="A262" s="4" t="s">
        <v>4682</v>
      </c>
      <c r="B262" s="4" t="s">
        <v>4683</v>
      </c>
      <c r="C262" s="4" t="s">
        <v>1829</v>
      </c>
      <c r="D262" s="3">
        <v>25.0325928</v>
      </c>
      <c r="E262" s="3">
        <v>121.5097356</v>
      </c>
      <c r="F262" s="3" t="s">
        <v>130</v>
      </c>
      <c r="G262" s="4" t="s">
        <v>4157</v>
      </c>
      <c r="H262" s="3"/>
    </row>
    <row r="263" ht="15.75" customHeight="1">
      <c r="A263" s="4" t="s">
        <v>4684</v>
      </c>
      <c r="B263" s="4" t="s">
        <v>4685</v>
      </c>
      <c r="C263" s="4" t="s">
        <v>2305</v>
      </c>
      <c r="D263" s="3">
        <v>25.032578</v>
      </c>
      <c r="E263" s="3">
        <v>121.510004</v>
      </c>
      <c r="F263" s="3" t="s">
        <v>130</v>
      </c>
      <c r="G263" s="4" t="s">
        <v>4157</v>
      </c>
      <c r="H263" s="3"/>
    </row>
    <row r="264" ht="15.75" customHeight="1">
      <c r="A264" s="4" t="s">
        <v>4686</v>
      </c>
      <c r="B264" s="4" t="s">
        <v>4687</v>
      </c>
      <c r="C264" s="4" t="s">
        <v>2301</v>
      </c>
      <c r="D264" s="3">
        <v>25.032556</v>
      </c>
      <c r="E264" s="3">
        <v>121.509945</v>
      </c>
      <c r="F264" s="3" t="s">
        <v>130</v>
      </c>
      <c r="G264" s="4" t="s">
        <v>4157</v>
      </c>
      <c r="H264" s="3"/>
    </row>
    <row r="265" ht="15.75" customHeight="1">
      <c r="A265" s="4" t="s">
        <v>4688</v>
      </c>
      <c r="B265" s="4" t="s">
        <v>4689</v>
      </c>
      <c r="C265" s="4" t="s">
        <v>2291</v>
      </c>
      <c r="D265" s="3">
        <v>25.03259</v>
      </c>
      <c r="E265" s="3">
        <v>121.510008</v>
      </c>
      <c r="F265" s="3" t="s">
        <v>130</v>
      </c>
      <c r="G265" s="4" t="s">
        <v>4157</v>
      </c>
      <c r="H265" s="3"/>
    </row>
    <row r="266" ht="15.75" customHeight="1">
      <c r="A266" s="4" t="s">
        <v>4690</v>
      </c>
      <c r="B266" s="4" t="s">
        <v>4691</v>
      </c>
      <c r="C266" s="4" t="s">
        <v>4692</v>
      </c>
      <c r="D266" s="3">
        <v>25.032801</v>
      </c>
      <c r="E266" s="3">
        <v>121.509686</v>
      </c>
      <c r="F266" s="3" t="s">
        <v>130</v>
      </c>
      <c r="G266" s="4" t="s">
        <v>1838</v>
      </c>
      <c r="H266" s="3"/>
    </row>
    <row r="267" ht="15.75" customHeight="1">
      <c r="A267" s="4" t="s">
        <v>4693</v>
      </c>
      <c r="B267" s="4" t="s">
        <v>4694</v>
      </c>
      <c r="C267" s="4" t="s">
        <v>1982</v>
      </c>
      <c r="D267" s="3">
        <v>25.032792</v>
      </c>
      <c r="E267" s="3">
        <v>121.509701</v>
      </c>
      <c r="F267" s="3" t="s">
        <v>130</v>
      </c>
      <c r="G267" s="4" t="s">
        <v>1838</v>
      </c>
      <c r="H267" s="3"/>
    </row>
    <row r="268" ht="15.75" customHeight="1">
      <c r="A268" s="4" t="s">
        <v>4695</v>
      </c>
      <c r="B268" s="4" t="s">
        <v>4696</v>
      </c>
      <c r="C268" s="4" t="s">
        <v>2299</v>
      </c>
      <c r="D268" s="3">
        <v>25.032795</v>
      </c>
      <c r="E268" s="3">
        <v>121.509729</v>
      </c>
      <c r="F268" s="3" t="s">
        <v>130</v>
      </c>
      <c r="G268" s="4" t="s">
        <v>1838</v>
      </c>
      <c r="H268" s="3"/>
    </row>
    <row r="269" ht="15.75" customHeight="1">
      <c r="A269" s="4" t="s">
        <v>4697</v>
      </c>
      <c r="B269" s="4" t="s">
        <v>4698</v>
      </c>
      <c r="C269" s="4" t="s">
        <v>2307</v>
      </c>
      <c r="D269" s="3">
        <v>25.032591</v>
      </c>
      <c r="E269" s="3">
        <v>121.51</v>
      </c>
      <c r="F269" s="3" t="s">
        <v>130</v>
      </c>
      <c r="G269" s="4" t="s">
        <v>4157</v>
      </c>
      <c r="H269" s="3"/>
    </row>
    <row r="270" ht="15.75" customHeight="1">
      <c r="A270" s="4" t="s">
        <v>4699</v>
      </c>
      <c r="B270" s="4" t="s">
        <v>4700</v>
      </c>
      <c r="C270" s="4" t="s">
        <v>2293</v>
      </c>
      <c r="D270" s="3">
        <v>25.03257</v>
      </c>
      <c r="E270" s="3">
        <v>121.509961</v>
      </c>
      <c r="F270" s="3" t="s">
        <v>130</v>
      </c>
      <c r="G270" s="4" t="s">
        <v>4157</v>
      </c>
      <c r="H270" s="3"/>
    </row>
    <row r="271" ht="15.75" customHeight="1">
      <c r="A271" s="4" t="s">
        <v>4701</v>
      </c>
      <c r="B271" s="4" t="s">
        <v>4702</v>
      </c>
      <c r="C271" s="4" t="s">
        <v>2303</v>
      </c>
      <c r="D271" s="3">
        <v>25.0328002</v>
      </c>
      <c r="E271" s="3">
        <v>121.5099132</v>
      </c>
      <c r="F271" s="3" t="s">
        <v>44</v>
      </c>
      <c r="G271" s="4" t="s">
        <v>4157</v>
      </c>
      <c r="H271" s="3"/>
    </row>
    <row r="272" ht="15.75" customHeight="1">
      <c r="A272" s="4" t="s">
        <v>4703</v>
      </c>
      <c r="B272" s="4" t="s">
        <v>4704</v>
      </c>
      <c r="C272" s="4" t="s">
        <v>2677</v>
      </c>
      <c r="D272" s="3">
        <v>25.0331026</v>
      </c>
      <c r="E272" s="3">
        <v>121.5097269</v>
      </c>
      <c r="F272" s="3" t="s">
        <v>130</v>
      </c>
      <c r="G272" s="4" t="s">
        <v>4157</v>
      </c>
      <c r="H272" s="3"/>
    </row>
    <row r="273" ht="15.75" customHeight="1">
      <c r="A273" s="4" t="s">
        <v>4705</v>
      </c>
      <c r="B273" s="4" t="s">
        <v>4706</v>
      </c>
      <c r="C273" s="4" t="s">
        <v>1959</v>
      </c>
      <c r="D273" s="3">
        <v>25.032829</v>
      </c>
      <c r="E273" s="3">
        <v>121.509589</v>
      </c>
      <c r="F273" s="3" t="s">
        <v>130</v>
      </c>
      <c r="G273" s="4" t="s">
        <v>4157</v>
      </c>
      <c r="H273" s="3"/>
    </row>
    <row r="274" ht="15.75" customHeight="1">
      <c r="A274" s="4" t="s">
        <v>4707</v>
      </c>
      <c r="B274" s="4" t="s">
        <v>4708</v>
      </c>
      <c r="C274" s="4" t="s">
        <v>2468</v>
      </c>
      <c r="D274" s="3">
        <v>25.032775</v>
      </c>
      <c r="E274" s="3">
        <v>121.5094</v>
      </c>
      <c r="F274" s="3" t="s">
        <v>130</v>
      </c>
      <c r="G274" s="4" t="s">
        <v>4157</v>
      </c>
      <c r="H274" s="3"/>
    </row>
    <row r="275" ht="15.75" customHeight="1">
      <c r="A275" s="4" t="s">
        <v>4709</v>
      </c>
      <c r="B275" s="4" t="s">
        <v>4710</v>
      </c>
      <c r="C275" s="4" t="s">
        <v>2034</v>
      </c>
      <c r="D275" s="3">
        <v>25.032892</v>
      </c>
      <c r="E275" s="3">
        <v>121.509233</v>
      </c>
      <c r="F275" s="3" t="s">
        <v>130</v>
      </c>
      <c r="G275" s="4" t="s">
        <v>1832</v>
      </c>
      <c r="H275" s="3"/>
    </row>
    <row r="276" ht="15.75" customHeight="1">
      <c r="A276" s="4" t="s">
        <v>4711</v>
      </c>
      <c r="B276" s="4" t="s">
        <v>4712</v>
      </c>
      <c r="C276" s="4" t="s">
        <v>2089</v>
      </c>
      <c r="D276" s="3">
        <v>25.032898</v>
      </c>
      <c r="E276" s="3">
        <v>121.509224</v>
      </c>
      <c r="F276" s="3" t="s">
        <v>130</v>
      </c>
      <c r="G276" s="4" t="s">
        <v>1832</v>
      </c>
      <c r="H276" s="3"/>
    </row>
    <row r="277" ht="15.75" customHeight="1">
      <c r="A277" s="4" t="s">
        <v>4713</v>
      </c>
      <c r="B277" s="4" t="s">
        <v>4714</v>
      </c>
      <c r="C277" s="4" t="s">
        <v>2087</v>
      </c>
      <c r="D277" s="3">
        <v>25.032945</v>
      </c>
      <c r="E277" s="3">
        <v>121.509256</v>
      </c>
      <c r="F277" s="3" t="s">
        <v>130</v>
      </c>
      <c r="G277" s="4" t="s">
        <v>1832</v>
      </c>
      <c r="H277" s="3"/>
    </row>
    <row r="278" ht="15.75" customHeight="1">
      <c r="A278" s="4" t="s">
        <v>4715</v>
      </c>
      <c r="B278" s="4" t="s">
        <v>4716</v>
      </c>
      <c r="C278" s="4" t="s">
        <v>1831</v>
      </c>
      <c r="D278" s="3">
        <v>25.032928</v>
      </c>
      <c r="E278" s="3">
        <v>121.509185</v>
      </c>
      <c r="F278" s="3" t="s">
        <v>130</v>
      </c>
      <c r="G278" s="4" t="s">
        <v>1832</v>
      </c>
      <c r="H278" s="3"/>
    </row>
    <row r="279" ht="15.75" customHeight="1">
      <c r="A279" s="4" t="s">
        <v>4717</v>
      </c>
      <c r="B279" s="4" t="s">
        <v>4718</v>
      </c>
      <c r="C279" s="4" t="s">
        <v>2462</v>
      </c>
      <c r="D279" s="3">
        <v>25.032778</v>
      </c>
      <c r="E279" s="3">
        <v>121.509332</v>
      </c>
      <c r="F279" s="3" t="s">
        <v>130</v>
      </c>
      <c r="G279" s="4" t="s">
        <v>4157</v>
      </c>
      <c r="H279" s="3"/>
    </row>
    <row r="280" ht="15.75" customHeight="1">
      <c r="A280" s="4" t="s">
        <v>4719</v>
      </c>
      <c r="B280" s="4" t="s">
        <v>4720</v>
      </c>
      <c r="C280" s="4" t="s">
        <v>2297</v>
      </c>
      <c r="D280" s="3">
        <v>25.032815</v>
      </c>
      <c r="E280" s="3">
        <v>121.509736</v>
      </c>
      <c r="F280" s="3" t="s">
        <v>130</v>
      </c>
      <c r="G280" s="4" t="s">
        <v>1838</v>
      </c>
      <c r="H280" s="3"/>
    </row>
    <row r="281" ht="15.75" customHeight="1">
      <c r="A281" s="4" t="s">
        <v>4721</v>
      </c>
      <c r="B281" s="4" t="s">
        <v>4722</v>
      </c>
      <c r="C281" s="4" t="s">
        <v>2477</v>
      </c>
      <c r="D281" s="3">
        <v>25.032784</v>
      </c>
      <c r="E281" s="3">
        <v>121.509399</v>
      </c>
      <c r="F281" s="3" t="s">
        <v>130</v>
      </c>
      <c r="G281" s="4" t="s">
        <v>4157</v>
      </c>
      <c r="H281" s="3"/>
    </row>
    <row r="282" ht="15.75" customHeight="1">
      <c r="A282" s="4" t="s">
        <v>4723</v>
      </c>
      <c r="B282" s="4" t="s">
        <v>4724</v>
      </c>
      <c r="C282" s="4" t="s">
        <v>2295</v>
      </c>
      <c r="D282" s="3">
        <v>25.032599</v>
      </c>
      <c r="E282" s="3">
        <v>121.510031</v>
      </c>
      <c r="F282" s="3" t="s">
        <v>130</v>
      </c>
      <c r="G282" s="4" t="s">
        <v>4157</v>
      </c>
      <c r="H282" s="3"/>
    </row>
    <row r="283" ht="15.75" customHeight="1">
      <c r="A283" s="4" t="s">
        <v>4725</v>
      </c>
      <c r="B283" s="4" t="s">
        <v>4726</v>
      </c>
      <c r="C283" s="4" t="s">
        <v>2664</v>
      </c>
      <c r="D283" s="3">
        <v>25.033131</v>
      </c>
      <c r="E283" s="3">
        <v>121.50965</v>
      </c>
      <c r="F283" s="3" t="s">
        <v>130</v>
      </c>
      <c r="G283" s="4" t="s">
        <v>4157</v>
      </c>
      <c r="H283" s="3"/>
    </row>
    <row r="284" ht="15.75" customHeight="1">
      <c r="A284" s="4" t="s">
        <v>4727</v>
      </c>
      <c r="B284" s="4" t="s">
        <v>4728</v>
      </c>
      <c r="C284" s="4" t="s">
        <v>2670</v>
      </c>
      <c r="D284" s="3">
        <v>25.033097</v>
      </c>
      <c r="E284" s="3">
        <v>121.509404</v>
      </c>
      <c r="F284" s="3" t="s">
        <v>130</v>
      </c>
      <c r="G284" s="4" t="s">
        <v>4157</v>
      </c>
      <c r="H284" s="3"/>
    </row>
    <row r="285" ht="15.75" customHeight="1">
      <c r="A285" s="4" t="s">
        <v>4729</v>
      </c>
      <c r="B285" s="4" t="s">
        <v>4730</v>
      </c>
      <c r="C285" s="4" t="s">
        <v>2085</v>
      </c>
      <c r="D285" s="3">
        <v>25.032754</v>
      </c>
      <c r="E285" s="3">
        <v>121.509659</v>
      </c>
      <c r="F285" s="3" t="s">
        <v>130</v>
      </c>
      <c r="G285" s="4" t="s">
        <v>1838</v>
      </c>
      <c r="H285" s="3"/>
    </row>
    <row r="286" ht="15.75" customHeight="1">
      <c r="A286" s="4" t="s">
        <v>4731</v>
      </c>
      <c r="B286" s="4" t="s">
        <v>4732</v>
      </c>
      <c r="C286" s="4" t="s">
        <v>2057</v>
      </c>
      <c r="D286" s="3">
        <v>25.032783</v>
      </c>
      <c r="E286" s="3">
        <v>121.509685</v>
      </c>
      <c r="F286" s="3" t="s">
        <v>130</v>
      </c>
      <c r="G286" s="4" t="s">
        <v>1838</v>
      </c>
      <c r="H286" s="3"/>
    </row>
    <row r="287" ht="15.75" customHeight="1">
      <c r="A287" s="4" t="s">
        <v>4733</v>
      </c>
      <c r="B287" s="4" t="s">
        <v>4734</v>
      </c>
      <c r="C287" s="4" t="s">
        <v>2075</v>
      </c>
      <c r="D287" s="3">
        <v>25.03292</v>
      </c>
      <c r="E287" s="3">
        <v>121.509271</v>
      </c>
      <c r="F287" s="3" t="s">
        <v>130</v>
      </c>
      <c r="G287" s="4" t="s">
        <v>1832</v>
      </c>
      <c r="H287" s="3"/>
    </row>
    <row r="288" ht="15.75" customHeight="1">
      <c r="A288" s="4" t="s">
        <v>4735</v>
      </c>
      <c r="B288" s="4" t="s">
        <v>4736</v>
      </c>
      <c r="C288" s="4" t="s">
        <v>2472</v>
      </c>
      <c r="D288" s="3">
        <v>25.03282</v>
      </c>
      <c r="E288" s="3">
        <v>121.509286</v>
      </c>
      <c r="F288" s="3" t="s">
        <v>130</v>
      </c>
      <c r="G288" s="4" t="s">
        <v>4157</v>
      </c>
      <c r="H288" s="3"/>
    </row>
    <row r="289" ht="15.75" customHeight="1">
      <c r="A289" s="4" t="s">
        <v>4737</v>
      </c>
      <c r="B289" s="4" t="s">
        <v>4738</v>
      </c>
      <c r="C289" s="4" t="s">
        <v>2110</v>
      </c>
      <c r="D289" s="3">
        <v>25.032912</v>
      </c>
      <c r="E289" s="3">
        <v>121.509229</v>
      </c>
      <c r="F289" s="3" t="s">
        <v>130</v>
      </c>
      <c r="G289" s="4" t="s">
        <v>1832</v>
      </c>
      <c r="H289" s="3"/>
    </row>
    <row r="290" ht="15.75" customHeight="1">
      <c r="A290" s="4" t="s">
        <v>4739</v>
      </c>
      <c r="B290" s="4" t="s">
        <v>4740</v>
      </c>
      <c r="C290" s="4" t="s">
        <v>2702</v>
      </c>
      <c r="D290" s="3">
        <v>25.0322564</v>
      </c>
      <c r="E290" s="3">
        <v>121.50888</v>
      </c>
      <c r="F290" s="3" t="s">
        <v>56</v>
      </c>
      <c r="G290" s="4" t="s">
        <v>4157</v>
      </c>
      <c r="H290" s="3"/>
    </row>
    <row r="291" ht="15.75" customHeight="1">
      <c r="A291" s="4" t="s">
        <v>4741</v>
      </c>
      <c r="B291" s="4" t="s">
        <v>4742</v>
      </c>
      <c r="C291" s="4" t="s">
        <v>2115</v>
      </c>
      <c r="D291" s="3">
        <v>25.032802</v>
      </c>
      <c r="E291" s="3">
        <v>121.509402</v>
      </c>
      <c r="F291" s="3" t="s">
        <v>130</v>
      </c>
      <c r="G291" s="4" t="s">
        <v>4157</v>
      </c>
      <c r="H291" s="3"/>
    </row>
    <row r="292" ht="15.75" customHeight="1">
      <c r="A292" s="4" t="s">
        <v>4743</v>
      </c>
      <c r="B292" s="4" t="s">
        <v>4744</v>
      </c>
      <c r="C292" s="4" t="s">
        <v>2680</v>
      </c>
      <c r="D292" s="3">
        <v>25.031965</v>
      </c>
      <c r="E292" s="3">
        <v>121.510346</v>
      </c>
      <c r="F292" s="3" t="s">
        <v>44</v>
      </c>
      <c r="G292" s="4" t="s">
        <v>4157</v>
      </c>
      <c r="H292" s="3"/>
    </row>
    <row r="293" ht="15.75" customHeight="1">
      <c r="A293" s="4" t="s">
        <v>4745</v>
      </c>
      <c r="B293" s="4" t="s">
        <v>4746</v>
      </c>
      <c r="C293" s="4" t="s">
        <v>2313</v>
      </c>
      <c r="D293" s="3">
        <v>25.0328186</v>
      </c>
      <c r="E293" s="3">
        <v>121.5097032</v>
      </c>
      <c r="F293" s="3" t="s">
        <v>130</v>
      </c>
      <c r="G293" s="4" t="s">
        <v>1838</v>
      </c>
      <c r="H293" s="3"/>
    </row>
    <row r="294" ht="15.75" customHeight="1">
      <c r="A294" s="4" t="s">
        <v>4747</v>
      </c>
      <c r="B294" s="4" t="s">
        <v>4748</v>
      </c>
      <c r="C294" s="4" t="s">
        <v>2428</v>
      </c>
      <c r="D294" s="3">
        <v>25.032801</v>
      </c>
      <c r="E294" s="3">
        <v>121.509343</v>
      </c>
      <c r="F294" s="3" t="s">
        <v>130</v>
      </c>
      <c r="G294" s="4" t="s">
        <v>4157</v>
      </c>
      <c r="H294" s="3"/>
    </row>
    <row r="295" ht="15.75" customHeight="1">
      <c r="A295" s="4" t="s">
        <v>4749</v>
      </c>
      <c r="B295" s="4" t="s">
        <v>4750</v>
      </c>
      <c r="C295" s="4" t="s">
        <v>2720</v>
      </c>
      <c r="D295" s="3">
        <v>25.0331501</v>
      </c>
      <c r="E295" s="3">
        <v>121.5094754</v>
      </c>
      <c r="F295" s="3" t="s">
        <v>130</v>
      </c>
      <c r="G295" s="4" t="s">
        <v>4157</v>
      </c>
      <c r="H295" s="3"/>
    </row>
    <row r="296" ht="15.75" customHeight="1">
      <c r="A296" s="4" t="s">
        <v>4751</v>
      </c>
      <c r="B296" s="4" t="s">
        <v>4752</v>
      </c>
      <c r="C296" s="4" t="s">
        <v>2668</v>
      </c>
      <c r="D296" s="3">
        <v>25.032792</v>
      </c>
      <c r="E296" s="3">
        <v>121.5098204</v>
      </c>
      <c r="F296" s="3" t="s">
        <v>130</v>
      </c>
      <c r="G296" s="4" t="s">
        <v>4157</v>
      </c>
      <c r="H296" s="3"/>
    </row>
    <row r="297" ht="15.75" customHeight="1">
      <c r="A297" s="4" t="s">
        <v>4753</v>
      </c>
      <c r="B297" s="4" t="s">
        <v>4754</v>
      </c>
      <c r="C297" s="4" t="s">
        <v>2309</v>
      </c>
      <c r="D297" s="3">
        <v>25.032357</v>
      </c>
      <c r="E297" s="3">
        <v>121.510552</v>
      </c>
      <c r="F297" s="3" t="s">
        <v>44</v>
      </c>
      <c r="G297" s="4" t="s">
        <v>4157</v>
      </c>
      <c r="H297" s="3"/>
    </row>
    <row r="298" ht="15.75" customHeight="1">
      <c r="A298" s="4" t="s">
        <v>4755</v>
      </c>
      <c r="B298" s="4" t="s">
        <v>4756</v>
      </c>
      <c r="C298" s="4" t="s">
        <v>2267</v>
      </c>
      <c r="D298" s="3">
        <v>25.0327292</v>
      </c>
      <c r="E298" s="3">
        <v>121.5098564</v>
      </c>
      <c r="F298" s="3" t="s">
        <v>130</v>
      </c>
      <c r="G298" s="4" t="s">
        <v>4157</v>
      </c>
      <c r="H298" s="3"/>
    </row>
    <row r="299" ht="15.75" customHeight="1">
      <c r="A299" s="4" t="s">
        <v>4757</v>
      </c>
      <c r="B299" s="4" t="s">
        <v>4758</v>
      </c>
      <c r="C299" s="4" t="s">
        <v>2706</v>
      </c>
      <c r="D299" s="3">
        <v>25.0330331</v>
      </c>
      <c r="E299" s="3">
        <v>121.5094044</v>
      </c>
      <c r="F299" s="3" t="s">
        <v>130</v>
      </c>
      <c r="G299" s="4" t="s">
        <v>4157</v>
      </c>
      <c r="H299" s="3"/>
    </row>
    <row r="300" ht="15.75" customHeight="1">
      <c r="A300" s="4" t="s">
        <v>4759</v>
      </c>
      <c r="B300" s="4" t="s">
        <v>4760</v>
      </c>
      <c r="C300" s="4" t="s">
        <v>2692</v>
      </c>
      <c r="D300" s="3">
        <v>25.0329995</v>
      </c>
      <c r="E300" s="3">
        <v>121.5091567</v>
      </c>
      <c r="F300" s="3" t="s">
        <v>130</v>
      </c>
      <c r="G300" s="4" t="s">
        <v>4157</v>
      </c>
      <c r="H300" s="3"/>
    </row>
    <row r="301" ht="15.75" customHeight="1">
      <c r="A301" s="4" t="s">
        <v>4761</v>
      </c>
      <c r="B301" s="4" t="s">
        <v>4762</v>
      </c>
      <c r="C301" s="4" t="s">
        <v>4763</v>
      </c>
      <c r="D301" s="3">
        <v>25.03308</v>
      </c>
      <c r="E301" s="3">
        <v>121.509453</v>
      </c>
      <c r="F301" s="3" t="s">
        <v>130</v>
      </c>
      <c r="G301" s="4" t="s">
        <v>4157</v>
      </c>
      <c r="H301" s="3"/>
    </row>
    <row r="302" ht="15.75" customHeight="1">
      <c r="A302" s="4" t="s">
        <v>4764</v>
      </c>
      <c r="B302" s="4" t="s">
        <v>4765</v>
      </c>
      <c r="C302" s="4" t="s">
        <v>2696</v>
      </c>
      <c r="D302" s="3">
        <v>25.032894</v>
      </c>
      <c r="E302" s="3">
        <v>121.509331</v>
      </c>
      <c r="F302" s="3" t="s">
        <v>130</v>
      </c>
      <c r="G302" s="4" t="s">
        <v>4157</v>
      </c>
      <c r="H302" s="3"/>
    </row>
    <row r="303" ht="15.75" customHeight="1">
      <c r="A303" s="4" t="s">
        <v>4766</v>
      </c>
      <c r="B303" s="4" t="s">
        <v>4767</v>
      </c>
      <c r="C303" s="4" t="s">
        <v>2506</v>
      </c>
      <c r="D303" s="3">
        <v>25.032827</v>
      </c>
      <c r="E303" s="3">
        <v>121.509373</v>
      </c>
      <c r="F303" s="3" t="s">
        <v>130</v>
      </c>
      <c r="G303" s="4" t="s">
        <v>4157</v>
      </c>
      <c r="H303" s="3"/>
    </row>
    <row r="304" ht="15.75" customHeight="1">
      <c r="A304" s="4" t="s">
        <v>4768</v>
      </c>
      <c r="B304" s="4" t="s">
        <v>4769</v>
      </c>
      <c r="C304" s="4" t="s">
        <v>2483</v>
      </c>
      <c r="D304" s="3">
        <v>25.032786</v>
      </c>
      <c r="E304" s="3">
        <v>121.509449</v>
      </c>
      <c r="F304" s="3" t="s">
        <v>130</v>
      </c>
      <c r="G304" s="4" t="s">
        <v>4157</v>
      </c>
      <c r="H304" s="3"/>
    </row>
    <row r="305" ht="15.75" customHeight="1">
      <c r="A305" s="4" t="s">
        <v>4770</v>
      </c>
      <c r="B305" s="4" t="s">
        <v>4771</v>
      </c>
      <c r="C305" s="4" t="s">
        <v>2508</v>
      </c>
      <c r="D305" s="3">
        <v>25.032823</v>
      </c>
      <c r="E305" s="3">
        <v>121.509352</v>
      </c>
      <c r="F305" s="3" t="s">
        <v>130</v>
      </c>
      <c r="G305" s="4" t="s">
        <v>4157</v>
      </c>
      <c r="H305" s="3"/>
    </row>
    <row r="306" ht="15.75" customHeight="1">
      <c r="A306" s="4" t="s">
        <v>4772</v>
      </c>
      <c r="B306" s="4" t="s">
        <v>4773</v>
      </c>
      <c r="C306" s="4" t="s">
        <v>2438</v>
      </c>
      <c r="D306" s="3">
        <v>25.03269</v>
      </c>
      <c r="E306" s="3">
        <v>121.509548</v>
      </c>
      <c r="F306" s="3" t="s">
        <v>130</v>
      </c>
      <c r="G306" s="4" t="s">
        <v>4157</v>
      </c>
      <c r="H306" s="3"/>
    </row>
    <row r="307" ht="15.75" customHeight="1">
      <c r="A307" s="4" t="s">
        <v>4774</v>
      </c>
      <c r="B307" s="4" t="s">
        <v>4775</v>
      </c>
      <c r="C307" s="4" t="s">
        <v>2475</v>
      </c>
      <c r="D307" s="3">
        <v>25.0326639</v>
      </c>
      <c r="E307" s="3">
        <v>121.5095613</v>
      </c>
      <c r="F307" s="3" t="s">
        <v>130</v>
      </c>
      <c r="G307" s="4" t="s">
        <v>4157</v>
      </c>
      <c r="H307" s="3"/>
    </row>
    <row r="308" ht="15.75" customHeight="1">
      <c r="A308" s="4" t="s">
        <v>4776</v>
      </c>
      <c r="B308" s="4" t="s">
        <v>4777</v>
      </c>
      <c r="C308" s="4" t="s">
        <v>2687</v>
      </c>
      <c r="D308" s="3">
        <v>25.032864</v>
      </c>
      <c r="E308" s="3">
        <v>121.5098323</v>
      </c>
      <c r="F308" s="3" t="s">
        <v>130</v>
      </c>
      <c r="G308" s="4" t="s">
        <v>4157</v>
      </c>
      <c r="H308" s="3"/>
    </row>
    <row r="309" ht="15.75" customHeight="1">
      <c r="A309" s="4" t="s">
        <v>4778</v>
      </c>
      <c r="B309" s="4" t="s">
        <v>4779</v>
      </c>
      <c r="C309" s="4" t="s">
        <v>2485</v>
      </c>
      <c r="D309" s="3">
        <v>25.032801</v>
      </c>
      <c r="E309" s="3">
        <v>121.509357</v>
      </c>
      <c r="F309" s="3" t="s">
        <v>130</v>
      </c>
      <c r="G309" s="4" t="s">
        <v>4157</v>
      </c>
      <c r="H309" s="3"/>
    </row>
    <row r="310" ht="15.75" customHeight="1">
      <c r="A310" s="4" t="s">
        <v>4780</v>
      </c>
      <c r="B310" s="4" t="s">
        <v>4781</v>
      </c>
      <c r="C310" s="4" t="s">
        <v>2101</v>
      </c>
      <c r="D310" s="3">
        <v>25.032896</v>
      </c>
      <c r="E310" s="3">
        <v>121.509317</v>
      </c>
      <c r="F310" s="3" t="s">
        <v>130</v>
      </c>
      <c r="G310" s="4" t="s">
        <v>1832</v>
      </c>
      <c r="H310" s="3"/>
    </row>
    <row r="311" ht="15.75" customHeight="1">
      <c r="A311" s="4" t="s">
        <v>4782</v>
      </c>
      <c r="B311" s="4" t="s">
        <v>4783</v>
      </c>
      <c r="C311" s="4" t="s">
        <v>2503</v>
      </c>
      <c r="D311" s="3">
        <v>25.03279</v>
      </c>
      <c r="E311" s="3">
        <v>121.509347</v>
      </c>
      <c r="F311" s="3" t="s">
        <v>130</v>
      </c>
      <c r="G311" s="4" t="s">
        <v>4157</v>
      </c>
      <c r="H311" s="3"/>
    </row>
    <row r="312" ht="15.75" customHeight="1">
      <c r="A312" s="4" t="s">
        <v>4784</v>
      </c>
      <c r="B312" s="4" t="s">
        <v>4785</v>
      </c>
      <c r="C312" s="4" t="s">
        <v>2514</v>
      </c>
      <c r="D312" s="3">
        <v>25.0321881</v>
      </c>
      <c r="E312" s="3">
        <v>121.5104846</v>
      </c>
      <c r="F312" s="3" t="s">
        <v>44</v>
      </c>
      <c r="G312" s="4" t="s">
        <v>4157</v>
      </c>
      <c r="H312" s="3"/>
    </row>
    <row r="313" ht="15.75" customHeight="1">
      <c r="A313" s="4" t="s">
        <v>4786</v>
      </c>
      <c r="B313" s="4" t="s">
        <v>4787</v>
      </c>
      <c r="C313" s="4" t="s">
        <v>2315</v>
      </c>
      <c r="D313" s="3">
        <v>25.032663</v>
      </c>
      <c r="E313" s="3">
        <v>121.509696</v>
      </c>
      <c r="F313" s="3" t="s">
        <v>130</v>
      </c>
      <c r="G313" s="4" t="s">
        <v>4157</v>
      </c>
      <c r="H313" s="3"/>
    </row>
    <row r="314" ht="15.75" customHeight="1">
      <c r="A314" s="4" t="s">
        <v>4788</v>
      </c>
      <c r="B314" s="4" t="s">
        <v>4789</v>
      </c>
      <c r="C314" s="4" t="s">
        <v>2315</v>
      </c>
      <c r="D314" s="3">
        <v>25.0316806</v>
      </c>
      <c r="E314" s="3">
        <v>121.5099378</v>
      </c>
      <c r="F314" s="3" t="s">
        <v>44</v>
      </c>
      <c r="G314" s="4" t="s">
        <v>4157</v>
      </c>
      <c r="H314" s="3"/>
    </row>
    <row r="315" ht="15.75" customHeight="1">
      <c r="A315" s="4" t="s">
        <v>4790</v>
      </c>
      <c r="B315" s="4" t="s">
        <v>4791</v>
      </c>
      <c r="C315" s="4" t="s">
        <v>2718</v>
      </c>
      <c r="D315" s="3">
        <v>25.033044</v>
      </c>
      <c r="E315" s="3">
        <v>121.509849</v>
      </c>
      <c r="F315" s="3" t="s">
        <v>130</v>
      </c>
      <c r="G315" s="4" t="s">
        <v>4157</v>
      </c>
      <c r="H315" s="3"/>
    </row>
    <row r="316" ht="15.75" customHeight="1">
      <c r="A316" s="4" t="s">
        <v>4792</v>
      </c>
      <c r="B316" s="4" t="s">
        <v>4793</v>
      </c>
      <c r="C316" s="4" t="s">
        <v>2624</v>
      </c>
      <c r="D316" s="3">
        <v>25.0330192</v>
      </c>
      <c r="E316" s="3">
        <v>121.5098711</v>
      </c>
      <c r="F316" s="3" t="s">
        <v>130</v>
      </c>
      <c r="G316" s="4" t="s">
        <v>4157</v>
      </c>
      <c r="H316" s="3"/>
    </row>
    <row r="317" ht="15.75" customHeight="1">
      <c r="A317" s="4" t="s">
        <v>4794</v>
      </c>
      <c r="B317" s="4" t="s">
        <v>4795</v>
      </c>
      <c r="C317" s="4" t="s">
        <v>2336</v>
      </c>
      <c r="D317" s="3">
        <v>25.0328159</v>
      </c>
      <c r="E317" s="3">
        <v>121.5097833</v>
      </c>
      <c r="F317" s="3" t="s">
        <v>130</v>
      </c>
      <c r="G317" s="4" t="s">
        <v>4157</v>
      </c>
      <c r="H317" s="3"/>
    </row>
    <row r="318" ht="15.75" customHeight="1">
      <c r="A318" s="4" t="s">
        <v>4796</v>
      </c>
      <c r="B318" s="4" t="s">
        <v>4797</v>
      </c>
      <c r="C318" s="4" t="s">
        <v>2492</v>
      </c>
      <c r="D318" s="3">
        <v>25.03275</v>
      </c>
      <c r="E318" s="3">
        <v>121.509276</v>
      </c>
      <c r="F318" s="3" t="s">
        <v>130</v>
      </c>
      <c r="G318" s="4" t="s">
        <v>4157</v>
      </c>
      <c r="H318" s="3"/>
    </row>
    <row r="319" ht="15.75" customHeight="1">
      <c r="A319" s="4" t="s">
        <v>4798</v>
      </c>
      <c r="B319" s="4" t="s">
        <v>4799</v>
      </c>
      <c r="C319" s="4" t="s">
        <v>2492</v>
      </c>
      <c r="D319" s="3">
        <v>25.0315323</v>
      </c>
      <c r="E319" s="3">
        <v>121.5097552</v>
      </c>
      <c r="F319" s="3" t="s">
        <v>44</v>
      </c>
      <c r="G319" s="4" t="s">
        <v>4157</v>
      </c>
      <c r="H319" s="3"/>
    </row>
    <row r="320" ht="15.75" customHeight="1">
      <c r="A320" s="4" t="s">
        <v>4800</v>
      </c>
      <c r="B320" s="4" t="s">
        <v>4801</v>
      </c>
      <c r="C320" s="4" t="s">
        <v>2144</v>
      </c>
      <c r="D320" s="3">
        <v>25.03288</v>
      </c>
      <c r="E320" s="3">
        <v>121.509324</v>
      </c>
      <c r="F320" s="3" t="s">
        <v>130</v>
      </c>
      <c r="G320" s="4" t="s">
        <v>1832</v>
      </c>
      <c r="H320" s="3"/>
    </row>
    <row r="321" ht="15.75" customHeight="1">
      <c r="A321" s="4" t="s">
        <v>4802</v>
      </c>
      <c r="B321" s="4" t="s">
        <v>4803</v>
      </c>
      <c r="C321" s="4" t="s">
        <v>2327</v>
      </c>
      <c r="D321" s="3">
        <v>25.032554</v>
      </c>
      <c r="E321" s="3">
        <v>121.50991</v>
      </c>
      <c r="F321" s="3" t="s">
        <v>130</v>
      </c>
      <c r="G321" s="4" t="s">
        <v>4157</v>
      </c>
      <c r="H321" s="3"/>
    </row>
    <row r="322" ht="15.75" customHeight="1">
      <c r="A322" s="4" t="s">
        <v>4804</v>
      </c>
      <c r="B322" s="4" t="s">
        <v>4805</v>
      </c>
      <c r="C322" s="4" t="s">
        <v>2323</v>
      </c>
      <c r="D322" s="3">
        <v>25.032562</v>
      </c>
      <c r="E322" s="3">
        <v>121.50993</v>
      </c>
      <c r="F322" s="3" t="s">
        <v>130</v>
      </c>
      <c r="G322" s="4" t="s">
        <v>4157</v>
      </c>
      <c r="H322" s="3"/>
    </row>
    <row r="323" ht="15.75" customHeight="1">
      <c r="A323" s="4" t="s">
        <v>4806</v>
      </c>
      <c r="B323" s="4" t="s">
        <v>4807</v>
      </c>
      <c r="C323" s="4" t="s">
        <v>2340</v>
      </c>
      <c r="D323" s="3">
        <v>25.032601</v>
      </c>
      <c r="E323" s="3">
        <v>121.510029</v>
      </c>
      <c r="F323" s="3" t="s">
        <v>130</v>
      </c>
      <c r="G323" s="4" t="s">
        <v>4157</v>
      </c>
      <c r="H323" s="3"/>
    </row>
    <row r="324" ht="15.75" customHeight="1">
      <c r="A324" s="4" t="s">
        <v>4808</v>
      </c>
      <c r="B324" s="4" t="s">
        <v>4809</v>
      </c>
      <c r="C324" s="4" t="s">
        <v>2331</v>
      </c>
      <c r="D324" s="3">
        <v>25.0329699</v>
      </c>
      <c r="E324" s="3">
        <v>121.5097303</v>
      </c>
      <c r="F324" s="3" t="s">
        <v>130</v>
      </c>
      <c r="G324" s="4" t="s">
        <v>4157</v>
      </c>
      <c r="H324" s="3"/>
    </row>
    <row r="325" ht="15.75" customHeight="1">
      <c r="A325" s="4" t="s">
        <v>4810</v>
      </c>
      <c r="B325" s="4" t="s">
        <v>4811</v>
      </c>
      <c r="C325" s="4" t="s">
        <v>2345</v>
      </c>
      <c r="D325" s="3">
        <v>25.032586</v>
      </c>
      <c r="E325" s="3">
        <v>121.509958</v>
      </c>
      <c r="F325" s="3" t="s">
        <v>130</v>
      </c>
      <c r="G325" s="4" t="s">
        <v>4157</v>
      </c>
      <c r="H325" s="3"/>
    </row>
    <row r="326" ht="15.75" customHeight="1">
      <c r="A326" s="4" t="s">
        <v>4812</v>
      </c>
      <c r="B326" s="4" t="s">
        <v>4813</v>
      </c>
      <c r="C326" s="4" t="s">
        <v>2321</v>
      </c>
      <c r="D326" s="3">
        <v>25.03256</v>
      </c>
      <c r="E326" s="3">
        <v>121.509953</v>
      </c>
      <c r="F326" s="3" t="s">
        <v>130</v>
      </c>
      <c r="G326" s="4" t="s">
        <v>4157</v>
      </c>
      <c r="H326" s="3"/>
    </row>
    <row r="327" ht="15.75" customHeight="1">
      <c r="A327" s="4" t="s">
        <v>4814</v>
      </c>
      <c r="B327" s="4" t="s">
        <v>4815</v>
      </c>
      <c r="C327" s="4" t="s">
        <v>2163</v>
      </c>
      <c r="D327" s="3">
        <v>25.032771</v>
      </c>
      <c r="E327" s="3">
        <v>121.509573</v>
      </c>
      <c r="F327" s="3" t="s">
        <v>130</v>
      </c>
      <c r="G327" s="4" t="s">
        <v>1838</v>
      </c>
      <c r="H327" s="3"/>
    </row>
    <row r="328" ht="15.75" customHeight="1">
      <c r="A328" s="4" t="s">
        <v>4816</v>
      </c>
      <c r="B328" s="4" t="s">
        <v>4817</v>
      </c>
      <c r="C328" s="4" t="s">
        <v>2531</v>
      </c>
      <c r="D328" s="3">
        <v>25.03279</v>
      </c>
      <c r="E328" s="3">
        <v>121.509354</v>
      </c>
      <c r="F328" s="3" t="s">
        <v>130</v>
      </c>
      <c r="G328" s="4" t="s">
        <v>4157</v>
      </c>
      <c r="H328" s="3"/>
    </row>
    <row r="329" ht="15.75" customHeight="1">
      <c r="A329" s="4" t="s">
        <v>4818</v>
      </c>
      <c r="B329" s="4" t="s">
        <v>4819</v>
      </c>
      <c r="C329" s="4" t="s">
        <v>2498</v>
      </c>
      <c r="D329" s="3">
        <v>25.032806</v>
      </c>
      <c r="E329" s="3">
        <v>121.509429</v>
      </c>
      <c r="F329" s="3" t="s">
        <v>130</v>
      </c>
      <c r="G329" s="4" t="s">
        <v>4157</v>
      </c>
      <c r="H329" s="3"/>
    </row>
    <row r="330" ht="15.75" customHeight="1">
      <c r="A330" s="4" t="s">
        <v>4820</v>
      </c>
      <c r="B330" s="4" t="s">
        <v>4821</v>
      </c>
      <c r="C330" s="4" t="s">
        <v>2646</v>
      </c>
      <c r="D330" s="3">
        <v>25.033096</v>
      </c>
      <c r="E330" s="3">
        <v>121.509404</v>
      </c>
      <c r="F330" s="3" t="s">
        <v>130</v>
      </c>
      <c r="G330" s="4" t="s">
        <v>4157</v>
      </c>
      <c r="H330" s="3"/>
    </row>
    <row r="331" ht="15.75" customHeight="1">
      <c r="A331" s="4" t="s">
        <v>4822</v>
      </c>
      <c r="B331" s="4" t="s">
        <v>4823</v>
      </c>
      <c r="C331" s="4" t="s">
        <v>2329</v>
      </c>
      <c r="D331" s="3">
        <v>25.032584</v>
      </c>
      <c r="E331" s="3">
        <v>121.509966</v>
      </c>
      <c r="F331" s="3" t="s">
        <v>130</v>
      </c>
      <c r="G331" s="4" t="s">
        <v>4157</v>
      </c>
      <c r="H331" s="3"/>
    </row>
    <row r="332" ht="15.75" customHeight="1">
      <c r="A332" s="4" t="s">
        <v>4824</v>
      </c>
      <c r="B332" s="4" t="s">
        <v>4825</v>
      </c>
      <c r="C332" s="4" t="s">
        <v>2734</v>
      </c>
      <c r="D332" s="3">
        <v>25.033082</v>
      </c>
      <c r="E332" s="3">
        <v>121.509539</v>
      </c>
      <c r="F332" s="3" t="s">
        <v>130</v>
      </c>
      <c r="G332" s="4" t="s">
        <v>4157</v>
      </c>
      <c r="H332" s="3"/>
    </row>
    <row r="333" ht="15.75" customHeight="1">
      <c r="A333" s="4" t="s">
        <v>4826</v>
      </c>
      <c r="B333" s="4" t="s">
        <v>4827</v>
      </c>
      <c r="C333" s="4" t="s">
        <v>2325</v>
      </c>
      <c r="D333" s="3">
        <v>25.032594</v>
      </c>
      <c r="E333" s="3">
        <v>121.509997</v>
      </c>
      <c r="F333" s="3" t="s">
        <v>130</v>
      </c>
      <c r="G333" s="4" t="s">
        <v>4157</v>
      </c>
      <c r="H333" s="3"/>
    </row>
    <row r="334" ht="15.75" customHeight="1">
      <c r="A334" s="4" t="s">
        <v>4828</v>
      </c>
      <c r="B334" s="4" t="s">
        <v>4829</v>
      </c>
      <c r="C334" s="4" t="s">
        <v>2533</v>
      </c>
      <c r="D334" s="3">
        <v>25.032839</v>
      </c>
      <c r="E334" s="3">
        <v>121.509375</v>
      </c>
      <c r="F334" s="3" t="s">
        <v>130</v>
      </c>
      <c r="G334" s="4" t="s">
        <v>4157</v>
      </c>
      <c r="H334" s="3"/>
    </row>
    <row r="335" ht="15.75" customHeight="1">
      <c r="A335" s="4" t="s">
        <v>4830</v>
      </c>
      <c r="B335" s="4" t="s">
        <v>4831</v>
      </c>
      <c r="C335" s="4" t="s">
        <v>2633</v>
      </c>
      <c r="D335" s="3">
        <v>25.033088</v>
      </c>
      <c r="E335" s="3">
        <v>121.509146</v>
      </c>
      <c r="F335" s="3" t="s">
        <v>130</v>
      </c>
      <c r="G335" s="4" t="s">
        <v>4157</v>
      </c>
      <c r="H335" s="3"/>
    </row>
    <row r="336" ht="15.75" customHeight="1">
      <c r="A336" s="4" t="s">
        <v>4832</v>
      </c>
      <c r="B336" s="4" t="s">
        <v>4833</v>
      </c>
      <c r="C336" s="4" t="s">
        <v>2700</v>
      </c>
      <c r="D336" s="3">
        <v>25.032961</v>
      </c>
      <c r="E336" s="3">
        <v>121.509163</v>
      </c>
      <c r="F336" s="3" t="s">
        <v>130</v>
      </c>
      <c r="G336" s="4" t="s">
        <v>4157</v>
      </c>
      <c r="H336" s="3"/>
    </row>
    <row r="337" ht="15.75" customHeight="1">
      <c r="A337" s="4" t="s">
        <v>4834</v>
      </c>
      <c r="B337" s="4" t="s">
        <v>4835</v>
      </c>
      <c r="C337" s="4" t="s">
        <v>2161</v>
      </c>
      <c r="D337" s="3">
        <v>25.032928</v>
      </c>
      <c r="E337" s="3">
        <v>121.509205</v>
      </c>
      <c r="F337" s="3" t="s">
        <v>130</v>
      </c>
      <c r="G337" s="4" t="s">
        <v>1832</v>
      </c>
      <c r="H337" s="3"/>
    </row>
    <row r="338" ht="15.75" customHeight="1">
      <c r="A338" s="4" t="s">
        <v>4836</v>
      </c>
      <c r="B338" s="4" t="s">
        <v>4837</v>
      </c>
      <c r="C338" s="4" t="s">
        <v>2180</v>
      </c>
      <c r="D338" s="3">
        <v>25.03292</v>
      </c>
      <c r="E338" s="3">
        <v>121.509223</v>
      </c>
      <c r="F338" s="3" t="s">
        <v>130</v>
      </c>
      <c r="G338" s="4" t="s">
        <v>1832</v>
      </c>
      <c r="H338" s="3"/>
    </row>
    <row r="339" ht="15.75" customHeight="1">
      <c r="A339" s="4" t="s">
        <v>4838</v>
      </c>
      <c r="B339" s="4" t="s">
        <v>4839</v>
      </c>
      <c r="C339" s="4" t="s">
        <v>2523</v>
      </c>
      <c r="D339" s="3">
        <v>25.032929</v>
      </c>
      <c r="E339" s="3">
        <v>121.509241</v>
      </c>
      <c r="F339" s="3" t="s">
        <v>130</v>
      </c>
      <c r="G339" s="4" t="s">
        <v>1832</v>
      </c>
      <c r="H339" s="3"/>
    </row>
    <row r="340" ht="15.75" customHeight="1">
      <c r="A340" s="4" t="s">
        <v>4840</v>
      </c>
      <c r="B340" s="4" t="s">
        <v>4841</v>
      </c>
      <c r="C340" s="4" t="s">
        <v>2342</v>
      </c>
      <c r="D340" s="3">
        <v>25.0327891</v>
      </c>
      <c r="E340" s="3">
        <v>121.5097766</v>
      </c>
      <c r="F340" s="3" t="s">
        <v>130</v>
      </c>
      <c r="G340" s="9" t="s">
        <v>4157</v>
      </c>
      <c r="H340" s="3"/>
    </row>
    <row r="341" ht="15.75" customHeight="1">
      <c r="A341" s="4" t="s">
        <v>4842</v>
      </c>
      <c r="B341" s="4" t="s">
        <v>4843</v>
      </c>
      <c r="C341" s="4" t="s">
        <v>2338</v>
      </c>
      <c r="D341" s="3">
        <v>25.032711</v>
      </c>
      <c r="E341" s="3">
        <v>121.509792</v>
      </c>
      <c r="F341" s="3" t="s">
        <v>130</v>
      </c>
      <c r="G341" s="4" t="s">
        <v>4157</v>
      </c>
      <c r="H341" s="3"/>
    </row>
    <row r="342" ht="15.75" customHeight="1">
      <c r="A342" s="4" t="s">
        <v>4844</v>
      </c>
      <c r="B342" s="4" t="s">
        <v>4845</v>
      </c>
      <c r="C342" s="4" t="s">
        <v>2169</v>
      </c>
      <c r="D342" s="3">
        <v>25.032788</v>
      </c>
      <c r="E342" s="3">
        <v>121.509569</v>
      </c>
      <c r="F342" s="3" t="s">
        <v>130</v>
      </c>
      <c r="G342" s="9" t="s">
        <v>4157</v>
      </c>
      <c r="H342" s="3"/>
    </row>
    <row r="343" ht="15.75" customHeight="1">
      <c r="A343" s="4" t="s">
        <v>4846</v>
      </c>
      <c r="B343" s="4" t="s">
        <v>4847</v>
      </c>
      <c r="C343" s="4" t="s">
        <v>2334</v>
      </c>
      <c r="D343" s="3">
        <v>25.032666</v>
      </c>
      <c r="E343" s="3">
        <v>121.509711</v>
      </c>
      <c r="F343" s="3" t="s">
        <v>130</v>
      </c>
      <c r="G343" s="4" t="s">
        <v>4157</v>
      </c>
      <c r="H343" s="3"/>
    </row>
    <row r="344" ht="15.75" customHeight="1">
      <c r="A344" s="4" t="s">
        <v>4848</v>
      </c>
      <c r="B344" s="4" t="s">
        <v>4849</v>
      </c>
      <c r="C344" s="4" t="s">
        <v>2128</v>
      </c>
      <c r="D344" s="3">
        <v>25.0327678</v>
      </c>
      <c r="E344" s="3">
        <v>121.5096395</v>
      </c>
      <c r="F344" s="3" t="s">
        <v>130</v>
      </c>
      <c r="G344" s="4" t="s">
        <v>1838</v>
      </c>
      <c r="H344" s="3"/>
    </row>
    <row r="345" ht="15.75" customHeight="1">
      <c r="A345" s="4" t="s">
        <v>4850</v>
      </c>
      <c r="B345" s="4" t="s">
        <v>4851</v>
      </c>
      <c r="C345" s="4" t="s">
        <v>2525</v>
      </c>
      <c r="D345" s="3">
        <v>25.032932</v>
      </c>
      <c r="E345" s="3">
        <v>121.509215</v>
      </c>
      <c r="F345" s="3" t="s">
        <v>130</v>
      </c>
      <c r="G345" s="4" t="s">
        <v>1832</v>
      </c>
      <c r="H345" s="3"/>
    </row>
    <row r="346" ht="15.75" customHeight="1">
      <c r="A346" s="4" t="s">
        <v>4852</v>
      </c>
      <c r="B346" s="4" t="s">
        <v>4853</v>
      </c>
      <c r="C346" s="4" t="s">
        <v>2539</v>
      </c>
      <c r="D346" s="3">
        <v>25.032867</v>
      </c>
      <c r="E346" s="3">
        <v>121.509262</v>
      </c>
      <c r="F346" s="3" t="s">
        <v>130</v>
      </c>
      <c r="G346" s="4" t="s">
        <v>4157</v>
      </c>
      <c r="H346" s="3"/>
    </row>
    <row r="347" ht="15.75" customHeight="1">
      <c r="A347" s="4" t="s">
        <v>4854</v>
      </c>
      <c r="B347" s="4" t="s">
        <v>4855</v>
      </c>
      <c r="C347" s="4" t="s">
        <v>2529</v>
      </c>
      <c r="D347" s="3">
        <v>25.032845</v>
      </c>
      <c r="E347" s="3">
        <v>121.509357</v>
      </c>
      <c r="F347" s="3" t="s">
        <v>130</v>
      </c>
      <c r="G347" s="4" t="s">
        <v>4157</v>
      </c>
      <c r="H347" s="3"/>
    </row>
    <row r="348" ht="15.75" customHeight="1">
      <c r="A348" s="4" t="s">
        <v>4856</v>
      </c>
      <c r="B348" s="4" t="s">
        <v>4857</v>
      </c>
      <c r="C348" s="4" t="s">
        <v>2728</v>
      </c>
      <c r="D348" s="3">
        <v>25.033035</v>
      </c>
      <c r="E348" s="3">
        <v>121.50928</v>
      </c>
      <c r="F348" s="3" t="s">
        <v>130</v>
      </c>
      <c r="G348" s="4" t="s">
        <v>4157</v>
      </c>
      <c r="H348" s="3"/>
    </row>
    <row r="349" ht="15.75" customHeight="1">
      <c r="A349" s="4" t="s">
        <v>4858</v>
      </c>
      <c r="B349" s="4" t="s">
        <v>4859</v>
      </c>
      <c r="C349" s="4" t="s">
        <v>2767</v>
      </c>
      <c r="D349" s="3">
        <v>25.0330481</v>
      </c>
      <c r="E349" s="3">
        <v>121.5097424</v>
      </c>
      <c r="F349" s="3" t="s">
        <v>130</v>
      </c>
      <c r="G349" s="4" t="s">
        <v>4157</v>
      </c>
      <c r="H349" s="3"/>
    </row>
    <row r="350" ht="15.75" customHeight="1">
      <c r="A350" s="4" t="s">
        <v>4860</v>
      </c>
      <c r="B350" s="4" t="s">
        <v>4861</v>
      </c>
      <c r="C350" s="4" t="s">
        <v>2197</v>
      </c>
      <c r="D350" s="3">
        <v>25.0330999</v>
      </c>
      <c r="E350" s="3">
        <v>121.5089684</v>
      </c>
      <c r="F350" s="3" t="s">
        <v>56</v>
      </c>
      <c r="G350" s="4" t="s">
        <v>4157</v>
      </c>
      <c r="H350" s="3"/>
    </row>
    <row r="351" ht="15.75" customHeight="1">
      <c r="A351" s="4" t="s">
        <v>4862</v>
      </c>
      <c r="B351" s="4" t="s">
        <v>4863</v>
      </c>
      <c r="C351" s="4" t="s">
        <v>2736</v>
      </c>
      <c r="D351" s="3">
        <v>25.033083</v>
      </c>
      <c r="E351" s="3">
        <v>121.509493</v>
      </c>
      <c r="F351" s="3" t="s">
        <v>130</v>
      </c>
      <c r="G351" s="4" t="s">
        <v>4157</v>
      </c>
      <c r="H351" s="3"/>
    </row>
    <row r="352" ht="15.75" customHeight="1">
      <c r="A352" s="4" t="s">
        <v>4864</v>
      </c>
      <c r="B352" s="4" t="s">
        <v>4865</v>
      </c>
      <c r="C352" s="4" t="s">
        <v>2157</v>
      </c>
      <c r="D352" s="3">
        <v>25.032762</v>
      </c>
      <c r="E352" s="3">
        <v>121.509599</v>
      </c>
      <c r="F352" s="3" t="s">
        <v>130</v>
      </c>
      <c r="G352" s="4" t="s">
        <v>4157</v>
      </c>
      <c r="H352" s="3"/>
    </row>
    <row r="353" ht="15.75" customHeight="1">
      <c r="A353" s="4" t="s">
        <v>4866</v>
      </c>
      <c r="B353" s="4" t="s">
        <v>4867</v>
      </c>
      <c r="C353" s="4" t="s">
        <v>2774</v>
      </c>
      <c r="D353" s="3">
        <v>25.032982</v>
      </c>
      <c r="E353" s="3">
        <v>121.509276</v>
      </c>
      <c r="F353" s="3" t="s">
        <v>130</v>
      </c>
      <c r="G353" s="4" t="s">
        <v>4157</v>
      </c>
      <c r="H353" s="3"/>
    </row>
    <row r="354" ht="15.75" customHeight="1">
      <c r="A354" s="4" t="s">
        <v>4868</v>
      </c>
      <c r="B354" s="4" t="s">
        <v>4869</v>
      </c>
      <c r="C354" s="4" t="s">
        <v>2568</v>
      </c>
      <c r="D354" s="3">
        <v>25.032703</v>
      </c>
      <c r="E354" s="3">
        <v>121.509542</v>
      </c>
      <c r="F354" s="3" t="s">
        <v>130</v>
      </c>
      <c r="G354" s="9" t="s">
        <v>4157</v>
      </c>
      <c r="H354" s="3"/>
    </row>
    <row r="355" ht="15.75" customHeight="1">
      <c r="A355" s="4" t="s">
        <v>4870</v>
      </c>
      <c r="B355" s="4" t="s">
        <v>4871</v>
      </c>
      <c r="C355" s="4" t="s">
        <v>2105</v>
      </c>
      <c r="D355" s="3">
        <v>25.032774</v>
      </c>
      <c r="E355" s="3">
        <v>121.509583</v>
      </c>
      <c r="F355" s="3" t="s">
        <v>130</v>
      </c>
      <c r="G355" s="4" t="s">
        <v>4157</v>
      </c>
      <c r="H355" s="3"/>
    </row>
    <row r="356" ht="15.75" customHeight="1">
      <c r="A356" s="4" t="s">
        <v>4872</v>
      </c>
      <c r="B356" s="4" t="s">
        <v>4873</v>
      </c>
      <c r="C356" s="4" t="s">
        <v>2166</v>
      </c>
      <c r="D356" s="3">
        <v>25.032794</v>
      </c>
      <c r="E356" s="3">
        <v>121.509506</v>
      </c>
      <c r="F356" s="3" t="s">
        <v>130</v>
      </c>
      <c r="G356" s="4" t="s">
        <v>4157</v>
      </c>
      <c r="H356" s="3"/>
    </row>
    <row r="357" ht="15.75" customHeight="1">
      <c r="A357" s="4" t="s">
        <v>4874</v>
      </c>
      <c r="B357" s="4" t="s">
        <v>4875</v>
      </c>
      <c r="C357" s="4" t="s">
        <v>4876</v>
      </c>
      <c r="D357" s="3">
        <v>25.032631</v>
      </c>
      <c r="E357" s="3">
        <v>121.510039</v>
      </c>
      <c r="F357" s="3" t="s">
        <v>130</v>
      </c>
      <c r="G357" s="4" t="s">
        <v>4157</v>
      </c>
      <c r="H357" s="3"/>
    </row>
    <row r="358" ht="15.75" customHeight="1">
      <c r="A358" s="4" t="s">
        <v>4877</v>
      </c>
      <c r="B358" s="4" t="s">
        <v>4878</v>
      </c>
      <c r="C358" s="4" t="s">
        <v>2354</v>
      </c>
      <c r="D358" s="3">
        <v>25.0324356</v>
      </c>
      <c r="E358" s="3">
        <v>121.5097728</v>
      </c>
      <c r="F358" s="3" t="s">
        <v>130</v>
      </c>
      <c r="G358" s="4" t="s">
        <v>4157</v>
      </c>
      <c r="H358" s="3"/>
    </row>
    <row r="359" ht="15.75" customHeight="1">
      <c r="A359" s="4" t="s">
        <v>4879</v>
      </c>
      <c r="B359" s="4" t="s">
        <v>4880</v>
      </c>
      <c r="C359" s="4" t="s">
        <v>2224</v>
      </c>
      <c r="D359" s="3">
        <v>25.032765</v>
      </c>
      <c r="E359" s="3">
        <v>121.509734</v>
      </c>
      <c r="F359" s="3" t="s">
        <v>130</v>
      </c>
      <c r="G359" s="4" t="s">
        <v>1838</v>
      </c>
      <c r="H359" s="3"/>
    </row>
    <row r="360" ht="15.75" customHeight="1">
      <c r="A360" s="4" t="s">
        <v>4881</v>
      </c>
      <c r="B360" s="4" t="s">
        <v>4882</v>
      </c>
      <c r="C360" s="4" t="s">
        <v>2535</v>
      </c>
      <c r="D360" s="3">
        <v>25.032826</v>
      </c>
      <c r="E360" s="3">
        <v>121.509286</v>
      </c>
      <c r="F360" s="3" t="s">
        <v>130</v>
      </c>
      <c r="G360" s="4" t="s">
        <v>4157</v>
      </c>
      <c r="H360" s="3"/>
    </row>
    <row r="361" ht="15.75" customHeight="1">
      <c r="A361" s="4" t="s">
        <v>4883</v>
      </c>
      <c r="B361" s="4" t="s">
        <v>4884</v>
      </c>
      <c r="C361" s="4" t="s">
        <v>2356</v>
      </c>
      <c r="D361" s="3">
        <v>25.032719</v>
      </c>
      <c r="E361" s="3">
        <v>121.509821</v>
      </c>
      <c r="F361" s="3" t="s">
        <v>130</v>
      </c>
      <c r="G361" s="4" t="s">
        <v>4157</v>
      </c>
      <c r="H361" s="3"/>
    </row>
    <row r="362" ht="15.75" customHeight="1">
      <c r="A362" s="4" t="s">
        <v>4885</v>
      </c>
      <c r="B362" s="4" t="s">
        <v>4886</v>
      </c>
      <c r="C362" s="4" t="s">
        <v>2193</v>
      </c>
      <c r="D362" s="3">
        <v>25.032775</v>
      </c>
      <c r="E362" s="3">
        <v>121.509734</v>
      </c>
      <c r="F362" s="3" t="s">
        <v>130</v>
      </c>
      <c r="G362" s="4" t="s">
        <v>1838</v>
      </c>
      <c r="H362" s="3"/>
    </row>
    <row r="363" ht="15.75" customHeight="1">
      <c r="A363" s="4" t="s">
        <v>4887</v>
      </c>
      <c r="B363" s="4" t="s">
        <v>4888</v>
      </c>
      <c r="C363" s="4" t="s">
        <v>2564</v>
      </c>
      <c r="D363" s="3">
        <v>25.032914</v>
      </c>
      <c r="E363" s="3">
        <v>121.509255</v>
      </c>
      <c r="F363" s="3" t="s">
        <v>130</v>
      </c>
      <c r="G363" s="4" t="s">
        <v>1832</v>
      </c>
      <c r="H363" s="3"/>
    </row>
    <row r="364" ht="15.75" customHeight="1">
      <c r="A364" s="4" t="s">
        <v>4889</v>
      </c>
      <c r="B364" s="4" t="s">
        <v>4890</v>
      </c>
      <c r="C364" s="4" t="s">
        <v>2555</v>
      </c>
      <c r="D364" s="3">
        <v>25.032836</v>
      </c>
      <c r="E364" s="3">
        <v>121.509322</v>
      </c>
      <c r="F364" s="3" t="s">
        <v>130</v>
      </c>
      <c r="G364" s="4" t="s">
        <v>4157</v>
      </c>
      <c r="H364" s="3"/>
    </row>
    <row r="365" ht="15.75" customHeight="1">
      <c r="A365" s="4" t="s">
        <v>4891</v>
      </c>
      <c r="B365" s="4" t="s">
        <v>4892</v>
      </c>
      <c r="C365" s="4" t="s">
        <v>2203</v>
      </c>
      <c r="D365" s="3">
        <v>25.032786</v>
      </c>
      <c r="E365" s="3">
        <v>121.509734</v>
      </c>
      <c r="F365" s="3" t="s">
        <v>130</v>
      </c>
      <c r="G365" s="4" t="s">
        <v>1838</v>
      </c>
      <c r="H365" s="3"/>
    </row>
    <row r="366" ht="15.75" customHeight="1">
      <c r="A366" s="4" t="s">
        <v>4893</v>
      </c>
      <c r="B366" s="4" t="s">
        <v>4894</v>
      </c>
      <c r="C366" s="4" t="s">
        <v>2408</v>
      </c>
      <c r="D366" s="3">
        <v>25.032758</v>
      </c>
      <c r="E366" s="3">
        <v>121.509402</v>
      </c>
      <c r="F366" s="3" t="s">
        <v>130</v>
      </c>
      <c r="G366" s="4" t="s">
        <v>4157</v>
      </c>
      <c r="H366" s="3"/>
    </row>
    <row r="367" ht="15.75" customHeight="1">
      <c r="A367" s="4" t="s">
        <v>4895</v>
      </c>
      <c r="B367" s="4" t="s">
        <v>4896</v>
      </c>
      <c r="C367" s="4" t="s">
        <v>2408</v>
      </c>
      <c r="D367" s="3">
        <v>25.0323481</v>
      </c>
      <c r="E367" s="3">
        <v>121.5089328</v>
      </c>
      <c r="F367" s="3" t="s">
        <v>56</v>
      </c>
      <c r="G367" s="4" t="s">
        <v>4157</v>
      </c>
      <c r="H367" s="3"/>
    </row>
    <row r="368" ht="15.75" customHeight="1">
      <c r="A368" s="4" t="s">
        <v>4897</v>
      </c>
      <c r="B368" s="4" t="s">
        <v>4898</v>
      </c>
      <c r="C368" s="4" t="s">
        <v>2136</v>
      </c>
      <c r="D368" s="3">
        <v>25.032585</v>
      </c>
      <c r="E368" s="3">
        <v>121.5098333</v>
      </c>
      <c r="F368" s="3" t="s">
        <v>130</v>
      </c>
      <c r="G368" s="4" t="s">
        <v>4157</v>
      </c>
      <c r="H368" s="3"/>
    </row>
    <row r="369" ht="15.75" customHeight="1">
      <c r="A369" s="4" t="s">
        <v>4899</v>
      </c>
      <c r="B369" s="4" t="s">
        <v>4900</v>
      </c>
      <c r="C369" s="4" t="s">
        <v>2358</v>
      </c>
      <c r="D369" s="3">
        <v>25.0326442</v>
      </c>
      <c r="E369" s="3">
        <v>121.509633</v>
      </c>
      <c r="F369" s="3" t="s">
        <v>130</v>
      </c>
      <c r="G369" s="4" t="s">
        <v>4157</v>
      </c>
      <c r="H369" s="3"/>
    </row>
    <row r="370" ht="15.75" customHeight="1">
      <c r="A370" s="4" t="s">
        <v>4901</v>
      </c>
      <c r="B370" s="4" t="s">
        <v>4902</v>
      </c>
      <c r="C370" s="4" t="s">
        <v>2270</v>
      </c>
      <c r="D370" s="3">
        <v>25.032741</v>
      </c>
      <c r="E370" s="3">
        <v>121.509787</v>
      </c>
      <c r="F370" s="3" t="s">
        <v>130</v>
      </c>
      <c r="G370" s="4" t="s">
        <v>4157</v>
      </c>
      <c r="H370" s="3"/>
    </row>
    <row r="371" ht="15.75" customHeight="1">
      <c r="A371" s="4" t="s">
        <v>4903</v>
      </c>
      <c r="B371" s="4" t="s">
        <v>4904</v>
      </c>
      <c r="C371" s="4" t="s">
        <v>2379</v>
      </c>
      <c r="D371" s="3">
        <v>25.032703</v>
      </c>
      <c r="E371" s="3">
        <v>121.5098779</v>
      </c>
      <c r="F371" s="3" t="s">
        <v>130</v>
      </c>
      <c r="G371" s="4" t="s">
        <v>4157</v>
      </c>
      <c r="H371" s="3"/>
    </row>
    <row r="372" ht="15.75" customHeight="1">
      <c r="A372" s="4" t="s">
        <v>4905</v>
      </c>
      <c r="B372" s="4" t="s">
        <v>4906</v>
      </c>
      <c r="C372" s="4" t="s">
        <v>2557</v>
      </c>
      <c r="D372" s="3">
        <v>25.03279</v>
      </c>
      <c r="E372" s="3">
        <v>121.509449</v>
      </c>
      <c r="F372" s="3" t="s">
        <v>130</v>
      </c>
      <c r="G372" s="4" t="s">
        <v>4157</v>
      </c>
      <c r="H372" s="3"/>
    </row>
    <row r="373" ht="15.75" customHeight="1">
      <c r="A373" s="4" t="s">
        <v>4907</v>
      </c>
      <c r="B373" s="4" t="s">
        <v>4908</v>
      </c>
      <c r="C373" s="4" t="s">
        <v>2373</v>
      </c>
      <c r="D373" s="3">
        <v>25.032726</v>
      </c>
      <c r="E373" s="3">
        <v>121.509795</v>
      </c>
      <c r="F373" s="3" t="s">
        <v>130</v>
      </c>
      <c r="G373" s="4" t="s">
        <v>4157</v>
      </c>
      <c r="H373" s="3"/>
    </row>
    <row r="374" ht="15.75" customHeight="1">
      <c r="A374" s="4" t="s">
        <v>4909</v>
      </c>
      <c r="B374" s="4" t="s">
        <v>4910</v>
      </c>
      <c r="C374" s="4" t="s">
        <v>2714</v>
      </c>
      <c r="D374" s="3">
        <v>25.033087</v>
      </c>
      <c r="E374" s="3">
        <v>121.509414</v>
      </c>
      <c r="F374" s="3" t="s">
        <v>130</v>
      </c>
      <c r="G374" s="4" t="s">
        <v>4157</v>
      </c>
      <c r="H374" s="3"/>
    </row>
    <row r="375" ht="15.75" customHeight="1">
      <c r="A375" s="4" t="s">
        <v>4911</v>
      </c>
      <c r="B375" s="4" t="s">
        <v>4912</v>
      </c>
      <c r="C375" s="4" t="s">
        <v>2541</v>
      </c>
      <c r="D375" s="3">
        <v>25.032812</v>
      </c>
      <c r="E375" s="3">
        <v>121.509314</v>
      </c>
      <c r="F375" s="3" t="s">
        <v>130</v>
      </c>
      <c r="G375" s="4" t="s">
        <v>4157</v>
      </c>
      <c r="H375" s="3"/>
    </row>
    <row r="376" ht="15.75" customHeight="1">
      <c r="A376" s="4" t="s">
        <v>4913</v>
      </c>
      <c r="B376" s="4" t="s">
        <v>4914</v>
      </c>
      <c r="C376" s="4" t="s">
        <v>2187</v>
      </c>
      <c r="D376" s="3">
        <v>25.032786</v>
      </c>
      <c r="E376" s="3">
        <v>121.509695</v>
      </c>
      <c r="F376" s="3" t="s">
        <v>130</v>
      </c>
      <c r="G376" s="4" t="s">
        <v>1838</v>
      </c>
      <c r="H376" s="3"/>
    </row>
    <row r="377" ht="15.75" customHeight="1">
      <c r="A377" s="4" t="s">
        <v>4915</v>
      </c>
      <c r="B377" s="4" t="s">
        <v>4916</v>
      </c>
      <c r="C377" s="4" t="s">
        <v>2311</v>
      </c>
      <c r="D377" s="3">
        <v>25.0327941</v>
      </c>
      <c r="E377" s="3">
        <v>121.5099298</v>
      </c>
      <c r="F377" s="3" t="s">
        <v>44</v>
      </c>
      <c r="G377" s="4" t="s">
        <v>4157</v>
      </c>
      <c r="H377" s="3"/>
    </row>
    <row r="378" ht="15.75" customHeight="1">
      <c r="A378" s="4" t="s">
        <v>4917</v>
      </c>
      <c r="B378" s="4" t="s">
        <v>4918</v>
      </c>
      <c r="C378" s="4" t="s">
        <v>2543</v>
      </c>
      <c r="D378" s="3">
        <v>25.03272</v>
      </c>
      <c r="E378" s="3">
        <v>121.50948</v>
      </c>
      <c r="F378" s="3" t="s">
        <v>130</v>
      </c>
      <c r="G378" s="4" t="s">
        <v>4157</v>
      </c>
      <c r="H378" s="3"/>
    </row>
    <row r="379" ht="15.75" customHeight="1">
      <c r="A379" s="4" t="s">
        <v>4919</v>
      </c>
      <c r="B379" s="4" t="s">
        <v>4920</v>
      </c>
      <c r="C379" s="4" t="s">
        <v>2171</v>
      </c>
      <c r="D379" s="3">
        <v>25.03275</v>
      </c>
      <c r="E379" s="3">
        <v>121.509576</v>
      </c>
      <c r="F379" s="3" t="s">
        <v>130</v>
      </c>
      <c r="G379" s="4" t="s">
        <v>4157</v>
      </c>
      <c r="H379" s="3"/>
    </row>
    <row r="380" ht="15.75" customHeight="1">
      <c r="A380" s="4" t="s">
        <v>4921</v>
      </c>
      <c r="B380" s="4" t="s">
        <v>4922</v>
      </c>
      <c r="C380" s="4" t="s">
        <v>2762</v>
      </c>
      <c r="D380" s="3">
        <v>25.0329856</v>
      </c>
      <c r="E380" s="3">
        <v>121.5098509</v>
      </c>
      <c r="F380" s="3" t="s">
        <v>130</v>
      </c>
      <c r="G380" s="4" t="s">
        <v>4157</v>
      </c>
      <c r="H380" s="3"/>
    </row>
    <row r="381" ht="15.75" customHeight="1">
      <c r="A381" s="4" t="s">
        <v>4923</v>
      </c>
      <c r="B381" s="4" t="s">
        <v>4924</v>
      </c>
      <c r="C381" s="4" t="s">
        <v>2698</v>
      </c>
      <c r="D381" s="3">
        <v>25.032982</v>
      </c>
      <c r="E381" s="3">
        <v>121.509184</v>
      </c>
      <c r="F381" s="3" t="s">
        <v>130</v>
      </c>
      <c r="G381" s="4" t="s">
        <v>4157</v>
      </c>
      <c r="H381" s="3"/>
    </row>
    <row r="382" ht="15.75" customHeight="1">
      <c r="A382" s="4" t="s">
        <v>4925</v>
      </c>
      <c r="B382" s="4" t="s">
        <v>4926</v>
      </c>
      <c r="C382" s="4" t="s">
        <v>2361</v>
      </c>
      <c r="D382" s="3">
        <v>25.032748</v>
      </c>
      <c r="E382" s="3">
        <v>121.509838</v>
      </c>
      <c r="F382" s="3" t="s">
        <v>130</v>
      </c>
      <c r="G382" s="4" t="s">
        <v>4157</v>
      </c>
      <c r="H382" s="3"/>
    </row>
    <row r="383" ht="15.75" customHeight="1">
      <c r="A383" s="4" t="s">
        <v>4927</v>
      </c>
      <c r="B383" s="4" t="s">
        <v>4928</v>
      </c>
      <c r="C383" s="4" t="s">
        <v>2780</v>
      </c>
      <c r="D383" s="3">
        <v>25.033068</v>
      </c>
      <c r="E383" s="3">
        <v>121.509106</v>
      </c>
      <c r="F383" s="3" t="s">
        <v>130</v>
      </c>
      <c r="G383" s="4" t="s">
        <v>4157</v>
      </c>
      <c r="H383" s="3"/>
    </row>
    <row r="384" ht="15.75" customHeight="1">
      <c r="A384" s="4" t="s">
        <v>4929</v>
      </c>
      <c r="B384" s="4" t="s">
        <v>4930</v>
      </c>
      <c r="C384" s="4" t="s">
        <v>2208</v>
      </c>
      <c r="D384" s="3">
        <v>25.03278</v>
      </c>
      <c r="E384" s="3">
        <v>121.509738</v>
      </c>
      <c r="F384" s="3" t="s">
        <v>130</v>
      </c>
      <c r="G384" s="4" t="s">
        <v>1838</v>
      </c>
      <c r="H384" s="3"/>
    </row>
    <row r="385" ht="15.75" customHeight="1">
      <c r="A385" s="4" t="s">
        <v>4931</v>
      </c>
      <c r="B385" s="4" t="s">
        <v>4932</v>
      </c>
      <c r="C385" s="4" t="s">
        <v>2782</v>
      </c>
      <c r="D385" s="3">
        <v>25.033057</v>
      </c>
      <c r="E385" s="3">
        <v>121.509273</v>
      </c>
      <c r="F385" s="3" t="s">
        <v>130</v>
      </c>
      <c r="G385" s="4" t="s">
        <v>4157</v>
      </c>
      <c r="H385" s="3"/>
    </row>
    <row r="386" ht="15.75" customHeight="1">
      <c r="A386" s="4" t="s">
        <v>4933</v>
      </c>
      <c r="B386" s="4" t="s">
        <v>4934</v>
      </c>
      <c r="C386" s="4" t="s">
        <v>2778</v>
      </c>
      <c r="D386" s="3">
        <v>25.032944</v>
      </c>
      <c r="E386" s="3">
        <v>121.509227</v>
      </c>
      <c r="F386" s="3" t="s">
        <v>130</v>
      </c>
      <c r="G386" s="4" t="s">
        <v>1832</v>
      </c>
      <c r="H386" s="3"/>
    </row>
    <row r="387" ht="15.75" customHeight="1">
      <c r="A387" s="4" t="s">
        <v>4935</v>
      </c>
      <c r="B387" s="4" t="s">
        <v>4936</v>
      </c>
      <c r="C387" s="4" t="s">
        <v>2769</v>
      </c>
      <c r="D387" s="3">
        <v>25.0329412</v>
      </c>
      <c r="E387" s="3">
        <v>121.5096923</v>
      </c>
      <c r="F387" s="3" t="s">
        <v>130</v>
      </c>
      <c r="G387" s="4" t="s">
        <v>4157</v>
      </c>
      <c r="H387" s="3"/>
    </row>
    <row r="388" ht="15.75" customHeight="1">
      <c r="A388" s="4" t="s">
        <v>4937</v>
      </c>
      <c r="B388" s="4" t="s">
        <v>4938</v>
      </c>
      <c r="C388" s="4" t="s">
        <v>2195</v>
      </c>
      <c r="D388" s="3">
        <v>25.032773</v>
      </c>
      <c r="E388" s="3">
        <v>121.509607</v>
      </c>
      <c r="F388" s="3" t="s">
        <v>130</v>
      </c>
      <c r="G388" s="4" t="s">
        <v>1838</v>
      </c>
      <c r="H388" s="3"/>
    </row>
    <row r="389" ht="15.75" customHeight="1">
      <c r="A389" s="4" t="s">
        <v>4939</v>
      </c>
      <c r="B389" s="4" t="s">
        <v>4940</v>
      </c>
      <c r="C389" s="4" t="s">
        <v>2142</v>
      </c>
      <c r="D389" s="3">
        <v>25.0317232</v>
      </c>
      <c r="E389" s="3">
        <v>121.5112833</v>
      </c>
      <c r="F389" s="3" t="s">
        <v>44</v>
      </c>
      <c r="G389" s="4" t="s">
        <v>4157</v>
      </c>
      <c r="H389" s="3"/>
    </row>
    <row r="390" ht="15.75" customHeight="1">
      <c r="A390" s="4" t="s">
        <v>4941</v>
      </c>
      <c r="B390" s="4" t="s">
        <v>4942</v>
      </c>
      <c r="C390" s="4" t="s">
        <v>2284</v>
      </c>
      <c r="D390" s="3">
        <v>25.032697</v>
      </c>
      <c r="E390" s="3">
        <v>121.509845</v>
      </c>
      <c r="F390" s="3" t="s">
        <v>130</v>
      </c>
      <c r="G390" s="4" t="s">
        <v>4157</v>
      </c>
      <c r="H390" s="3"/>
    </row>
    <row r="391" ht="15.75" customHeight="1">
      <c r="A391" s="4" t="s">
        <v>4943</v>
      </c>
      <c r="B391" s="4" t="s">
        <v>4944</v>
      </c>
      <c r="C391" s="4" t="s">
        <v>2383</v>
      </c>
      <c r="D391" s="3">
        <v>25.032644</v>
      </c>
      <c r="E391" s="3">
        <v>121.509864</v>
      </c>
      <c r="F391" s="3" t="s">
        <v>130</v>
      </c>
      <c r="G391" s="4" t="s">
        <v>4157</v>
      </c>
      <c r="H391" s="3"/>
    </row>
    <row r="392" ht="15.75" customHeight="1">
      <c r="A392" s="4" t="s">
        <v>4945</v>
      </c>
      <c r="B392" s="4" t="s">
        <v>4946</v>
      </c>
      <c r="C392" s="4" t="s">
        <v>2570</v>
      </c>
      <c r="D392" s="3">
        <v>25.032905</v>
      </c>
      <c r="E392" s="3">
        <v>121.509394</v>
      </c>
      <c r="F392" s="3" t="s">
        <v>130</v>
      </c>
      <c r="G392" s="4" t="s">
        <v>4157</v>
      </c>
      <c r="H392" s="3"/>
    </row>
    <row r="393" ht="15.75" customHeight="1">
      <c r="A393" s="4" t="s">
        <v>4947</v>
      </c>
      <c r="B393" s="4" t="s">
        <v>4948</v>
      </c>
      <c r="C393" s="4" t="s">
        <v>1847</v>
      </c>
      <c r="D393" s="3">
        <v>25.032772</v>
      </c>
      <c r="E393" s="3">
        <v>121.509726</v>
      </c>
      <c r="F393" s="3" t="s">
        <v>130</v>
      </c>
      <c r="G393" s="4" t="s">
        <v>1838</v>
      </c>
      <c r="H393" s="3"/>
    </row>
    <row r="394" ht="15.75" customHeight="1">
      <c r="A394" s="4" t="s">
        <v>4949</v>
      </c>
      <c r="B394" s="4" t="s">
        <v>4950</v>
      </c>
      <c r="C394" s="4" t="s">
        <v>2350</v>
      </c>
      <c r="D394" s="3">
        <v>25.0326455</v>
      </c>
      <c r="E394" s="3">
        <v>121.5098016</v>
      </c>
      <c r="F394" s="3" t="s">
        <v>130</v>
      </c>
      <c r="G394" s="4" t="s">
        <v>4157</v>
      </c>
      <c r="H394" s="3"/>
    </row>
    <row r="395" ht="15.75" customHeight="1">
      <c r="A395" s="4" t="s">
        <v>4951</v>
      </c>
      <c r="B395" s="4" t="s">
        <v>4952</v>
      </c>
      <c r="C395" s="4" t="s">
        <v>2217</v>
      </c>
      <c r="D395" s="3">
        <v>25.032758</v>
      </c>
      <c r="E395" s="3">
        <v>121.509732</v>
      </c>
      <c r="F395" s="3" t="s">
        <v>130</v>
      </c>
      <c r="G395" s="4" t="s">
        <v>1838</v>
      </c>
      <c r="H395" s="3"/>
    </row>
    <row r="396" ht="15.75" customHeight="1">
      <c r="A396" s="4" t="s">
        <v>4953</v>
      </c>
      <c r="B396" s="4" t="s">
        <v>4954</v>
      </c>
      <c r="C396" s="4" t="s">
        <v>2376</v>
      </c>
      <c r="D396" s="3">
        <v>25.032755</v>
      </c>
      <c r="E396" s="3">
        <v>121.509807</v>
      </c>
      <c r="F396" s="3" t="s">
        <v>130</v>
      </c>
      <c r="G396" s="4" t="s">
        <v>4157</v>
      </c>
      <c r="H396" s="3"/>
    </row>
    <row r="397" ht="15.75" customHeight="1">
      <c r="A397" s="4" t="s">
        <v>4955</v>
      </c>
      <c r="B397" s="4" t="s">
        <v>4956</v>
      </c>
      <c r="C397" s="4" t="s">
        <v>2155</v>
      </c>
      <c r="D397" s="3">
        <v>25.032814</v>
      </c>
      <c r="E397" s="3">
        <v>121.509728</v>
      </c>
      <c r="F397" s="3" t="s">
        <v>130</v>
      </c>
      <c r="G397" s="4" t="s">
        <v>1838</v>
      </c>
      <c r="H397" s="3"/>
    </row>
    <row r="398" ht="15.75" customHeight="1">
      <c r="A398" s="4" t="s">
        <v>4957</v>
      </c>
      <c r="B398" s="4" t="s">
        <v>4958</v>
      </c>
      <c r="C398" s="4" t="s">
        <v>2242</v>
      </c>
      <c r="D398" s="3">
        <v>25.032941</v>
      </c>
      <c r="E398" s="3">
        <v>121.509182</v>
      </c>
      <c r="F398" s="3" t="s">
        <v>130</v>
      </c>
      <c r="G398" s="4" t="s">
        <v>1832</v>
      </c>
      <c r="H398" s="3"/>
    </row>
    <row r="399" ht="15.75" customHeight="1">
      <c r="A399" s="4" t="s">
        <v>4959</v>
      </c>
      <c r="B399" s="4" t="s">
        <v>4960</v>
      </c>
      <c r="C399" s="4" t="s">
        <v>1877</v>
      </c>
      <c r="D399" s="3">
        <v>25.032782</v>
      </c>
      <c r="E399" s="3">
        <v>121.509582</v>
      </c>
      <c r="F399" s="3" t="s">
        <v>130</v>
      </c>
      <c r="G399" s="4" t="s">
        <v>4157</v>
      </c>
      <c r="H399" s="3"/>
    </row>
    <row r="400" ht="15.75" customHeight="1">
      <c r="A400" s="4" t="s">
        <v>4961</v>
      </c>
      <c r="B400" s="4" t="s">
        <v>4962</v>
      </c>
      <c r="C400" s="4" t="s">
        <v>2213</v>
      </c>
      <c r="D400" s="3">
        <v>25.032886</v>
      </c>
      <c r="E400" s="3">
        <v>121.509188</v>
      </c>
      <c r="F400" s="3" t="s">
        <v>130</v>
      </c>
      <c r="G400" s="4" t="s">
        <v>1832</v>
      </c>
      <c r="H400" s="3"/>
    </row>
    <row r="401" ht="15.75" customHeight="1">
      <c r="A401" s="4" t="s">
        <v>4963</v>
      </c>
      <c r="B401" s="4" t="s">
        <v>4964</v>
      </c>
      <c r="C401" s="4" t="s">
        <v>2787</v>
      </c>
      <c r="D401" s="3">
        <v>25.032976</v>
      </c>
      <c r="E401" s="3">
        <v>121.509243</v>
      </c>
      <c r="F401" s="3" t="s">
        <v>130</v>
      </c>
      <c r="G401" s="4" t="s">
        <v>4157</v>
      </c>
      <c r="H401" s="3"/>
    </row>
    <row r="402" ht="15.75" customHeight="1">
      <c r="A402" s="4" t="s">
        <v>4965</v>
      </c>
      <c r="B402" s="4" t="s">
        <v>4966</v>
      </c>
      <c r="C402" s="4" t="s">
        <v>2244</v>
      </c>
      <c r="D402" s="3">
        <v>25.032941</v>
      </c>
      <c r="E402" s="3">
        <v>121.509202</v>
      </c>
      <c r="F402" s="3" t="s">
        <v>130</v>
      </c>
      <c r="G402" s="4" t="s">
        <v>1832</v>
      </c>
      <c r="H402" s="3"/>
    </row>
    <row r="403" ht="15.75" customHeight="1">
      <c r="A403" s="4" t="s">
        <v>4967</v>
      </c>
      <c r="B403" s="4" t="s">
        <v>4968</v>
      </c>
      <c r="C403" s="4" t="s">
        <v>1879</v>
      </c>
      <c r="D403" s="3">
        <v>25.032784</v>
      </c>
      <c r="E403" s="3">
        <v>121.509685</v>
      </c>
      <c r="F403" s="3" t="s">
        <v>130</v>
      </c>
      <c r="G403" s="4" t="s">
        <v>1838</v>
      </c>
      <c r="H403" s="3"/>
    </row>
    <row r="404" ht="15.75" customHeight="1">
      <c r="A404" s="4" t="s">
        <v>4969</v>
      </c>
      <c r="B404" s="4" t="s">
        <v>4970</v>
      </c>
      <c r="C404" s="4" t="s">
        <v>1860</v>
      </c>
      <c r="D404" s="3">
        <v>25.032782</v>
      </c>
      <c r="E404" s="3">
        <v>121.50959</v>
      </c>
      <c r="F404" s="3" t="s">
        <v>130</v>
      </c>
      <c r="G404" s="4" t="s">
        <v>4157</v>
      </c>
      <c r="H404" s="3"/>
    </row>
    <row r="405" ht="15.75" customHeight="1">
      <c r="A405" s="4" t="s">
        <v>4971</v>
      </c>
      <c r="B405" s="4" t="s">
        <v>4972</v>
      </c>
      <c r="C405" s="4" t="s">
        <v>2389</v>
      </c>
      <c r="D405" s="3">
        <v>25.032781</v>
      </c>
      <c r="E405" s="3">
        <v>121.509733</v>
      </c>
      <c r="F405" s="3" t="s">
        <v>130</v>
      </c>
      <c r="G405" s="4" t="s">
        <v>1838</v>
      </c>
      <c r="H405" s="3"/>
    </row>
    <row r="406" ht="15.75" customHeight="1">
      <c r="A406" s="4" t="s">
        <v>4973</v>
      </c>
      <c r="B406" s="4" t="s">
        <v>4974</v>
      </c>
      <c r="C406" s="4" t="s">
        <v>2789</v>
      </c>
      <c r="D406" s="3">
        <v>25.033024</v>
      </c>
      <c r="E406" s="3">
        <v>121.509346</v>
      </c>
      <c r="F406" s="3" t="s">
        <v>130</v>
      </c>
      <c r="G406" s="4" t="s">
        <v>4157</v>
      </c>
      <c r="H406" s="3"/>
    </row>
    <row r="407" ht="15.75" customHeight="1">
      <c r="A407" s="4" t="s">
        <v>4975</v>
      </c>
      <c r="B407" s="4" t="s">
        <v>4976</v>
      </c>
      <c r="C407" s="4" t="s">
        <v>1850</v>
      </c>
      <c r="D407" s="3">
        <v>25.032944</v>
      </c>
      <c r="E407" s="3">
        <v>121.509281</v>
      </c>
      <c r="F407" s="3" t="s">
        <v>130</v>
      </c>
      <c r="G407" s="4" t="s">
        <v>1832</v>
      </c>
      <c r="H407" s="3"/>
    </row>
    <row r="408" ht="15.75" customHeight="1">
      <c r="A408" s="4" t="s">
        <v>4977</v>
      </c>
      <c r="B408" s="4" t="s">
        <v>4978</v>
      </c>
      <c r="C408" s="4" t="s">
        <v>2248</v>
      </c>
      <c r="D408" s="3">
        <v>25.032793</v>
      </c>
      <c r="E408" s="3">
        <v>121.50974</v>
      </c>
      <c r="F408" s="3" t="s">
        <v>130</v>
      </c>
      <c r="G408" s="4" t="s">
        <v>1838</v>
      </c>
      <c r="H408" s="3"/>
    </row>
    <row r="409" ht="15.75" customHeight="1">
      <c r="A409" s="4" t="s">
        <v>4979</v>
      </c>
      <c r="B409" s="4" t="s">
        <v>4980</v>
      </c>
      <c r="C409" s="4" t="s">
        <v>1871</v>
      </c>
      <c r="D409" s="3">
        <v>25.032737</v>
      </c>
      <c r="E409" s="3">
        <v>121.509652</v>
      </c>
      <c r="F409" s="3" t="s">
        <v>130</v>
      </c>
      <c r="G409" s="4" t="s">
        <v>1838</v>
      </c>
      <c r="H409" s="3"/>
    </row>
    <row r="410" ht="15.75" customHeight="1">
      <c r="A410" s="4" t="s">
        <v>4981</v>
      </c>
      <c r="B410" s="4" t="s">
        <v>4982</v>
      </c>
      <c r="C410" s="4" t="s">
        <v>2577</v>
      </c>
      <c r="D410" s="3">
        <v>25.032916</v>
      </c>
      <c r="E410" s="3">
        <v>121.509246</v>
      </c>
      <c r="F410" s="3" t="s">
        <v>130</v>
      </c>
      <c r="G410" s="4" t="s">
        <v>1832</v>
      </c>
      <c r="H410" s="3"/>
    </row>
    <row r="411" ht="15.75" customHeight="1">
      <c r="A411" s="4" t="s">
        <v>4983</v>
      </c>
      <c r="B411" s="4" t="s">
        <v>4984</v>
      </c>
      <c r="C411" s="4" t="s">
        <v>1867</v>
      </c>
      <c r="D411" s="3">
        <v>25.03292</v>
      </c>
      <c r="E411" s="3">
        <v>121.509229</v>
      </c>
      <c r="F411" s="3" t="s">
        <v>130</v>
      </c>
      <c r="G411" s="4" t="s">
        <v>1832</v>
      </c>
      <c r="H411" s="3"/>
    </row>
    <row r="412" ht="15.75" customHeight="1">
      <c r="A412" s="4" t="s">
        <v>4985</v>
      </c>
      <c r="B412" s="4" t="s">
        <v>4986</v>
      </c>
      <c r="C412" s="4" t="s">
        <v>2251</v>
      </c>
      <c r="D412" s="3">
        <v>25.032784</v>
      </c>
      <c r="E412" s="3">
        <v>121.509685</v>
      </c>
      <c r="F412" s="3" t="s">
        <v>130</v>
      </c>
      <c r="G412" s="4" t="s">
        <v>1838</v>
      </c>
      <c r="H412" s="3"/>
    </row>
    <row r="413" ht="15.75" customHeight="1">
      <c r="A413" s="4" t="s">
        <v>4987</v>
      </c>
      <c r="B413" s="4" t="s">
        <v>4988</v>
      </c>
      <c r="C413" s="4" t="s">
        <v>1875</v>
      </c>
      <c r="D413" s="3">
        <v>25.032792</v>
      </c>
      <c r="E413" s="3">
        <v>121.509725</v>
      </c>
      <c r="F413" s="3" t="s">
        <v>130</v>
      </c>
      <c r="G413" s="4" t="s">
        <v>1838</v>
      </c>
      <c r="H413" s="3"/>
    </row>
    <row r="414" ht="15.75" customHeight="1">
      <c r="A414" s="4" t="s">
        <v>4989</v>
      </c>
      <c r="B414" s="4" t="s">
        <v>4990</v>
      </c>
      <c r="C414" s="4" t="s">
        <v>2799</v>
      </c>
      <c r="D414" s="3">
        <v>25.0331313</v>
      </c>
      <c r="E414" s="3">
        <v>121.5097135</v>
      </c>
      <c r="F414" s="3" t="s">
        <v>130</v>
      </c>
      <c r="G414" s="4" t="s">
        <v>4157</v>
      </c>
      <c r="H414" s="3"/>
    </row>
    <row r="415" ht="15.75" customHeight="1">
      <c r="A415" s="4" t="s">
        <v>4991</v>
      </c>
      <c r="B415" s="4" t="s">
        <v>4992</v>
      </c>
      <c r="C415" s="4" t="s">
        <v>2801</v>
      </c>
      <c r="D415" s="3">
        <v>25.0314681</v>
      </c>
      <c r="E415" s="3">
        <v>121.5099202</v>
      </c>
      <c r="F415" s="3" t="s">
        <v>44</v>
      </c>
      <c r="G415" s="4" t="s">
        <v>4157</v>
      </c>
      <c r="H415" s="3"/>
    </row>
    <row r="416" ht="15.75" customHeight="1">
      <c r="A416" s="4" t="s">
        <v>4993</v>
      </c>
      <c r="B416" s="4" t="s">
        <v>4994</v>
      </c>
      <c r="C416" s="4" t="s">
        <v>1432</v>
      </c>
      <c r="D416" s="3">
        <v>25.032942</v>
      </c>
      <c r="E416" s="3">
        <v>121.508266</v>
      </c>
      <c r="F416" s="3" t="s">
        <v>56</v>
      </c>
      <c r="G416" s="4" t="s">
        <v>4157</v>
      </c>
      <c r="H416" s="3"/>
    </row>
    <row r="417" ht="15.75" customHeight="1">
      <c r="A417" s="4" t="s">
        <v>4995</v>
      </c>
      <c r="B417" s="4" t="s">
        <v>4996</v>
      </c>
      <c r="C417" s="4" t="s">
        <v>1493</v>
      </c>
      <c r="D417" s="3">
        <v>25.033179</v>
      </c>
      <c r="E417" s="3">
        <v>121.50841</v>
      </c>
      <c r="F417" s="3" t="s">
        <v>56</v>
      </c>
      <c r="G417" s="4" t="s">
        <v>4157</v>
      </c>
      <c r="H417" s="3"/>
    </row>
    <row r="418" ht="15.75" customHeight="1">
      <c r="A418" s="4" t="s">
        <v>4997</v>
      </c>
      <c r="B418" s="4" t="s">
        <v>4998</v>
      </c>
      <c r="C418" s="4" t="s">
        <v>1504</v>
      </c>
      <c r="D418" s="3">
        <v>25.03306</v>
      </c>
      <c r="E418" s="3">
        <v>121.508259</v>
      </c>
      <c r="F418" s="3" t="s">
        <v>56</v>
      </c>
      <c r="G418" s="4" t="s">
        <v>4157</v>
      </c>
      <c r="H418" s="3"/>
    </row>
    <row r="419" ht="15.75" customHeight="1">
      <c r="A419" s="4" t="s">
        <v>4999</v>
      </c>
      <c r="B419" s="4" t="s">
        <v>5000</v>
      </c>
      <c r="C419" s="4" t="s">
        <v>1510</v>
      </c>
      <c r="D419" s="3">
        <v>25.0331</v>
      </c>
      <c r="E419" s="3">
        <v>121.508321</v>
      </c>
      <c r="F419" s="3" t="s">
        <v>56</v>
      </c>
      <c r="G419" s="4" t="s">
        <v>4157</v>
      </c>
      <c r="H419" s="3"/>
    </row>
    <row r="420" ht="15.75" customHeight="1">
      <c r="A420" s="4" t="s">
        <v>5001</v>
      </c>
      <c r="B420" s="4" t="s">
        <v>5002</v>
      </c>
      <c r="C420" s="4" t="s">
        <v>1515</v>
      </c>
      <c r="D420" s="3">
        <v>25.033072</v>
      </c>
      <c r="E420" s="3">
        <v>121.508323</v>
      </c>
      <c r="F420" s="3" t="s">
        <v>56</v>
      </c>
      <c r="G420" s="4" t="s">
        <v>4157</v>
      </c>
      <c r="H420" s="3"/>
    </row>
    <row r="421" ht="15.75" customHeight="1">
      <c r="A421" s="4" t="s">
        <v>5003</v>
      </c>
      <c r="B421" s="4" t="s">
        <v>5004</v>
      </c>
      <c r="C421" s="4" t="s">
        <v>1519</v>
      </c>
      <c r="D421" s="3">
        <v>25.033106</v>
      </c>
      <c r="E421" s="3">
        <v>121.508263</v>
      </c>
      <c r="F421" s="3" t="s">
        <v>56</v>
      </c>
      <c r="G421" s="4" t="s">
        <v>4157</v>
      </c>
      <c r="H421" s="3"/>
    </row>
    <row r="422" ht="15.75" customHeight="1">
      <c r="A422" s="4" t="s">
        <v>5005</v>
      </c>
      <c r="B422" s="4" t="s">
        <v>5006</v>
      </c>
      <c r="C422" s="4" t="s">
        <v>5007</v>
      </c>
      <c r="D422" s="3">
        <v>25.033139</v>
      </c>
      <c r="E422" s="3">
        <v>121.508477</v>
      </c>
      <c r="F422" s="3" t="s">
        <v>56</v>
      </c>
      <c r="G422" s="4" t="s">
        <v>4157</v>
      </c>
      <c r="H422" s="3"/>
    </row>
    <row r="423" ht="15.75" customHeight="1">
      <c r="A423" s="4" t="s">
        <v>5008</v>
      </c>
      <c r="B423" s="4" t="s">
        <v>5009</v>
      </c>
      <c r="C423" s="4" t="s">
        <v>1534</v>
      </c>
      <c r="D423" s="3">
        <v>25.03304</v>
      </c>
      <c r="E423" s="3">
        <v>121.508669</v>
      </c>
      <c r="F423" s="3" t="s">
        <v>56</v>
      </c>
      <c r="G423" s="4" t="s">
        <v>4157</v>
      </c>
      <c r="H423" s="3"/>
    </row>
    <row r="424" ht="15.75" customHeight="1">
      <c r="A424" s="4" t="s">
        <v>5010</v>
      </c>
      <c r="B424" s="4" t="s">
        <v>5011</v>
      </c>
      <c r="C424" s="4" t="s">
        <v>1547</v>
      </c>
      <c r="D424" s="3">
        <v>25.033029</v>
      </c>
      <c r="E424" s="3">
        <v>121.508334</v>
      </c>
      <c r="F424" s="3" t="s">
        <v>56</v>
      </c>
      <c r="G424" s="4" t="s">
        <v>4157</v>
      </c>
      <c r="H424" s="3"/>
    </row>
    <row r="425" ht="15.75" customHeight="1">
      <c r="A425" s="4" t="s">
        <v>5012</v>
      </c>
      <c r="B425" s="4" t="s">
        <v>5013</v>
      </c>
      <c r="C425" s="4" t="s">
        <v>1550</v>
      </c>
      <c r="D425" s="3">
        <v>25.033113</v>
      </c>
      <c r="E425" s="3">
        <v>121.508786</v>
      </c>
      <c r="F425" s="3" t="s">
        <v>56</v>
      </c>
      <c r="G425" s="4" t="s">
        <v>4157</v>
      </c>
      <c r="H425" s="3"/>
    </row>
    <row r="426" ht="15.75" customHeight="1">
      <c r="A426" s="4" t="s">
        <v>5014</v>
      </c>
      <c r="B426" s="4" t="s">
        <v>5015</v>
      </c>
      <c r="C426" s="4" t="s">
        <v>1556</v>
      </c>
      <c r="D426" s="3">
        <v>25.033055</v>
      </c>
      <c r="E426" s="3">
        <v>121.508314</v>
      </c>
      <c r="F426" s="3" t="s">
        <v>56</v>
      </c>
      <c r="G426" s="4" t="s">
        <v>4157</v>
      </c>
      <c r="H426" s="3"/>
    </row>
    <row r="427" ht="15.75" customHeight="1">
      <c r="A427" s="4" t="s">
        <v>5016</v>
      </c>
      <c r="B427" s="4" t="s">
        <v>5017</v>
      </c>
      <c r="C427" s="4" t="s">
        <v>1562</v>
      </c>
      <c r="D427" s="3">
        <v>25.033121</v>
      </c>
      <c r="E427" s="3">
        <v>121.508287</v>
      </c>
      <c r="F427" s="3" t="s">
        <v>56</v>
      </c>
      <c r="G427" s="4" t="s">
        <v>4157</v>
      </c>
      <c r="H427" s="3"/>
    </row>
    <row r="428" ht="15.75" customHeight="1">
      <c r="A428" s="4" t="s">
        <v>5018</v>
      </c>
      <c r="B428" s="4" t="s">
        <v>5019</v>
      </c>
      <c r="C428" s="4" t="s">
        <v>1570</v>
      </c>
      <c r="D428" s="3">
        <v>25.033045</v>
      </c>
      <c r="E428" s="3">
        <v>121.508282</v>
      </c>
      <c r="F428" s="3" t="s">
        <v>56</v>
      </c>
      <c r="G428" s="4" t="s">
        <v>4157</v>
      </c>
      <c r="H428" s="3"/>
    </row>
    <row r="429" ht="15.75" customHeight="1">
      <c r="A429" s="4" t="s">
        <v>5020</v>
      </c>
      <c r="B429" s="4" t="s">
        <v>5021</v>
      </c>
      <c r="C429" s="4" t="s">
        <v>1572</v>
      </c>
      <c r="D429" s="3">
        <v>25.033052</v>
      </c>
      <c r="E429" s="3">
        <v>121.508272</v>
      </c>
      <c r="F429" s="3" t="s">
        <v>56</v>
      </c>
      <c r="G429" s="4" t="s">
        <v>4157</v>
      </c>
      <c r="H429" s="3"/>
    </row>
    <row r="430" ht="15.75" customHeight="1">
      <c r="A430" s="4" t="s">
        <v>5022</v>
      </c>
      <c r="B430" s="4" t="s">
        <v>5023</v>
      </c>
      <c r="C430" s="4" t="s">
        <v>1574</v>
      </c>
      <c r="D430" s="3">
        <v>25.033127</v>
      </c>
      <c r="E430" s="3">
        <v>121.508714</v>
      </c>
      <c r="F430" s="3" t="s">
        <v>56</v>
      </c>
      <c r="G430" s="4" t="s">
        <v>4157</v>
      </c>
      <c r="H430" s="3"/>
    </row>
    <row r="431" ht="15.75" customHeight="1">
      <c r="A431" s="4" t="s">
        <v>5024</v>
      </c>
      <c r="B431" s="4" t="s">
        <v>5025</v>
      </c>
      <c r="C431" s="4" t="s">
        <v>1583</v>
      </c>
      <c r="D431" s="3">
        <v>25.033272</v>
      </c>
      <c r="E431" s="3">
        <v>121.50852</v>
      </c>
      <c r="F431" s="3" t="s">
        <v>56</v>
      </c>
      <c r="G431" s="4" t="s">
        <v>4157</v>
      </c>
      <c r="H431" s="3"/>
    </row>
    <row r="432" ht="15.75" customHeight="1">
      <c r="A432" s="4" t="s">
        <v>5026</v>
      </c>
      <c r="B432" s="4" t="s">
        <v>5027</v>
      </c>
      <c r="C432" s="4" t="s">
        <v>1586</v>
      </c>
      <c r="D432" s="3">
        <v>25.033017</v>
      </c>
      <c r="E432" s="3">
        <v>121.508446</v>
      </c>
      <c r="F432" s="3" t="s">
        <v>56</v>
      </c>
      <c r="G432" s="4" t="s">
        <v>4157</v>
      </c>
      <c r="H432" s="3"/>
    </row>
    <row r="433" ht="15.75" customHeight="1">
      <c r="A433" s="4" t="s">
        <v>5028</v>
      </c>
      <c r="B433" s="4" t="s">
        <v>5029</v>
      </c>
      <c r="C433" s="4" t="s">
        <v>1592</v>
      </c>
      <c r="D433" s="3">
        <v>25.033085</v>
      </c>
      <c r="E433" s="3">
        <v>121.508277</v>
      </c>
      <c r="F433" s="3" t="s">
        <v>56</v>
      </c>
      <c r="G433" s="4" t="s">
        <v>4157</v>
      </c>
      <c r="H433" s="3"/>
    </row>
    <row r="434" ht="15.75" customHeight="1">
      <c r="A434" s="4" t="s">
        <v>5030</v>
      </c>
      <c r="B434" s="4" t="s">
        <v>5031</v>
      </c>
      <c r="C434" s="4" t="s">
        <v>1595</v>
      </c>
      <c r="D434" s="3">
        <v>25.03307</v>
      </c>
      <c r="E434" s="3">
        <v>121.508343</v>
      </c>
      <c r="F434" s="3" t="s">
        <v>56</v>
      </c>
      <c r="G434" s="4" t="s">
        <v>4157</v>
      </c>
      <c r="H434" s="3"/>
    </row>
    <row r="435" ht="15.75" customHeight="1">
      <c r="A435" s="4" t="s">
        <v>5032</v>
      </c>
      <c r="B435" s="4" t="s">
        <v>5033</v>
      </c>
      <c r="C435" s="4" t="s">
        <v>1598</v>
      </c>
      <c r="D435" s="3">
        <v>25.033024</v>
      </c>
      <c r="E435" s="3">
        <v>121.508544</v>
      </c>
      <c r="F435" s="3" t="s">
        <v>56</v>
      </c>
      <c r="G435" s="4" t="s">
        <v>4157</v>
      </c>
      <c r="H435" s="3"/>
    </row>
    <row r="436" ht="15.75" customHeight="1">
      <c r="A436" s="4" t="s">
        <v>5034</v>
      </c>
      <c r="B436" s="4" t="s">
        <v>5035</v>
      </c>
      <c r="C436" s="4" t="s">
        <v>1600</v>
      </c>
      <c r="D436" s="3">
        <v>25.033026</v>
      </c>
      <c r="E436" s="3">
        <v>121.508486</v>
      </c>
      <c r="F436" s="3" t="s">
        <v>56</v>
      </c>
      <c r="G436" s="4" t="s">
        <v>4157</v>
      </c>
      <c r="H436" s="3"/>
    </row>
    <row r="437" ht="15.75" customHeight="1">
      <c r="A437" s="4" t="s">
        <v>5036</v>
      </c>
      <c r="B437" s="4" t="s">
        <v>5037</v>
      </c>
      <c r="C437" s="4" t="s">
        <v>1603</v>
      </c>
      <c r="D437" s="3">
        <v>25.033086</v>
      </c>
      <c r="E437" s="3">
        <v>121.508286</v>
      </c>
      <c r="F437" s="3" t="s">
        <v>56</v>
      </c>
      <c r="G437" s="4" t="s">
        <v>4157</v>
      </c>
      <c r="H437" s="3"/>
    </row>
    <row r="438" ht="15.75" customHeight="1">
      <c r="A438" s="4" t="s">
        <v>5038</v>
      </c>
      <c r="B438" s="4" t="s">
        <v>5039</v>
      </c>
      <c r="C438" s="4" t="s">
        <v>1605</v>
      </c>
      <c r="D438" s="3">
        <v>25.033019</v>
      </c>
      <c r="E438" s="3">
        <v>121.508395</v>
      </c>
      <c r="F438" s="3" t="s">
        <v>56</v>
      </c>
      <c r="G438" s="4" t="s">
        <v>4157</v>
      </c>
      <c r="H438" s="3"/>
    </row>
    <row r="439" ht="15.75" customHeight="1">
      <c r="A439" s="7" t="s">
        <v>5040</v>
      </c>
      <c r="B439" s="4" t="s">
        <v>5041</v>
      </c>
      <c r="C439" s="4" t="s">
        <v>5042</v>
      </c>
      <c r="D439" s="3">
        <v>25.033034</v>
      </c>
      <c r="E439" s="3">
        <v>121.508694</v>
      </c>
      <c r="F439" s="3" t="s">
        <v>56</v>
      </c>
      <c r="G439" s="4" t="s">
        <v>4157</v>
      </c>
      <c r="H439" s="3"/>
    </row>
    <row r="440" ht="15.75" customHeight="1">
      <c r="A440" s="4" t="s">
        <v>5043</v>
      </c>
      <c r="B440" s="4" t="s">
        <v>5044</v>
      </c>
      <c r="C440" s="4" t="s">
        <v>1622</v>
      </c>
      <c r="D440" s="3">
        <v>25.033073</v>
      </c>
      <c r="E440" s="3">
        <v>121.508294</v>
      </c>
      <c r="F440" s="3" t="s">
        <v>56</v>
      </c>
      <c r="G440" s="4" t="s">
        <v>4157</v>
      </c>
      <c r="H440" s="3"/>
    </row>
    <row r="441" ht="15.75" customHeight="1">
      <c r="A441" s="4" t="s">
        <v>5045</v>
      </c>
      <c r="B441" s="4" t="s">
        <v>5046</v>
      </c>
      <c r="C441" s="4" t="s">
        <v>1625</v>
      </c>
      <c r="D441" s="3">
        <v>25.033046</v>
      </c>
      <c r="E441" s="3">
        <v>121.508511</v>
      </c>
      <c r="F441" s="3" t="s">
        <v>56</v>
      </c>
      <c r="G441" s="4" t="s">
        <v>4157</v>
      </c>
      <c r="H441" s="3"/>
    </row>
    <row r="442" ht="15.75" customHeight="1">
      <c r="A442" s="4" t="s">
        <v>5047</v>
      </c>
      <c r="B442" s="4" t="s">
        <v>5048</v>
      </c>
      <c r="C442" s="4" t="s">
        <v>1628</v>
      </c>
      <c r="D442" s="3">
        <v>25.033134</v>
      </c>
      <c r="E442" s="3">
        <v>121.508762</v>
      </c>
      <c r="F442" s="3" t="s">
        <v>56</v>
      </c>
      <c r="G442" s="4" t="s">
        <v>4157</v>
      </c>
      <c r="H442" s="3"/>
    </row>
    <row r="443" ht="15.75" customHeight="1">
      <c r="A443" s="4" t="s">
        <v>5049</v>
      </c>
      <c r="B443" s="4" t="s">
        <v>5050</v>
      </c>
      <c r="C443" s="4" t="s">
        <v>1630</v>
      </c>
      <c r="D443" s="3">
        <v>25.03305</v>
      </c>
      <c r="E443" s="3">
        <v>121.508293</v>
      </c>
      <c r="F443" s="3" t="s">
        <v>56</v>
      </c>
      <c r="G443" s="4" t="s">
        <v>4157</v>
      </c>
      <c r="H443" s="3"/>
    </row>
    <row r="444" ht="15.75" customHeight="1">
      <c r="A444" s="4" t="s">
        <v>5051</v>
      </c>
      <c r="B444" s="4" t="s">
        <v>5052</v>
      </c>
      <c r="C444" s="4" t="s">
        <v>1633</v>
      </c>
      <c r="D444" s="3">
        <v>25.033015</v>
      </c>
      <c r="E444" s="3">
        <v>121.508701</v>
      </c>
      <c r="F444" s="3" t="s">
        <v>56</v>
      </c>
      <c r="G444" s="4" t="s">
        <v>4157</v>
      </c>
      <c r="H444" s="3"/>
    </row>
    <row r="445" ht="15.75" customHeight="1">
      <c r="A445" s="4" t="s">
        <v>5053</v>
      </c>
      <c r="B445" s="4" t="s">
        <v>5054</v>
      </c>
      <c r="C445" s="4" t="s">
        <v>1640</v>
      </c>
      <c r="D445" s="3">
        <v>25.033093</v>
      </c>
      <c r="E445" s="3">
        <v>121.508251</v>
      </c>
      <c r="F445" s="3" t="s">
        <v>56</v>
      </c>
      <c r="G445" s="4" t="s">
        <v>4157</v>
      </c>
      <c r="H445" s="3"/>
    </row>
    <row r="446" ht="15.75" customHeight="1">
      <c r="A446" s="4" t="s">
        <v>5055</v>
      </c>
      <c r="B446" s="4" t="s">
        <v>5056</v>
      </c>
      <c r="C446" s="4" t="s">
        <v>1642</v>
      </c>
      <c r="D446" s="3">
        <v>25.033122</v>
      </c>
      <c r="E446" s="3">
        <v>121.508306</v>
      </c>
      <c r="F446" s="3" t="s">
        <v>56</v>
      </c>
      <c r="G446" s="4" t="s">
        <v>4157</v>
      </c>
      <c r="H446" s="3"/>
    </row>
    <row r="447" ht="15.75" customHeight="1">
      <c r="A447" s="4" t="s">
        <v>5057</v>
      </c>
      <c r="B447" s="4" t="s">
        <v>5058</v>
      </c>
      <c r="C447" s="4" t="s">
        <v>1644</v>
      </c>
      <c r="D447" s="3">
        <v>25.033066</v>
      </c>
      <c r="E447" s="3">
        <v>121.508717</v>
      </c>
      <c r="F447" s="3" t="s">
        <v>56</v>
      </c>
      <c r="G447" s="4" t="s">
        <v>4157</v>
      </c>
      <c r="H447" s="3"/>
    </row>
    <row r="448" ht="15.75" customHeight="1">
      <c r="A448" s="4" t="s">
        <v>5059</v>
      </c>
      <c r="B448" s="4" t="s">
        <v>5060</v>
      </c>
      <c r="C448" s="4" t="s">
        <v>1647</v>
      </c>
      <c r="D448" s="3">
        <v>25.033126</v>
      </c>
      <c r="E448" s="3">
        <v>121.508324</v>
      </c>
      <c r="F448" s="3" t="s">
        <v>56</v>
      </c>
      <c r="G448" s="4" t="s">
        <v>4157</v>
      </c>
      <c r="H448" s="3"/>
    </row>
    <row r="449" ht="15.75" customHeight="1">
      <c r="A449" s="4" t="s">
        <v>5061</v>
      </c>
      <c r="B449" s="4" t="s">
        <v>5062</v>
      </c>
      <c r="C449" s="4" t="s">
        <v>1653</v>
      </c>
      <c r="D449" s="3">
        <v>25.033108</v>
      </c>
      <c r="E449" s="3">
        <v>121.508297</v>
      </c>
      <c r="F449" s="3" t="s">
        <v>56</v>
      </c>
      <c r="G449" s="4" t="s">
        <v>4157</v>
      </c>
      <c r="H449" s="3"/>
    </row>
    <row r="450" ht="15.75" customHeight="1">
      <c r="A450" s="4" t="s">
        <v>5063</v>
      </c>
      <c r="B450" s="4" t="s">
        <v>5064</v>
      </c>
      <c r="C450" s="4" t="s">
        <v>1655</v>
      </c>
      <c r="D450" s="3">
        <v>25.033081</v>
      </c>
      <c r="E450" s="3">
        <v>121.508237</v>
      </c>
      <c r="F450" s="3" t="s">
        <v>56</v>
      </c>
      <c r="G450" s="4" t="s">
        <v>4157</v>
      </c>
      <c r="H450" s="3"/>
    </row>
    <row r="451" ht="15.75" customHeight="1">
      <c r="A451" s="4" t="s">
        <v>5065</v>
      </c>
      <c r="B451" s="4" t="s">
        <v>5066</v>
      </c>
      <c r="C451" s="4" t="s">
        <v>1657</v>
      </c>
      <c r="D451" s="3">
        <v>25.03312</v>
      </c>
      <c r="E451" s="3">
        <v>121.508247</v>
      </c>
      <c r="F451" s="3" t="s">
        <v>56</v>
      </c>
      <c r="G451" s="4" t="s">
        <v>4157</v>
      </c>
      <c r="H451" s="3"/>
    </row>
    <row r="452" ht="15.75" customHeight="1">
      <c r="A452" s="4" t="s">
        <v>5067</v>
      </c>
      <c r="B452" s="4" t="s">
        <v>5068</v>
      </c>
      <c r="C452" s="4" t="s">
        <v>1662</v>
      </c>
      <c r="D452" s="3">
        <v>25.032979</v>
      </c>
      <c r="E452" s="3">
        <v>121.508464</v>
      </c>
      <c r="F452" s="3" t="s">
        <v>56</v>
      </c>
      <c r="G452" s="4" t="s">
        <v>4157</v>
      </c>
      <c r="H452" s="3"/>
    </row>
    <row r="453" ht="15.75" customHeight="1">
      <c r="A453" s="4" t="s">
        <v>5069</v>
      </c>
      <c r="B453" s="4" t="s">
        <v>5070</v>
      </c>
      <c r="C453" s="4" t="s">
        <v>1664</v>
      </c>
      <c r="D453" s="3">
        <v>25.033052</v>
      </c>
      <c r="E453" s="3">
        <v>121.508445</v>
      </c>
      <c r="F453" s="3" t="s">
        <v>56</v>
      </c>
      <c r="G453" s="4" t="s">
        <v>4157</v>
      </c>
      <c r="H453" s="3"/>
    </row>
    <row r="454" ht="15.75" customHeight="1">
      <c r="A454" s="4" t="s">
        <v>5071</v>
      </c>
      <c r="B454" s="4" t="s">
        <v>5072</v>
      </c>
      <c r="C454" s="4" t="s">
        <v>1666</v>
      </c>
      <c r="D454" s="3">
        <v>25.033153</v>
      </c>
      <c r="E454" s="3">
        <v>121.508304</v>
      </c>
      <c r="F454" s="3" t="s">
        <v>56</v>
      </c>
      <c r="G454" s="4" t="s">
        <v>4157</v>
      </c>
      <c r="H454" s="3"/>
    </row>
    <row r="455" ht="15.75" customHeight="1">
      <c r="A455" s="4" t="s">
        <v>5073</v>
      </c>
      <c r="B455" s="4" t="s">
        <v>5074</v>
      </c>
      <c r="C455" s="4" t="s">
        <v>1668</v>
      </c>
      <c r="D455" s="3">
        <v>25.033017</v>
      </c>
      <c r="E455" s="3">
        <v>121.508521</v>
      </c>
      <c r="F455" s="3" t="s">
        <v>56</v>
      </c>
      <c r="G455" s="4" t="s">
        <v>4157</v>
      </c>
      <c r="H455" s="3"/>
    </row>
    <row r="456" ht="15.75" customHeight="1">
      <c r="A456" s="4" t="s">
        <v>5075</v>
      </c>
      <c r="B456" s="4" t="s">
        <v>5076</v>
      </c>
      <c r="C456" s="4" t="s">
        <v>1671</v>
      </c>
      <c r="D456" s="3">
        <v>25.032986</v>
      </c>
      <c r="E456" s="3">
        <v>121.508499</v>
      </c>
      <c r="F456" s="3" t="s">
        <v>56</v>
      </c>
      <c r="G456" s="4" t="s">
        <v>4157</v>
      </c>
      <c r="H456" s="3"/>
    </row>
    <row r="457" ht="15.75" customHeight="1">
      <c r="A457" s="4" t="s">
        <v>5077</v>
      </c>
      <c r="B457" s="4" t="s">
        <v>5078</v>
      </c>
      <c r="C457" s="4" t="s">
        <v>5079</v>
      </c>
      <c r="D457" s="3">
        <v>25.032938</v>
      </c>
      <c r="E457" s="3">
        <v>121.508212</v>
      </c>
      <c r="F457" s="3" t="s">
        <v>56</v>
      </c>
      <c r="G457" s="4" t="s">
        <v>4157</v>
      </c>
      <c r="H457" s="3"/>
    </row>
    <row r="458" ht="15.75" customHeight="1">
      <c r="A458" s="4" t="s">
        <v>5080</v>
      </c>
      <c r="B458" s="4" t="s">
        <v>5081</v>
      </c>
      <c r="C458" s="4" t="s">
        <v>1674</v>
      </c>
      <c r="D458" s="3">
        <v>25.033159</v>
      </c>
      <c r="E458" s="3">
        <v>121.508299</v>
      </c>
      <c r="F458" s="3" t="s">
        <v>56</v>
      </c>
      <c r="G458" s="4" t="s">
        <v>4157</v>
      </c>
      <c r="H458" s="3"/>
    </row>
    <row r="459" ht="15.75" customHeight="1">
      <c r="A459" s="4" t="s">
        <v>5082</v>
      </c>
      <c r="B459" s="4" t="s">
        <v>5083</v>
      </c>
      <c r="C459" s="4" t="s">
        <v>1676</v>
      </c>
      <c r="D459" s="3">
        <v>25.033155</v>
      </c>
      <c r="E459" s="3">
        <v>121.508286</v>
      </c>
      <c r="F459" s="3" t="s">
        <v>56</v>
      </c>
      <c r="G459" s="4" t="s">
        <v>4157</v>
      </c>
      <c r="H459" s="3"/>
    </row>
    <row r="460" ht="15.75" customHeight="1">
      <c r="A460" s="4" t="s">
        <v>5084</v>
      </c>
      <c r="B460" s="4" t="s">
        <v>5085</v>
      </c>
      <c r="C460" s="4" t="s">
        <v>1678</v>
      </c>
      <c r="D460" s="3">
        <v>25.033079</v>
      </c>
      <c r="E460" s="3">
        <v>121.508552</v>
      </c>
      <c r="F460" s="3" t="s">
        <v>56</v>
      </c>
      <c r="G460" s="4" t="s">
        <v>4157</v>
      </c>
      <c r="H460" s="3"/>
    </row>
    <row r="461" ht="15.75" customHeight="1">
      <c r="A461" s="4" t="s">
        <v>5086</v>
      </c>
      <c r="B461" s="4" t="s">
        <v>5087</v>
      </c>
      <c r="C461" s="4" t="s">
        <v>1680</v>
      </c>
      <c r="D461" s="3">
        <v>25.033137</v>
      </c>
      <c r="E461" s="3">
        <v>121.508264</v>
      </c>
      <c r="F461" s="3" t="s">
        <v>56</v>
      </c>
      <c r="G461" s="4" t="s">
        <v>4157</v>
      </c>
      <c r="H461" s="3"/>
    </row>
    <row r="462" ht="15.75" customHeight="1">
      <c r="A462" s="4" t="s">
        <v>5088</v>
      </c>
      <c r="B462" s="4" t="s">
        <v>5089</v>
      </c>
      <c r="C462" s="4" t="s">
        <v>1437</v>
      </c>
      <c r="D462" s="3">
        <v>25.033229</v>
      </c>
      <c r="E462" s="3">
        <v>121.508539</v>
      </c>
      <c r="F462" s="3" t="s">
        <v>56</v>
      </c>
      <c r="G462" s="4" t="s">
        <v>4157</v>
      </c>
      <c r="H462" s="3"/>
    </row>
    <row r="463" ht="15.75" customHeight="1">
      <c r="A463" s="4" t="s">
        <v>5090</v>
      </c>
      <c r="B463" s="4" t="s">
        <v>5091</v>
      </c>
      <c r="C463" s="4" t="s">
        <v>1439</v>
      </c>
      <c r="D463" s="3">
        <v>25.033164</v>
      </c>
      <c r="E463" s="3">
        <v>121.508478</v>
      </c>
      <c r="F463" s="3" t="s">
        <v>56</v>
      </c>
      <c r="G463" s="4" t="s">
        <v>4157</v>
      </c>
      <c r="H463" s="3"/>
    </row>
    <row r="464" ht="15.75" customHeight="1">
      <c r="A464" s="4" t="s">
        <v>5092</v>
      </c>
      <c r="B464" s="4" t="s">
        <v>5093</v>
      </c>
      <c r="C464" s="4" t="s">
        <v>1443</v>
      </c>
      <c r="D464" s="3">
        <v>25.033004</v>
      </c>
      <c r="E464" s="3">
        <v>121.508483</v>
      </c>
      <c r="F464" s="3" t="s">
        <v>56</v>
      </c>
      <c r="G464" s="4" t="s">
        <v>4157</v>
      </c>
      <c r="H464" s="3"/>
    </row>
    <row r="465" ht="15.75" customHeight="1">
      <c r="A465" s="4" t="s">
        <v>5094</v>
      </c>
      <c r="B465" s="4" t="s">
        <v>5095</v>
      </c>
      <c r="C465" s="4" t="s">
        <v>1446</v>
      </c>
      <c r="D465" s="3">
        <v>25.033006</v>
      </c>
      <c r="E465" s="3">
        <v>121.508427</v>
      </c>
      <c r="F465" s="3" t="s">
        <v>56</v>
      </c>
      <c r="G465" s="4" t="s">
        <v>4157</v>
      </c>
      <c r="H465" s="3"/>
    </row>
    <row r="466" ht="15.75" customHeight="1">
      <c r="A466" s="4" t="s">
        <v>5096</v>
      </c>
      <c r="B466" s="4" t="s">
        <v>5097</v>
      </c>
      <c r="C466" s="4" t="s">
        <v>1448</v>
      </c>
      <c r="D466" s="3">
        <v>25.033089</v>
      </c>
      <c r="E466" s="3">
        <v>121.508262</v>
      </c>
      <c r="F466" s="3" t="s">
        <v>56</v>
      </c>
      <c r="G466" s="4" t="s">
        <v>4157</v>
      </c>
      <c r="H466" s="3"/>
    </row>
    <row r="467" ht="15.75" customHeight="1">
      <c r="A467" s="4" t="s">
        <v>5098</v>
      </c>
      <c r="B467" s="4" t="s">
        <v>5099</v>
      </c>
      <c r="C467" s="4" t="s">
        <v>1452</v>
      </c>
      <c r="D467" s="3">
        <v>25.033135</v>
      </c>
      <c r="E467" s="3">
        <v>121.50834</v>
      </c>
      <c r="F467" s="3" t="s">
        <v>56</v>
      </c>
      <c r="G467" s="4" t="s">
        <v>4157</v>
      </c>
      <c r="H467" s="3"/>
    </row>
    <row r="468" ht="15.75" customHeight="1">
      <c r="A468" s="4" t="s">
        <v>5100</v>
      </c>
      <c r="B468" s="4" t="s">
        <v>5101</v>
      </c>
      <c r="C468" s="4" t="s">
        <v>1454</v>
      </c>
      <c r="D468" s="3">
        <v>25.033108</v>
      </c>
      <c r="E468" s="3">
        <v>121.508341</v>
      </c>
      <c r="F468" s="3" t="s">
        <v>56</v>
      </c>
      <c r="G468" s="4" t="s">
        <v>4157</v>
      </c>
      <c r="H468" s="3"/>
    </row>
    <row r="469" ht="15.75" customHeight="1">
      <c r="A469" s="4" t="s">
        <v>5102</v>
      </c>
      <c r="B469" s="4" t="s">
        <v>5103</v>
      </c>
      <c r="C469" s="4" t="s">
        <v>1456</v>
      </c>
      <c r="D469" s="3">
        <v>25.033016</v>
      </c>
      <c r="E469" s="3">
        <v>121.508455</v>
      </c>
      <c r="F469" s="3" t="s">
        <v>56</v>
      </c>
      <c r="G469" s="4" t="s">
        <v>4157</v>
      </c>
      <c r="H469" s="3"/>
    </row>
    <row r="470" ht="15.75" customHeight="1">
      <c r="A470" s="4" t="s">
        <v>5104</v>
      </c>
      <c r="B470" s="4" t="s">
        <v>5105</v>
      </c>
      <c r="C470" s="4" t="s">
        <v>1458</v>
      </c>
      <c r="D470" s="3">
        <v>25.033042</v>
      </c>
      <c r="E470" s="3">
        <v>121.508295</v>
      </c>
      <c r="F470" s="3" t="s">
        <v>56</v>
      </c>
      <c r="G470" s="4" t="s">
        <v>4157</v>
      </c>
      <c r="H470" s="3"/>
    </row>
    <row r="471" ht="15.75" customHeight="1">
      <c r="A471" s="4" t="s">
        <v>5106</v>
      </c>
      <c r="B471" s="4" t="s">
        <v>5107</v>
      </c>
      <c r="C471" s="4" t="s">
        <v>1463</v>
      </c>
      <c r="D471" s="3">
        <v>25.033039</v>
      </c>
      <c r="E471" s="3">
        <v>121.508267</v>
      </c>
      <c r="F471" s="3" t="s">
        <v>56</v>
      </c>
      <c r="G471" s="4" t="s">
        <v>4157</v>
      </c>
      <c r="H471" s="3"/>
    </row>
    <row r="472" ht="15.75" customHeight="1">
      <c r="A472" s="4" t="s">
        <v>5108</v>
      </c>
      <c r="B472" s="4" t="s">
        <v>5109</v>
      </c>
      <c r="C472" s="4" t="s">
        <v>1466</v>
      </c>
      <c r="D472" s="3">
        <v>25.033049</v>
      </c>
      <c r="E472" s="3">
        <v>121.508246</v>
      </c>
      <c r="F472" s="3" t="s">
        <v>56</v>
      </c>
      <c r="G472" s="4" t="s">
        <v>4157</v>
      </c>
      <c r="H472" s="3"/>
    </row>
    <row r="473" ht="15.75" customHeight="1">
      <c r="A473" s="4" t="s">
        <v>5110</v>
      </c>
      <c r="B473" s="4" t="s">
        <v>5111</v>
      </c>
      <c r="C473" s="4" t="s">
        <v>3668</v>
      </c>
      <c r="D473" s="3">
        <v>25.032768</v>
      </c>
      <c r="E473" s="3">
        <v>121.508874</v>
      </c>
      <c r="F473" s="3" t="s">
        <v>56</v>
      </c>
      <c r="G473" s="4" t="s">
        <v>4157</v>
      </c>
      <c r="H473" s="3"/>
    </row>
    <row r="474" ht="15.75" customHeight="1">
      <c r="A474" s="4" t="s">
        <v>5112</v>
      </c>
      <c r="B474" s="4" t="s">
        <v>5113</v>
      </c>
      <c r="C474" s="4" t="s">
        <v>3671</v>
      </c>
      <c r="D474" s="3">
        <v>25.032788</v>
      </c>
      <c r="E474" s="3">
        <v>121.508916</v>
      </c>
      <c r="F474" s="3" t="s">
        <v>56</v>
      </c>
      <c r="G474" s="4" t="s">
        <v>4157</v>
      </c>
      <c r="H474" s="3"/>
    </row>
    <row r="475" ht="15.75" customHeight="1">
      <c r="A475" s="4" t="s">
        <v>5114</v>
      </c>
      <c r="B475" s="4" t="s">
        <v>5115</v>
      </c>
      <c r="C475" s="4" t="s">
        <v>3708</v>
      </c>
      <c r="D475" s="3">
        <v>25.032705</v>
      </c>
      <c r="E475" s="3">
        <v>121.508844</v>
      </c>
      <c r="F475" s="3" t="s">
        <v>56</v>
      </c>
      <c r="G475" s="4" t="s">
        <v>4157</v>
      </c>
      <c r="H475" s="3"/>
    </row>
    <row r="476" ht="15.75" customHeight="1">
      <c r="A476" s="4" t="s">
        <v>5116</v>
      </c>
      <c r="B476" s="4" t="s">
        <v>5117</v>
      </c>
      <c r="C476" s="4" t="s">
        <v>3715</v>
      </c>
      <c r="D476" s="3">
        <v>25.032758</v>
      </c>
      <c r="E476" s="3">
        <v>121.508923</v>
      </c>
      <c r="F476" s="3" t="s">
        <v>56</v>
      </c>
      <c r="G476" s="4" t="s">
        <v>4157</v>
      </c>
      <c r="H476" s="3"/>
    </row>
    <row r="477" ht="15.75" customHeight="1">
      <c r="A477" s="4" t="s">
        <v>5118</v>
      </c>
      <c r="B477" s="4" t="s">
        <v>5119</v>
      </c>
      <c r="C477" s="4" t="s">
        <v>3722</v>
      </c>
      <c r="D477" s="3">
        <v>25.03279</v>
      </c>
      <c r="E477" s="3">
        <v>121.508885</v>
      </c>
      <c r="F477" s="3" t="s">
        <v>56</v>
      </c>
      <c r="G477" s="4" t="s">
        <v>4157</v>
      </c>
      <c r="H477" s="3"/>
    </row>
    <row r="478" ht="15.75" customHeight="1">
      <c r="A478" s="4" t="s">
        <v>5120</v>
      </c>
      <c r="B478" s="4" t="s">
        <v>5121</v>
      </c>
      <c r="C478" s="4" t="s">
        <v>3729</v>
      </c>
      <c r="D478" s="3">
        <v>25.032908</v>
      </c>
      <c r="E478" s="3">
        <v>121.508938</v>
      </c>
      <c r="F478" s="3" t="s">
        <v>56</v>
      </c>
      <c r="G478" s="4" t="s">
        <v>4157</v>
      </c>
      <c r="H478" s="3"/>
    </row>
    <row r="479" ht="15.75" customHeight="1">
      <c r="A479" s="4" t="s">
        <v>5122</v>
      </c>
      <c r="B479" s="4" t="s">
        <v>5123</v>
      </c>
      <c r="C479" s="4" t="s">
        <v>3731</v>
      </c>
      <c r="D479" s="3">
        <v>25.032904</v>
      </c>
      <c r="E479" s="3">
        <v>121.50901</v>
      </c>
      <c r="F479" s="3" t="s">
        <v>56</v>
      </c>
      <c r="G479" s="4" t="s">
        <v>4157</v>
      </c>
      <c r="H479" s="3"/>
    </row>
    <row r="480" ht="15.75" customHeight="1">
      <c r="A480" s="4" t="s">
        <v>5124</v>
      </c>
      <c r="B480" s="4" t="s">
        <v>5125</v>
      </c>
      <c r="C480" s="4" t="s">
        <v>3733</v>
      </c>
      <c r="D480" s="3">
        <v>25.03288</v>
      </c>
      <c r="E480" s="3">
        <v>121.508904</v>
      </c>
      <c r="F480" s="3" t="s">
        <v>56</v>
      </c>
      <c r="G480" s="4" t="s">
        <v>4157</v>
      </c>
      <c r="H480" s="3"/>
    </row>
    <row r="481" ht="15.75" customHeight="1">
      <c r="A481" s="4" t="s">
        <v>5126</v>
      </c>
      <c r="B481" s="4" t="s">
        <v>5127</v>
      </c>
      <c r="C481" s="4" t="s">
        <v>3735</v>
      </c>
      <c r="D481" s="3">
        <v>25.032678</v>
      </c>
      <c r="E481" s="3">
        <v>121.508874</v>
      </c>
      <c r="F481" s="3" t="s">
        <v>56</v>
      </c>
      <c r="G481" s="4" t="s">
        <v>4157</v>
      </c>
      <c r="H481" s="3"/>
    </row>
    <row r="482" ht="15.75" customHeight="1">
      <c r="A482" s="4" t="s">
        <v>5128</v>
      </c>
      <c r="B482" s="4" t="s">
        <v>5129</v>
      </c>
      <c r="C482" s="4" t="s">
        <v>3737</v>
      </c>
      <c r="D482" s="3">
        <v>25.032793</v>
      </c>
      <c r="E482" s="3">
        <v>121.508982</v>
      </c>
      <c r="F482" s="3" t="s">
        <v>56</v>
      </c>
      <c r="G482" s="4" t="s">
        <v>4157</v>
      </c>
      <c r="H482" s="3"/>
    </row>
    <row r="483" ht="15.75" customHeight="1">
      <c r="A483" s="4" t="s">
        <v>5130</v>
      </c>
      <c r="B483" s="4" t="s">
        <v>5131</v>
      </c>
      <c r="C483" s="4" t="s">
        <v>3739</v>
      </c>
      <c r="D483" s="3">
        <v>25.033016</v>
      </c>
      <c r="E483" s="3">
        <v>121.50901</v>
      </c>
      <c r="F483" s="3" t="s">
        <v>56</v>
      </c>
      <c r="G483" s="4" t="s">
        <v>4157</v>
      </c>
      <c r="H483" s="3"/>
    </row>
    <row r="484" ht="15.75" customHeight="1">
      <c r="A484" s="4" t="s">
        <v>5132</v>
      </c>
      <c r="B484" s="4" t="s">
        <v>5133</v>
      </c>
      <c r="C484" s="4" t="s">
        <v>5134</v>
      </c>
      <c r="D484" s="3">
        <v>25.032885</v>
      </c>
      <c r="E484" s="3">
        <v>121.508938</v>
      </c>
      <c r="F484" s="3" t="s">
        <v>56</v>
      </c>
      <c r="G484" s="4" t="s">
        <v>4157</v>
      </c>
      <c r="H484" s="3"/>
    </row>
    <row r="485" ht="15.75" customHeight="1">
      <c r="A485" s="4" t="s">
        <v>5135</v>
      </c>
      <c r="B485" s="4" t="s">
        <v>5136</v>
      </c>
      <c r="C485" s="4" t="s">
        <v>3747</v>
      </c>
      <c r="D485" s="3">
        <v>25.032812</v>
      </c>
      <c r="E485" s="3">
        <v>121.508893</v>
      </c>
      <c r="F485" s="3" t="s">
        <v>56</v>
      </c>
      <c r="G485" s="4" t="s">
        <v>4157</v>
      </c>
      <c r="H485" s="3"/>
    </row>
    <row r="486" ht="15.75" customHeight="1">
      <c r="A486" s="4" t="s">
        <v>5137</v>
      </c>
      <c r="B486" s="4" t="s">
        <v>5138</v>
      </c>
      <c r="C486" s="4" t="s">
        <v>3751</v>
      </c>
      <c r="D486" s="3">
        <v>25.032962</v>
      </c>
      <c r="E486" s="3">
        <v>121.50883</v>
      </c>
      <c r="F486" s="3" t="s">
        <v>56</v>
      </c>
      <c r="G486" s="4" t="s">
        <v>4157</v>
      </c>
      <c r="H486" s="3"/>
    </row>
    <row r="487" ht="15.75" customHeight="1">
      <c r="A487" s="4" t="s">
        <v>5139</v>
      </c>
      <c r="B487" s="4" t="s">
        <v>5140</v>
      </c>
      <c r="C487" s="4" t="s">
        <v>3753</v>
      </c>
      <c r="D487" s="3">
        <v>25.032746</v>
      </c>
      <c r="E487" s="3">
        <v>121.508956</v>
      </c>
      <c r="F487" s="3" t="s">
        <v>56</v>
      </c>
      <c r="G487" s="4" t="s">
        <v>4157</v>
      </c>
      <c r="H487" s="3"/>
    </row>
    <row r="488" ht="15.75" customHeight="1">
      <c r="A488" s="4" t="s">
        <v>5141</v>
      </c>
      <c r="B488" s="4" t="s">
        <v>5142</v>
      </c>
      <c r="C488" s="4" t="s">
        <v>3756</v>
      </c>
      <c r="D488" s="3">
        <v>25.032876</v>
      </c>
      <c r="E488" s="3">
        <v>121.508962</v>
      </c>
      <c r="F488" s="3" t="s">
        <v>56</v>
      </c>
      <c r="G488" s="4" t="s">
        <v>4157</v>
      </c>
      <c r="H488" s="3"/>
    </row>
    <row r="489" ht="15.75" customHeight="1">
      <c r="A489" s="4" t="s">
        <v>5143</v>
      </c>
      <c r="B489" s="4" t="s">
        <v>5144</v>
      </c>
      <c r="C489" s="4" t="s">
        <v>3758</v>
      </c>
      <c r="D489" s="3">
        <v>25.03274</v>
      </c>
      <c r="E489" s="3">
        <v>121.508859</v>
      </c>
      <c r="F489" s="3" t="s">
        <v>56</v>
      </c>
      <c r="G489" s="4" t="s">
        <v>4157</v>
      </c>
      <c r="H489" s="3"/>
    </row>
    <row r="490" ht="15.75" customHeight="1">
      <c r="A490" s="4" t="s">
        <v>5145</v>
      </c>
      <c r="B490" s="4" t="s">
        <v>5146</v>
      </c>
      <c r="C490" s="4" t="s">
        <v>3761</v>
      </c>
      <c r="D490" s="3">
        <v>25.033093</v>
      </c>
      <c r="E490" s="3">
        <v>121.509092</v>
      </c>
      <c r="F490" s="3" t="s">
        <v>130</v>
      </c>
      <c r="G490" s="4" t="s">
        <v>4157</v>
      </c>
      <c r="H490" s="3"/>
    </row>
    <row r="491" ht="15.75" customHeight="1">
      <c r="A491" s="4" t="s">
        <v>5147</v>
      </c>
      <c r="B491" s="4" t="s">
        <v>5148</v>
      </c>
      <c r="C491" s="4" t="s">
        <v>3763</v>
      </c>
      <c r="D491" s="3">
        <v>25.033032</v>
      </c>
      <c r="E491" s="3">
        <v>121.508974</v>
      </c>
      <c r="F491" s="3" t="s">
        <v>56</v>
      </c>
      <c r="G491" s="4" t="s">
        <v>4157</v>
      </c>
      <c r="H491" s="3"/>
    </row>
    <row r="492" ht="15.75" customHeight="1">
      <c r="A492" s="4" t="s">
        <v>5149</v>
      </c>
      <c r="B492" s="4" t="s">
        <v>5150</v>
      </c>
      <c r="C492" s="4" t="s">
        <v>5151</v>
      </c>
      <c r="D492" s="3">
        <v>25.032981</v>
      </c>
      <c r="E492" s="3">
        <v>121.508924</v>
      </c>
      <c r="F492" s="3" t="s">
        <v>56</v>
      </c>
      <c r="G492" s="4" t="s">
        <v>4157</v>
      </c>
      <c r="H492" s="3"/>
    </row>
    <row r="493" ht="15.75" customHeight="1">
      <c r="A493" s="4" t="s">
        <v>5152</v>
      </c>
      <c r="B493" s="4" t="s">
        <v>5153</v>
      </c>
      <c r="C493" s="4" t="s">
        <v>3766</v>
      </c>
      <c r="D493" s="3">
        <v>25.032878</v>
      </c>
      <c r="E493" s="3">
        <v>121.508982</v>
      </c>
      <c r="F493" s="3" t="s">
        <v>56</v>
      </c>
      <c r="G493" s="4" t="s">
        <v>4157</v>
      </c>
      <c r="H493" s="3"/>
    </row>
    <row r="494" ht="15.75" customHeight="1">
      <c r="A494" s="4" t="s">
        <v>5154</v>
      </c>
      <c r="B494" s="4" t="s">
        <v>5155</v>
      </c>
      <c r="C494" s="4" t="s">
        <v>3770</v>
      </c>
      <c r="D494" s="3">
        <v>25.033069</v>
      </c>
      <c r="E494" s="3">
        <v>121.509016</v>
      </c>
      <c r="F494" s="3" t="s">
        <v>56</v>
      </c>
      <c r="G494" s="4" t="s">
        <v>4157</v>
      </c>
      <c r="H494" s="3"/>
    </row>
    <row r="495" ht="15.75" customHeight="1">
      <c r="A495" s="4" t="s">
        <v>5156</v>
      </c>
      <c r="B495" s="4" t="s">
        <v>5157</v>
      </c>
      <c r="C495" s="4" t="s">
        <v>3273</v>
      </c>
      <c r="D495" s="3">
        <v>25.032912</v>
      </c>
      <c r="E495" s="3">
        <v>121.508404</v>
      </c>
      <c r="F495" s="3" t="s">
        <v>56</v>
      </c>
      <c r="G495" s="4" t="s">
        <v>4157</v>
      </c>
      <c r="H495" s="3"/>
    </row>
    <row r="496" ht="15.75" customHeight="1">
      <c r="A496" s="4" t="s">
        <v>5158</v>
      </c>
      <c r="B496" s="4" t="s">
        <v>5159</v>
      </c>
      <c r="C496" s="4" t="s">
        <v>3280</v>
      </c>
      <c r="D496" s="3">
        <v>25.032909</v>
      </c>
      <c r="E496" s="3">
        <v>121.508516</v>
      </c>
      <c r="F496" s="3" t="s">
        <v>56</v>
      </c>
      <c r="G496" s="4" t="s">
        <v>4157</v>
      </c>
      <c r="H496" s="3"/>
    </row>
    <row r="497" ht="15.75" customHeight="1">
      <c r="A497" s="4" t="s">
        <v>5160</v>
      </c>
      <c r="B497" s="4" t="s">
        <v>5161</v>
      </c>
      <c r="C497" s="4" t="s">
        <v>3283</v>
      </c>
      <c r="D497" s="3">
        <v>25.032925</v>
      </c>
      <c r="E497" s="3">
        <v>121.508242</v>
      </c>
      <c r="F497" s="3" t="s">
        <v>56</v>
      </c>
      <c r="G497" s="4" t="s">
        <v>4157</v>
      </c>
      <c r="H497" s="3"/>
    </row>
    <row r="498" ht="15.75" customHeight="1">
      <c r="A498" s="4" t="s">
        <v>5162</v>
      </c>
      <c r="B498" s="4" t="s">
        <v>5163</v>
      </c>
      <c r="C498" s="4" t="s">
        <v>3286</v>
      </c>
      <c r="D498" s="3">
        <v>25.032783</v>
      </c>
      <c r="E498" s="3">
        <v>121.508433</v>
      </c>
      <c r="F498" s="3" t="s">
        <v>56</v>
      </c>
      <c r="G498" s="4" t="s">
        <v>4157</v>
      </c>
      <c r="H498" s="3"/>
    </row>
    <row r="499" ht="15.75" customHeight="1">
      <c r="A499" s="4" t="s">
        <v>5164</v>
      </c>
      <c r="B499" s="4" t="s">
        <v>5165</v>
      </c>
      <c r="C499" s="4" t="s">
        <v>3301</v>
      </c>
      <c r="D499" s="3">
        <v>25.032786</v>
      </c>
      <c r="E499" s="3">
        <v>121.508457</v>
      </c>
      <c r="F499" s="3" t="s">
        <v>56</v>
      </c>
      <c r="G499" s="4" t="s">
        <v>4157</v>
      </c>
      <c r="H499" s="3"/>
    </row>
    <row r="500" ht="15.75" customHeight="1">
      <c r="A500" s="4" t="s">
        <v>5166</v>
      </c>
      <c r="B500" s="4" t="s">
        <v>5167</v>
      </c>
      <c r="C500" s="4" t="s">
        <v>3305</v>
      </c>
      <c r="D500" s="3">
        <v>25.032942</v>
      </c>
      <c r="E500" s="3">
        <v>121.508454</v>
      </c>
      <c r="F500" s="3" t="s">
        <v>56</v>
      </c>
      <c r="G500" s="4" t="s">
        <v>4157</v>
      </c>
      <c r="H500" s="3"/>
    </row>
    <row r="501" ht="15.75" customHeight="1">
      <c r="A501" s="4" t="s">
        <v>5168</v>
      </c>
      <c r="B501" s="4" t="s">
        <v>5169</v>
      </c>
      <c r="C501" s="4" t="s">
        <v>3312</v>
      </c>
      <c r="D501" s="3">
        <v>25.032739</v>
      </c>
      <c r="E501" s="3">
        <v>121.508411</v>
      </c>
      <c r="F501" s="3" t="s">
        <v>56</v>
      </c>
      <c r="G501" s="4" t="s">
        <v>4157</v>
      </c>
      <c r="H501" s="3"/>
    </row>
    <row r="502" ht="15.75" customHeight="1">
      <c r="A502" s="4" t="s">
        <v>5170</v>
      </c>
      <c r="B502" s="4" t="s">
        <v>5171</v>
      </c>
      <c r="C502" s="4" t="s">
        <v>3314</v>
      </c>
      <c r="D502" s="3">
        <v>25.032817</v>
      </c>
      <c r="E502" s="3">
        <v>121.508364</v>
      </c>
      <c r="F502" s="3" t="s">
        <v>56</v>
      </c>
      <c r="G502" s="4" t="s">
        <v>4157</v>
      </c>
      <c r="H502" s="3"/>
    </row>
    <row r="503" ht="15.75" customHeight="1">
      <c r="A503" s="4" t="s">
        <v>5172</v>
      </c>
      <c r="B503" s="4" t="s">
        <v>5173</v>
      </c>
      <c r="C503" s="4" t="s">
        <v>3319</v>
      </c>
      <c r="D503" s="3">
        <v>25.032857</v>
      </c>
      <c r="E503" s="3">
        <v>121.508593</v>
      </c>
      <c r="F503" s="3" t="s">
        <v>56</v>
      </c>
      <c r="G503" s="4" t="s">
        <v>4157</v>
      </c>
      <c r="H503" s="3"/>
    </row>
    <row r="504" ht="15.75" customHeight="1">
      <c r="A504" s="4" t="s">
        <v>5174</v>
      </c>
      <c r="B504" s="4" t="s">
        <v>5175</v>
      </c>
      <c r="C504" s="4" t="s">
        <v>3325</v>
      </c>
      <c r="D504" s="3">
        <v>25.032804</v>
      </c>
      <c r="E504" s="3">
        <v>121.508413</v>
      </c>
      <c r="F504" s="3" t="s">
        <v>56</v>
      </c>
      <c r="G504" s="4" t="s">
        <v>4157</v>
      </c>
      <c r="H504" s="3"/>
    </row>
    <row r="505" ht="15.75" customHeight="1">
      <c r="A505" s="4" t="s">
        <v>5176</v>
      </c>
      <c r="B505" s="4" t="s">
        <v>5177</v>
      </c>
      <c r="C505" s="4" t="s">
        <v>3332</v>
      </c>
      <c r="D505" s="3">
        <v>25.032862</v>
      </c>
      <c r="E505" s="3">
        <v>121.50863</v>
      </c>
      <c r="F505" s="3" t="s">
        <v>56</v>
      </c>
      <c r="G505" s="4" t="s">
        <v>4157</v>
      </c>
      <c r="H505" s="3"/>
    </row>
    <row r="506" ht="15.75" customHeight="1">
      <c r="A506" s="4" t="s">
        <v>5178</v>
      </c>
      <c r="B506" s="4" t="s">
        <v>5179</v>
      </c>
      <c r="C506" s="4" t="s">
        <v>3334</v>
      </c>
      <c r="D506" s="3">
        <v>25.032937</v>
      </c>
      <c r="E506" s="3">
        <v>121.508661</v>
      </c>
      <c r="F506" s="3" t="s">
        <v>56</v>
      </c>
      <c r="G506" s="4" t="s">
        <v>4157</v>
      </c>
      <c r="H506" s="3"/>
    </row>
    <row r="507" ht="15.75" customHeight="1">
      <c r="A507" s="4" t="s">
        <v>5180</v>
      </c>
      <c r="B507" s="4" t="s">
        <v>5181</v>
      </c>
      <c r="C507" s="4" t="s">
        <v>3343</v>
      </c>
      <c r="D507" s="3">
        <v>25.032764</v>
      </c>
      <c r="E507" s="3">
        <v>121.508339</v>
      </c>
      <c r="F507" s="3" t="s">
        <v>56</v>
      </c>
      <c r="G507" s="4" t="s">
        <v>4157</v>
      </c>
      <c r="H507" s="3"/>
    </row>
    <row r="508" ht="15.75" customHeight="1">
      <c r="A508" s="4" t="s">
        <v>5182</v>
      </c>
      <c r="B508" s="4" t="s">
        <v>5183</v>
      </c>
      <c r="C508" s="4" t="s">
        <v>3347</v>
      </c>
      <c r="D508" s="3">
        <v>25.032781</v>
      </c>
      <c r="E508" s="3">
        <v>121.508364</v>
      </c>
      <c r="F508" s="3" t="s">
        <v>56</v>
      </c>
      <c r="G508" s="4" t="s">
        <v>4157</v>
      </c>
      <c r="H508" s="3"/>
    </row>
    <row r="509" ht="15.75" customHeight="1">
      <c r="A509" s="4" t="s">
        <v>5184</v>
      </c>
      <c r="B509" s="4" t="s">
        <v>5185</v>
      </c>
      <c r="C509" s="4" t="s">
        <v>3351</v>
      </c>
      <c r="D509" s="3">
        <v>25.032886</v>
      </c>
      <c r="E509" s="3">
        <v>121.508636</v>
      </c>
      <c r="F509" s="3" t="s">
        <v>56</v>
      </c>
      <c r="G509" s="4" t="s">
        <v>4157</v>
      </c>
      <c r="H509" s="3"/>
    </row>
    <row r="510" ht="15.75" customHeight="1">
      <c r="A510" s="4" t="s">
        <v>5186</v>
      </c>
      <c r="B510" s="4" t="s">
        <v>5187</v>
      </c>
      <c r="C510" s="4" t="s">
        <v>3353</v>
      </c>
      <c r="D510" s="3">
        <v>25.032745</v>
      </c>
      <c r="E510" s="3">
        <v>121.508356</v>
      </c>
      <c r="F510" s="3" t="s">
        <v>56</v>
      </c>
      <c r="G510" s="4" t="s">
        <v>4157</v>
      </c>
      <c r="H510" s="3"/>
    </row>
    <row r="511" ht="15.75" customHeight="1">
      <c r="A511" s="4" t="s">
        <v>5188</v>
      </c>
      <c r="B511" s="4" t="s">
        <v>5189</v>
      </c>
      <c r="C511" s="4" t="s">
        <v>3357</v>
      </c>
      <c r="D511" s="3">
        <v>25.032719</v>
      </c>
      <c r="E511" s="3">
        <v>121.508432</v>
      </c>
      <c r="F511" s="3" t="s">
        <v>56</v>
      </c>
      <c r="G511" s="4" t="s">
        <v>4157</v>
      </c>
      <c r="H511" s="3"/>
    </row>
    <row r="512" ht="15.75" customHeight="1">
      <c r="A512" s="4" t="s">
        <v>5190</v>
      </c>
      <c r="B512" s="4" t="s">
        <v>5191</v>
      </c>
      <c r="C512" s="4" t="s">
        <v>3360</v>
      </c>
      <c r="D512" s="3">
        <v>25.032836</v>
      </c>
      <c r="E512" s="3">
        <v>121.508325</v>
      </c>
      <c r="F512" s="3" t="s">
        <v>56</v>
      </c>
      <c r="G512" s="4" t="s">
        <v>4157</v>
      </c>
      <c r="H512" s="3"/>
    </row>
    <row r="513" ht="15.75" customHeight="1">
      <c r="A513" s="4" t="s">
        <v>5192</v>
      </c>
      <c r="B513" s="4" t="s">
        <v>5193</v>
      </c>
      <c r="C513" s="4" t="s">
        <v>3362</v>
      </c>
      <c r="D513" s="3">
        <v>25.032883</v>
      </c>
      <c r="E513" s="3">
        <v>121.50837</v>
      </c>
      <c r="F513" s="3" t="s">
        <v>56</v>
      </c>
      <c r="G513" s="4" t="s">
        <v>4157</v>
      </c>
      <c r="H513" s="3"/>
    </row>
    <row r="514" ht="15.75" customHeight="1">
      <c r="A514" s="4" t="s">
        <v>5194</v>
      </c>
      <c r="B514" s="4" t="s">
        <v>5195</v>
      </c>
      <c r="C514" s="4" t="s">
        <v>3364</v>
      </c>
      <c r="D514" s="3">
        <v>25.032736</v>
      </c>
      <c r="E514" s="3">
        <v>121.508428</v>
      </c>
      <c r="F514" s="3" t="s">
        <v>56</v>
      </c>
      <c r="G514" s="4" t="s">
        <v>4157</v>
      </c>
      <c r="H514" s="3"/>
    </row>
    <row r="515" ht="15.75" customHeight="1">
      <c r="A515" s="4" t="s">
        <v>5196</v>
      </c>
      <c r="B515" s="4" t="s">
        <v>5197</v>
      </c>
      <c r="C515" s="4" t="s">
        <v>3366</v>
      </c>
      <c r="D515" s="3">
        <v>25.032882</v>
      </c>
      <c r="E515" s="3">
        <v>121.508657</v>
      </c>
      <c r="F515" s="3" t="s">
        <v>56</v>
      </c>
      <c r="G515" s="4" t="s">
        <v>4157</v>
      </c>
      <c r="H515" s="3"/>
    </row>
    <row r="516" ht="15.75" customHeight="1">
      <c r="A516" s="4" t="s">
        <v>5198</v>
      </c>
      <c r="B516" s="4" t="s">
        <v>5199</v>
      </c>
      <c r="C516" s="4" t="s">
        <v>3368</v>
      </c>
      <c r="D516" s="3">
        <v>25.032793</v>
      </c>
      <c r="E516" s="3">
        <v>121.508544</v>
      </c>
      <c r="F516" s="3" t="s">
        <v>56</v>
      </c>
      <c r="G516" s="4" t="s">
        <v>4157</v>
      </c>
      <c r="H516" s="3"/>
    </row>
    <row r="517" ht="15.75" customHeight="1">
      <c r="A517" s="4" t="s">
        <v>5200</v>
      </c>
      <c r="B517" s="4" t="s">
        <v>5201</v>
      </c>
      <c r="C517" s="4" t="s">
        <v>3371</v>
      </c>
      <c r="D517" s="3">
        <v>25.032946</v>
      </c>
      <c r="E517" s="3">
        <v>121.508761</v>
      </c>
      <c r="F517" s="3" t="s">
        <v>56</v>
      </c>
      <c r="G517" s="4" t="s">
        <v>4157</v>
      </c>
      <c r="H517" s="3"/>
    </row>
    <row r="518" ht="15.75" customHeight="1">
      <c r="A518" s="4" t="s">
        <v>5202</v>
      </c>
      <c r="B518" s="4" t="s">
        <v>5203</v>
      </c>
      <c r="C518" s="4" t="s">
        <v>3373</v>
      </c>
      <c r="D518" s="3">
        <v>25.03303</v>
      </c>
      <c r="E518" s="3">
        <v>121.508678</v>
      </c>
      <c r="F518" s="3" t="s">
        <v>56</v>
      </c>
      <c r="G518" s="4" t="s">
        <v>4157</v>
      </c>
      <c r="H518" s="3"/>
    </row>
    <row r="519" ht="15.75" customHeight="1">
      <c r="A519" s="4" t="s">
        <v>5204</v>
      </c>
      <c r="B519" s="4" t="s">
        <v>5205</v>
      </c>
      <c r="C519" s="4" t="s">
        <v>3376</v>
      </c>
      <c r="D519" s="3">
        <v>25.032926</v>
      </c>
      <c r="E519" s="3">
        <v>121.508634</v>
      </c>
      <c r="F519" s="3" t="s">
        <v>56</v>
      </c>
      <c r="G519" s="4" t="s">
        <v>4157</v>
      </c>
      <c r="H519" s="3"/>
    </row>
    <row r="520" ht="15.75" customHeight="1">
      <c r="A520" s="4" t="s">
        <v>5206</v>
      </c>
      <c r="B520" s="4" t="s">
        <v>5207</v>
      </c>
      <c r="C520" s="4" t="s">
        <v>3380</v>
      </c>
      <c r="D520" s="3">
        <v>25.032889</v>
      </c>
      <c r="E520" s="3">
        <v>121.508384</v>
      </c>
      <c r="F520" s="3" t="s">
        <v>56</v>
      </c>
      <c r="G520" s="4" t="s">
        <v>4157</v>
      </c>
      <c r="H520" s="3"/>
    </row>
    <row r="521" ht="15.75" customHeight="1">
      <c r="A521" s="4" t="s">
        <v>5208</v>
      </c>
      <c r="B521" s="4" t="s">
        <v>5209</v>
      </c>
      <c r="C521" s="4" t="s">
        <v>3383</v>
      </c>
      <c r="D521" s="3">
        <v>25.032814</v>
      </c>
      <c r="E521" s="3">
        <v>121.508673</v>
      </c>
      <c r="F521" s="3" t="s">
        <v>56</v>
      </c>
      <c r="G521" s="4" t="s">
        <v>4157</v>
      </c>
      <c r="H521" s="3"/>
    </row>
    <row r="522" ht="15.75" customHeight="1">
      <c r="A522" s="4" t="s">
        <v>5210</v>
      </c>
      <c r="B522" s="4" t="s">
        <v>5211</v>
      </c>
      <c r="C522" s="4" t="s">
        <v>3385</v>
      </c>
      <c r="D522" s="3">
        <v>25.032972</v>
      </c>
      <c r="E522" s="3">
        <v>121.508888</v>
      </c>
      <c r="F522" s="3" t="s">
        <v>56</v>
      </c>
      <c r="G522" s="4" t="s">
        <v>4157</v>
      </c>
      <c r="H522" s="3"/>
    </row>
    <row r="523" ht="15.75" customHeight="1">
      <c r="A523" s="4" t="s">
        <v>5212</v>
      </c>
      <c r="B523" s="4" t="s">
        <v>5213</v>
      </c>
      <c r="C523" s="4" t="s">
        <v>3387</v>
      </c>
      <c r="D523" s="3">
        <v>25.032954</v>
      </c>
      <c r="E523" s="3">
        <v>121.508542</v>
      </c>
      <c r="F523" s="3" t="s">
        <v>56</v>
      </c>
      <c r="G523" s="4" t="s">
        <v>4157</v>
      </c>
      <c r="H523" s="3"/>
    </row>
    <row r="524" ht="15.75" customHeight="1">
      <c r="A524" s="4" t="s">
        <v>5214</v>
      </c>
      <c r="B524" s="4" t="s">
        <v>5215</v>
      </c>
      <c r="C524" s="4" t="s">
        <v>3389</v>
      </c>
      <c r="D524" s="3">
        <v>25.032741</v>
      </c>
      <c r="E524" s="3">
        <v>121.508501</v>
      </c>
      <c r="F524" s="3" t="s">
        <v>56</v>
      </c>
      <c r="G524" s="4" t="s">
        <v>4157</v>
      </c>
      <c r="H524" s="3"/>
    </row>
    <row r="525" ht="15.75" customHeight="1">
      <c r="A525" s="4" t="s">
        <v>5216</v>
      </c>
      <c r="B525" s="4" t="s">
        <v>5217</v>
      </c>
      <c r="C525" s="4" t="s">
        <v>3392</v>
      </c>
      <c r="D525" s="3">
        <v>25.032742</v>
      </c>
      <c r="E525" s="3">
        <v>121.508552</v>
      </c>
      <c r="F525" s="3" t="s">
        <v>56</v>
      </c>
      <c r="G525" s="4" t="s">
        <v>4157</v>
      </c>
      <c r="H525" s="3"/>
    </row>
    <row r="526" ht="15.75" customHeight="1">
      <c r="A526" s="4" t="s">
        <v>5218</v>
      </c>
      <c r="B526" s="4" t="s">
        <v>5219</v>
      </c>
      <c r="C526" s="4" t="s">
        <v>3394</v>
      </c>
      <c r="D526" s="3">
        <v>25.032818</v>
      </c>
      <c r="E526" s="3">
        <v>121.508598</v>
      </c>
      <c r="F526" s="3" t="s">
        <v>56</v>
      </c>
      <c r="G526" s="4" t="s">
        <v>4157</v>
      </c>
      <c r="H526" s="3"/>
    </row>
    <row r="527" ht="15.75" customHeight="1">
      <c r="A527" s="4" t="s">
        <v>5220</v>
      </c>
      <c r="B527" s="4" t="s">
        <v>5221</v>
      </c>
      <c r="C527" s="4" t="s">
        <v>3396</v>
      </c>
      <c r="D527" s="3">
        <v>25.032779</v>
      </c>
      <c r="E527" s="3">
        <v>121.508303</v>
      </c>
      <c r="F527" s="3" t="s">
        <v>56</v>
      </c>
      <c r="G527" s="4" t="s">
        <v>4157</v>
      </c>
      <c r="H527" s="3"/>
    </row>
    <row r="528" ht="15.75" customHeight="1">
      <c r="A528" s="4" t="s">
        <v>5222</v>
      </c>
      <c r="B528" s="4" t="s">
        <v>5223</v>
      </c>
      <c r="C528" s="4" t="s">
        <v>3398</v>
      </c>
      <c r="D528" s="3">
        <v>25.032737</v>
      </c>
      <c r="E528" s="3">
        <v>121.50839</v>
      </c>
      <c r="F528" s="3" t="s">
        <v>56</v>
      </c>
      <c r="G528" s="4" t="s">
        <v>4157</v>
      </c>
      <c r="H528" s="3"/>
    </row>
    <row r="529" ht="15.75" customHeight="1">
      <c r="A529" s="4" t="s">
        <v>5224</v>
      </c>
      <c r="B529" s="4" t="s">
        <v>5225</v>
      </c>
      <c r="C529" s="4" t="s">
        <v>3400</v>
      </c>
      <c r="D529" s="3">
        <v>25.032815</v>
      </c>
      <c r="E529" s="3">
        <v>121.508627</v>
      </c>
      <c r="F529" s="3" t="s">
        <v>56</v>
      </c>
      <c r="G529" s="4" t="s">
        <v>4157</v>
      </c>
      <c r="H529" s="3"/>
    </row>
    <row r="530" ht="15.75" customHeight="1">
      <c r="A530" s="4" t="s">
        <v>5226</v>
      </c>
      <c r="B530" s="4" t="s">
        <v>5227</v>
      </c>
      <c r="C530" s="4" t="s">
        <v>3402</v>
      </c>
      <c r="D530" s="3">
        <v>25.032846</v>
      </c>
      <c r="E530" s="3">
        <v>121.508651</v>
      </c>
      <c r="F530" s="3" t="s">
        <v>56</v>
      </c>
      <c r="G530" s="4" t="s">
        <v>4157</v>
      </c>
      <c r="H530" s="3"/>
    </row>
    <row r="531" ht="15.75" customHeight="1">
      <c r="A531" s="4" t="s">
        <v>5228</v>
      </c>
      <c r="B531" s="4" t="s">
        <v>5229</v>
      </c>
      <c r="C531" s="4" t="s">
        <v>3404</v>
      </c>
      <c r="D531" s="3">
        <v>25.032841</v>
      </c>
      <c r="E531" s="3">
        <v>121.508568</v>
      </c>
      <c r="F531" s="3" t="s">
        <v>56</v>
      </c>
      <c r="G531" s="4" t="s">
        <v>4157</v>
      </c>
      <c r="H531" s="3"/>
    </row>
    <row r="532" ht="15.75" customHeight="1">
      <c r="A532" s="4" t="s">
        <v>5230</v>
      </c>
      <c r="B532" s="4" t="s">
        <v>5231</v>
      </c>
      <c r="C532" s="4" t="s">
        <v>3406</v>
      </c>
      <c r="D532" s="3">
        <v>25.032848</v>
      </c>
      <c r="E532" s="3">
        <v>121.508258</v>
      </c>
      <c r="F532" s="3" t="s">
        <v>56</v>
      </c>
      <c r="G532" s="4" t="s">
        <v>4157</v>
      </c>
      <c r="H532" s="3"/>
    </row>
    <row r="533" ht="15.75" customHeight="1">
      <c r="A533" s="4" t="s">
        <v>5232</v>
      </c>
      <c r="B533" s="4" t="s">
        <v>5233</v>
      </c>
      <c r="C533" s="4" t="s">
        <v>3408</v>
      </c>
      <c r="D533" s="3">
        <v>25.032767</v>
      </c>
      <c r="E533" s="3">
        <v>121.508722</v>
      </c>
      <c r="F533" s="3" t="s">
        <v>56</v>
      </c>
      <c r="G533" s="4" t="s">
        <v>4157</v>
      </c>
      <c r="H533" s="3"/>
    </row>
    <row r="534" ht="15.75" customHeight="1">
      <c r="A534" s="4" t="s">
        <v>5234</v>
      </c>
      <c r="B534" s="4" t="s">
        <v>5235</v>
      </c>
      <c r="C534" s="4" t="s">
        <v>3410</v>
      </c>
      <c r="D534" s="3">
        <v>25.032831</v>
      </c>
      <c r="E534" s="3">
        <v>121.508645</v>
      </c>
      <c r="F534" s="3" t="s">
        <v>56</v>
      </c>
      <c r="G534" s="4" t="s">
        <v>4157</v>
      </c>
      <c r="H534" s="3"/>
    </row>
    <row r="535" ht="15.75" customHeight="1">
      <c r="A535" s="4" t="s">
        <v>5236</v>
      </c>
      <c r="B535" s="4" t="s">
        <v>5237</v>
      </c>
      <c r="C535" s="4" t="s">
        <v>3412</v>
      </c>
      <c r="D535" s="3">
        <v>25.032878</v>
      </c>
      <c r="E535" s="3">
        <v>121.508246</v>
      </c>
      <c r="F535" s="3" t="s">
        <v>56</v>
      </c>
      <c r="G535" s="4" t="s">
        <v>4157</v>
      </c>
      <c r="H535" s="3"/>
    </row>
    <row r="536" ht="15.75" customHeight="1">
      <c r="A536" s="4" t="s">
        <v>5238</v>
      </c>
      <c r="B536" s="4" t="s">
        <v>5239</v>
      </c>
      <c r="C536" s="4" t="s">
        <v>3414</v>
      </c>
      <c r="D536" s="3">
        <v>25.032834</v>
      </c>
      <c r="E536" s="3">
        <v>121.508611</v>
      </c>
      <c r="F536" s="3" t="s">
        <v>56</v>
      </c>
      <c r="G536" s="4" t="s">
        <v>4157</v>
      </c>
      <c r="H536" s="3"/>
    </row>
    <row r="537" ht="15.75" customHeight="1">
      <c r="A537" s="4" t="s">
        <v>5240</v>
      </c>
      <c r="B537" s="4" t="s">
        <v>5241</v>
      </c>
      <c r="C537" s="4" t="s">
        <v>3416</v>
      </c>
      <c r="D537" s="3">
        <v>25.032852</v>
      </c>
      <c r="E537" s="3">
        <v>121.508677</v>
      </c>
      <c r="F537" s="3" t="s">
        <v>56</v>
      </c>
      <c r="G537" s="4" t="s">
        <v>4157</v>
      </c>
      <c r="H537" s="3"/>
    </row>
    <row r="538" ht="15.75" customHeight="1">
      <c r="A538" s="4" t="s">
        <v>5242</v>
      </c>
      <c r="B538" s="4" t="s">
        <v>5243</v>
      </c>
      <c r="C538" s="4" t="s">
        <v>3418</v>
      </c>
      <c r="D538" s="3">
        <v>25.032962</v>
      </c>
      <c r="E538" s="3">
        <v>121.508733</v>
      </c>
      <c r="F538" s="3" t="s">
        <v>56</v>
      </c>
      <c r="G538" s="4" t="s">
        <v>4157</v>
      </c>
      <c r="H538" s="3"/>
    </row>
    <row r="539" ht="15.75" customHeight="1">
      <c r="A539" s="4" t="s">
        <v>5244</v>
      </c>
      <c r="B539" s="4" t="s">
        <v>5245</v>
      </c>
      <c r="C539" s="4" t="s">
        <v>3420</v>
      </c>
      <c r="D539" s="3">
        <v>25.032784</v>
      </c>
      <c r="E539" s="3">
        <v>121.508635</v>
      </c>
      <c r="F539" s="3" t="s">
        <v>56</v>
      </c>
      <c r="G539" s="4" t="s">
        <v>4157</v>
      </c>
      <c r="H539" s="3"/>
    </row>
    <row r="540" ht="15.75" customHeight="1">
      <c r="A540" s="4" t="s">
        <v>5246</v>
      </c>
      <c r="B540" s="4" t="s">
        <v>5247</v>
      </c>
      <c r="C540" s="4" t="s">
        <v>3422</v>
      </c>
      <c r="D540" s="3">
        <v>25.032732</v>
      </c>
      <c r="E540" s="3">
        <v>121.508458</v>
      </c>
      <c r="F540" s="3" t="s">
        <v>56</v>
      </c>
      <c r="G540" s="4" t="s">
        <v>4157</v>
      </c>
      <c r="H540" s="3"/>
    </row>
    <row r="541" ht="15.75" customHeight="1">
      <c r="A541" s="4" t="s">
        <v>5248</v>
      </c>
      <c r="B541" s="4" t="s">
        <v>5249</v>
      </c>
      <c r="C541" s="4" t="s">
        <v>3424</v>
      </c>
      <c r="D541" s="3">
        <v>25.032717</v>
      </c>
      <c r="E541" s="3">
        <v>121.508474</v>
      </c>
      <c r="F541" s="3" t="s">
        <v>56</v>
      </c>
      <c r="G541" s="4" t="s">
        <v>4157</v>
      </c>
      <c r="H541" s="3"/>
    </row>
    <row r="542" ht="15.75" customHeight="1">
      <c r="A542" s="4" t="s">
        <v>5250</v>
      </c>
      <c r="B542" s="4" t="s">
        <v>5251</v>
      </c>
      <c r="C542" s="4" t="s">
        <v>3426</v>
      </c>
      <c r="D542" s="3">
        <v>25.032735</v>
      </c>
      <c r="E542" s="3">
        <v>121.508689</v>
      </c>
      <c r="F542" s="3" t="s">
        <v>56</v>
      </c>
      <c r="G542" s="4" t="s">
        <v>4157</v>
      </c>
      <c r="H542" s="3"/>
    </row>
    <row r="543" ht="15.75" customHeight="1">
      <c r="A543" s="4" t="s">
        <v>5252</v>
      </c>
      <c r="B543" s="4" t="s">
        <v>5253</v>
      </c>
      <c r="C543" s="4" t="s">
        <v>3428</v>
      </c>
      <c r="D543" s="3">
        <v>25.03271</v>
      </c>
      <c r="E543" s="3">
        <v>121.508664</v>
      </c>
      <c r="F543" s="3" t="s">
        <v>56</v>
      </c>
      <c r="G543" s="4" t="s">
        <v>4157</v>
      </c>
      <c r="H543" s="3"/>
    </row>
    <row r="544" ht="15.75" customHeight="1">
      <c r="A544" s="4" t="s">
        <v>5254</v>
      </c>
      <c r="B544" s="4" t="s">
        <v>5255</v>
      </c>
      <c r="C544" s="4" t="s">
        <v>3430</v>
      </c>
      <c r="D544" s="3">
        <v>25.032789</v>
      </c>
      <c r="E544" s="3">
        <v>121.508668</v>
      </c>
      <c r="F544" s="3" t="s">
        <v>56</v>
      </c>
      <c r="G544" s="4" t="s">
        <v>4157</v>
      </c>
      <c r="H544" s="3"/>
    </row>
    <row r="545" ht="15.75" customHeight="1">
      <c r="A545" s="4" t="s">
        <v>5256</v>
      </c>
      <c r="B545" s="4" t="s">
        <v>5257</v>
      </c>
      <c r="C545" s="4" t="s">
        <v>1116</v>
      </c>
      <c r="D545" s="3">
        <v>25.032145</v>
      </c>
      <c r="E545" s="3">
        <v>121.508142</v>
      </c>
      <c r="F545" s="3" t="s">
        <v>56</v>
      </c>
      <c r="G545" s="4" t="s">
        <v>4157</v>
      </c>
      <c r="H545" s="3"/>
    </row>
    <row r="546" ht="15.75" customHeight="1">
      <c r="A546" s="4" t="s">
        <v>5258</v>
      </c>
      <c r="B546" s="4" t="s">
        <v>5259</v>
      </c>
      <c r="C546" s="4" t="s">
        <v>1128</v>
      </c>
      <c r="D546" s="3">
        <v>25.0322</v>
      </c>
      <c r="E546" s="3">
        <v>121.508051</v>
      </c>
      <c r="F546" s="3" t="s">
        <v>56</v>
      </c>
      <c r="G546" s="4" t="s">
        <v>4157</v>
      </c>
      <c r="H546" s="3"/>
    </row>
    <row r="547" ht="15.75" customHeight="1">
      <c r="A547" s="4" t="s">
        <v>5260</v>
      </c>
      <c r="B547" s="4" t="s">
        <v>5261</v>
      </c>
      <c r="C547" s="4" t="s">
        <v>1139</v>
      </c>
      <c r="D547" s="3">
        <v>25.032679</v>
      </c>
      <c r="E547" s="3">
        <v>121.508596</v>
      </c>
      <c r="F547" s="3" t="s">
        <v>56</v>
      </c>
      <c r="G547" s="4" t="s">
        <v>4157</v>
      </c>
      <c r="H547" s="3"/>
    </row>
    <row r="548" ht="15.75" customHeight="1">
      <c r="A548" s="4" t="s">
        <v>5262</v>
      </c>
      <c r="B548" s="4" t="s">
        <v>5263</v>
      </c>
      <c r="C548" s="4" t="s">
        <v>1149</v>
      </c>
      <c r="D548" s="3">
        <v>25.032205</v>
      </c>
      <c r="E548" s="3">
        <v>121.50807</v>
      </c>
      <c r="F548" s="3" t="s">
        <v>56</v>
      </c>
      <c r="G548" s="4" t="s">
        <v>4157</v>
      </c>
      <c r="H548" s="3"/>
    </row>
    <row r="549" ht="15.75" customHeight="1">
      <c r="A549" s="4" t="s">
        <v>5264</v>
      </c>
      <c r="B549" s="4" t="s">
        <v>5265</v>
      </c>
      <c r="C549" s="4" t="s">
        <v>1153</v>
      </c>
      <c r="D549" s="3">
        <v>25.032949</v>
      </c>
      <c r="E549" s="3">
        <v>121.508068</v>
      </c>
      <c r="F549" s="3" t="s">
        <v>56</v>
      </c>
      <c r="G549" s="4" t="s">
        <v>4157</v>
      </c>
      <c r="H549" s="3"/>
    </row>
    <row r="550" ht="15.75" customHeight="1">
      <c r="A550" s="4" t="s">
        <v>5266</v>
      </c>
      <c r="B550" s="4" t="s">
        <v>5267</v>
      </c>
      <c r="C550" s="4" t="s">
        <v>1159</v>
      </c>
      <c r="D550" s="3">
        <v>25.032512</v>
      </c>
      <c r="E550" s="3">
        <v>121.508086</v>
      </c>
      <c r="F550" s="3" t="s">
        <v>56</v>
      </c>
      <c r="G550" s="4" t="s">
        <v>4157</v>
      </c>
      <c r="H550" s="3"/>
    </row>
    <row r="551" ht="15.75" customHeight="1">
      <c r="A551" s="4" t="s">
        <v>5268</v>
      </c>
      <c r="B551" s="4" t="s">
        <v>5269</v>
      </c>
      <c r="C551" s="4" t="s">
        <v>1169</v>
      </c>
      <c r="D551" s="3">
        <v>25.032288</v>
      </c>
      <c r="E551" s="3">
        <v>121.508128</v>
      </c>
      <c r="F551" s="3" t="s">
        <v>56</v>
      </c>
      <c r="G551" s="4" t="s">
        <v>4157</v>
      </c>
      <c r="H551" s="3"/>
    </row>
    <row r="552" ht="15.75" customHeight="1">
      <c r="A552" s="4" t="s">
        <v>5270</v>
      </c>
      <c r="B552" s="4" t="s">
        <v>5271</v>
      </c>
      <c r="C552" s="4" t="s">
        <v>1176</v>
      </c>
      <c r="D552" s="3">
        <v>25.03272</v>
      </c>
      <c r="E552" s="3">
        <v>121.508283</v>
      </c>
      <c r="F552" s="3" t="s">
        <v>56</v>
      </c>
      <c r="G552" s="4" t="s">
        <v>4157</v>
      </c>
      <c r="H552" s="3"/>
    </row>
    <row r="553" ht="15.75" customHeight="1">
      <c r="A553" s="4" t="s">
        <v>5272</v>
      </c>
      <c r="B553" s="4" t="s">
        <v>5273</v>
      </c>
      <c r="C553" s="4" t="s">
        <v>1182</v>
      </c>
      <c r="D553" s="3">
        <v>25.03223</v>
      </c>
      <c r="E553" s="3">
        <v>121.508186</v>
      </c>
      <c r="F553" s="3" t="s">
        <v>56</v>
      </c>
      <c r="G553" s="4" t="s">
        <v>4157</v>
      </c>
      <c r="H553" s="3"/>
    </row>
    <row r="554" ht="15.75" customHeight="1">
      <c r="A554" s="4" t="s">
        <v>5274</v>
      </c>
      <c r="B554" s="4" t="s">
        <v>5275</v>
      </c>
      <c r="C554" s="4" t="s">
        <v>1192</v>
      </c>
      <c r="D554" s="3">
        <v>25.032765</v>
      </c>
      <c r="E554" s="3">
        <v>121.507988</v>
      </c>
      <c r="F554" s="3" t="s">
        <v>56</v>
      </c>
      <c r="G554" s="4" t="s">
        <v>4157</v>
      </c>
      <c r="H554" s="3"/>
    </row>
    <row r="555" ht="15.75" customHeight="1">
      <c r="A555" s="4" t="s">
        <v>5276</v>
      </c>
      <c r="B555" s="4" t="s">
        <v>5277</v>
      </c>
      <c r="C555" s="4" t="s">
        <v>1202</v>
      </c>
      <c r="D555" s="3">
        <v>25.032803</v>
      </c>
      <c r="E555" s="3">
        <v>121.508213</v>
      </c>
      <c r="F555" s="3" t="s">
        <v>56</v>
      </c>
      <c r="G555" s="4" t="s">
        <v>4157</v>
      </c>
      <c r="H555" s="3"/>
    </row>
    <row r="556" ht="15.75" customHeight="1">
      <c r="A556" s="4" t="s">
        <v>5278</v>
      </c>
      <c r="B556" s="4" t="s">
        <v>5279</v>
      </c>
      <c r="C556" s="4" t="s">
        <v>1205</v>
      </c>
      <c r="D556" s="3">
        <v>25.03208</v>
      </c>
      <c r="E556" s="3">
        <v>121.508206</v>
      </c>
      <c r="F556" s="3" t="s">
        <v>56</v>
      </c>
      <c r="G556" s="4" t="s">
        <v>4157</v>
      </c>
      <c r="H556" s="3"/>
    </row>
    <row r="557" ht="15.75" customHeight="1">
      <c r="A557" s="4" t="s">
        <v>5280</v>
      </c>
      <c r="B557" s="4" t="s">
        <v>5281</v>
      </c>
      <c r="C557" s="4" t="s">
        <v>1209</v>
      </c>
      <c r="D557" s="3">
        <v>25.032522</v>
      </c>
      <c r="E557" s="3">
        <v>121.508445</v>
      </c>
      <c r="F557" s="3" t="s">
        <v>56</v>
      </c>
      <c r="G557" s="4" t="s">
        <v>4157</v>
      </c>
      <c r="H557" s="3"/>
    </row>
    <row r="558" ht="15.75" customHeight="1">
      <c r="A558" s="4" t="s">
        <v>5282</v>
      </c>
      <c r="B558" s="4" t="s">
        <v>5283</v>
      </c>
      <c r="C558" s="4" t="s">
        <v>1215</v>
      </c>
      <c r="D558" s="3">
        <v>25.032677</v>
      </c>
      <c r="E558" s="3">
        <v>121.508485</v>
      </c>
      <c r="F558" s="3" t="s">
        <v>56</v>
      </c>
      <c r="G558" s="4" t="s">
        <v>4157</v>
      </c>
      <c r="H558" s="3"/>
    </row>
    <row r="559" ht="15.75" customHeight="1">
      <c r="A559" s="4" t="s">
        <v>5284</v>
      </c>
      <c r="B559" s="4" t="s">
        <v>5285</v>
      </c>
      <c r="C559" s="4" t="s">
        <v>1219</v>
      </c>
      <c r="D559" s="3">
        <v>25.032713</v>
      </c>
      <c r="E559" s="3">
        <v>121.508034</v>
      </c>
      <c r="F559" s="3" t="s">
        <v>56</v>
      </c>
      <c r="G559" s="4" t="s">
        <v>4157</v>
      </c>
      <c r="H559" s="3"/>
    </row>
    <row r="560" ht="15.75" customHeight="1">
      <c r="A560" s="4" t="s">
        <v>5286</v>
      </c>
      <c r="B560" s="4" t="s">
        <v>5287</v>
      </c>
      <c r="C560" s="4" t="s">
        <v>1222</v>
      </c>
      <c r="D560" s="3">
        <v>25.032279</v>
      </c>
      <c r="E560" s="3">
        <v>121.508053</v>
      </c>
      <c r="F560" s="3" t="s">
        <v>56</v>
      </c>
      <c r="G560" s="4" t="s">
        <v>4157</v>
      </c>
      <c r="H560" s="3"/>
    </row>
    <row r="561" ht="15.75" customHeight="1">
      <c r="A561" s="4" t="s">
        <v>5288</v>
      </c>
      <c r="B561" s="4" t="s">
        <v>5289</v>
      </c>
      <c r="C561" s="4" t="s">
        <v>1224</v>
      </c>
      <c r="D561" s="3">
        <v>25.032323</v>
      </c>
      <c r="E561" s="3">
        <v>121.508341</v>
      </c>
      <c r="F561" s="3" t="s">
        <v>56</v>
      </c>
      <c r="G561" s="4" t="s">
        <v>4157</v>
      </c>
      <c r="H561" s="3"/>
    </row>
    <row r="562" ht="15.75" customHeight="1">
      <c r="A562" s="4" t="s">
        <v>5290</v>
      </c>
      <c r="B562" s="4" t="s">
        <v>5291</v>
      </c>
      <c r="C562" s="4" t="s">
        <v>1228</v>
      </c>
      <c r="D562" s="3">
        <v>25.032154</v>
      </c>
      <c r="E562" s="3">
        <v>121.508122</v>
      </c>
      <c r="F562" s="3" t="s">
        <v>56</v>
      </c>
      <c r="G562" s="4" t="s">
        <v>4157</v>
      </c>
      <c r="H562" s="3"/>
    </row>
    <row r="563" ht="15.75" customHeight="1">
      <c r="A563" s="4" t="s">
        <v>5292</v>
      </c>
      <c r="B563" s="4" t="s">
        <v>5293</v>
      </c>
      <c r="C563" s="4" t="s">
        <v>1232</v>
      </c>
      <c r="D563" s="3">
        <v>25.032575</v>
      </c>
      <c r="E563" s="3">
        <v>121.508047</v>
      </c>
      <c r="F563" s="3" t="s">
        <v>56</v>
      </c>
      <c r="G563" s="4" t="s">
        <v>4157</v>
      </c>
      <c r="H563" s="3"/>
    </row>
    <row r="564" ht="15.75" customHeight="1">
      <c r="A564" s="4" t="s">
        <v>5294</v>
      </c>
      <c r="B564" s="4" t="s">
        <v>5295</v>
      </c>
      <c r="C564" s="4" t="s">
        <v>1235</v>
      </c>
      <c r="D564" s="3">
        <v>25.032378</v>
      </c>
      <c r="E564" s="3">
        <v>121.508426</v>
      </c>
      <c r="F564" s="3" t="s">
        <v>56</v>
      </c>
      <c r="G564" s="4" t="s">
        <v>4157</v>
      </c>
      <c r="H564" s="3"/>
    </row>
    <row r="565" ht="15.75" customHeight="1">
      <c r="A565" s="4" t="s">
        <v>5296</v>
      </c>
      <c r="B565" s="4" t="s">
        <v>5297</v>
      </c>
      <c r="C565" s="4" t="s">
        <v>1237</v>
      </c>
      <c r="D565" s="3">
        <v>25.032465</v>
      </c>
      <c r="E565" s="3">
        <v>121.508218</v>
      </c>
      <c r="F565" s="3" t="s">
        <v>56</v>
      </c>
      <c r="G565" s="4" t="s">
        <v>4157</v>
      </c>
      <c r="H565" s="3"/>
    </row>
    <row r="566" ht="15.75" customHeight="1">
      <c r="A566" s="4" t="s">
        <v>5298</v>
      </c>
      <c r="B566" s="4" t="s">
        <v>5299</v>
      </c>
      <c r="C566" s="4" t="s">
        <v>5300</v>
      </c>
      <c r="D566" s="3">
        <v>25.032817</v>
      </c>
      <c r="E566" s="3">
        <v>121.508072</v>
      </c>
      <c r="F566" s="3" t="s">
        <v>56</v>
      </c>
      <c r="G566" s="4" t="s">
        <v>4157</v>
      </c>
      <c r="H566" s="3"/>
    </row>
    <row r="567" ht="15.75" customHeight="1">
      <c r="A567" s="4" t="s">
        <v>5301</v>
      </c>
      <c r="B567" s="4" t="s">
        <v>5302</v>
      </c>
      <c r="C567" s="4" t="s">
        <v>1243</v>
      </c>
      <c r="D567" s="3">
        <v>25.032165</v>
      </c>
      <c r="E567" s="3">
        <v>121.508066</v>
      </c>
      <c r="F567" s="3" t="s">
        <v>56</v>
      </c>
      <c r="G567" s="4" t="s">
        <v>4157</v>
      </c>
      <c r="H567" s="3"/>
    </row>
    <row r="568" ht="15.75" customHeight="1">
      <c r="A568" s="4" t="s">
        <v>5303</v>
      </c>
      <c r="B568" s="4" t="s">
        <v>5304</v>
      </c>
      <c r="C568" s="4" t="s">
        <v>1713</v>
      </c>
      <c r="D568" s="3">
        <v>25.032404</v>
      </c>
      <c r="E568" s="3">
        <v>121.508927</v>
      </c>
      <c r="F568" s="3" t="s">
        <v>56</v>
      </c>
      <c r="G568" s="4" t="s">
        <v>4157</v>
      </c>
      <c r="H568" s="3"/>
    </row>
    <row r="569" ht="15.75" customHeight="1">
      <c r="A569" s="4" t="s">
        <v>5305</v>
      </c>
      <c r="B569" s="4" t="s">
        <v>5306</v>
      </c>
      <c r="C569" s="4" t="s">
        <v>1722</v>
      </c>
      <c r="D569" s="3">
        <v>25.032289</v>
      </c>
      <c r="E569" s="3">
        <v>121.508873</v>
      </c>
      <c r="F569" s="3" t="s">
        <v>56</v>
      </c>
      <c r="G569" s="4" t="s">
        <v>4157</v>
      </c>
      <c r="H569" s="3"/>
    </row>
    <row r="570" ht="15.75" customHeight="1">
      <c r="A570" s="4" t="s">
        <v>5307</v>
      </c>
      <c r="B570" s="4" t="s">
        <v>5308</v>
      </c>
      <c r="C570" s="4" t="s">
        <v>1728</v>
      </c>
      <c r="D570" s="3">
        <v>25.032417</v>
      </c>
      <c r="E570" s="3">
        <v>121.508838</v>
      </c>
      <c r="F570" s="3" t="s">
        <v>56</v>
      </c>
      <c r="G570" s="4" t="s">
        <v>4157</v>
      </c>
      <c r="H570" s="3"/>
    </row>
    <row r="571" ht="15.75" customHeight="1">
      <c r="A571" s="4" t="s">
        <v>5309</v>
      </c>
      <c r="B571" s="4" t="s">
        <v>5310</v>
      </c>
      <c r="C571" s="4" t="s">
        <v>1734</v>
      </c>
      <c r="D571" s="3">
        <v>25.03233</v>
      </c>
      <c r="E571" s="3">
        <v>121.508934</v>
      </c>
      <c r="F571" s="3" t="s">
        <v>56</v>
      </c>
      <c r="G571" s="4" t="s">
        <v>4157</v>
      </c>
      <c r="H571" s="3"/>
    </row>
    <row r="572" ht="15.75" customHeight="1">
      <c r="A572" s="4" t="s">
        <v>5311</v>
      </c>
      <c r="B572" s="4" t="s">
        <v>5312</v>
      </c>
      <c r="C572" s="4" t="s">
        <v>1742</v>
      </c>
      <c r="D572" s="3">
        <v>25.032455</v>
      </c>
      <c r="E572" s="3">
        <v>121.508843</v>
      </c>
      <c r="F572" s="3" t="s">
        <v>56</v>
      </c>
      <c r="G572" s="4" t="s">
        <v>4157</v>
      </c>
      <c r="H572" s="3"/>
    </row>
    <row r="573" ht="15.75" customHeight="1">
      <c r="A573" s="4" t="s">
        <v>5313</v>
      </c>
      <c r="B573" s="4" t="s">
        <v>5314</v>
      </c>
      <c r="C573" s="4" t="s">
        <v>1744</v>
      </c>
      <c r="D573" s="3">
        <v>25.032443</v>
      </c>
      <c r="E573" s="3">
        <v>121.508918</v>
      </c>
      <c r="F573" s="3" t="s">
        <v>56</v>
      </c>
      <c r="G573" s="4" t="s">
        <v>4157</v>
      </c>
      <c r="H573" s="3"/>
    </row>
    <row r="574" ht="15.75" customHeight="1">
      <c r="A574" s="4" t="s">
        <v>5315</v>
      </c>
      <c r="B574" s="4" t="s">
        <v>5316</v>
      </c>
      <c r="C574" s="4" t="s">
        <v>1746</v>
      </c>
      <c r="D574" s="3">
        <v>25.032314</v>
      </c>
      <c r="E574" s="3">
        <v>121.508878</v>
      </c>
      <c r="F574" s="3" t="s">
        <v>56</v>
      </c>
      <c r="G574" s="4" t="s">
        <v>4157</v>
      </c>
      <c r="H574" s="3"/>
    </row>
    <row r="575" ht="15.75" customHeight="1">
      <c r="A575" s="4" t="s">
        <v>5317</v>
      </c>
      <c r="B575" s="4" t="s">
        <v>5318</v>
      </c>
      <c r="C575" s="4" t="s">
        <v>1748</v>
      </c>
      <c r="D575" s="3">
        <v>25.032482</v>
      </c>
      <c r="E575" s="3">
        <v>121.508941</v>
      </c>
      <c r="F575" s="3" t="s">
        <v>56</v>
      </c>
      <c r="G575" s="4" t="s">
        <v>4157</v>
      </c>
      <c r="H575" s="3"/>
    </row>
    <row r="576" ht="15.75" customHeight="1">
      <c r="A576" s="4" t="s">
        <v>5319</v>
      </c>
      <c r="B576" s="4" t="s">
        <v>5320</v>
      </c>
      <c r="C576" s="4" t="s">
        <v>1757</v>
      </c>
      <c r="D576" s="3">
        <v>25.032539</v>
      </c>
      <c r="E576" s="3">
        <v>121.508817</v>
      </c>
      <c r="F576" s="3" t="s">
        <v>56</v>
      </c>
      <c r="G576" s="4" t="s">
        <v>4157</v>
      </c>
      <c r="H576" s="3"/>
    </row>
    <row r="577" ht="15.75" customHeight="1">
      <c r="A577" s="4" t="s">
        <v>5321</v>
      </c>
      <c r="B577" s="4" t="s">
        <v>5322</v>
      </c>
      <c r="C577" s="4" t="s">
        <v>1765</v>
      </c>
      <c r="D577" s="3">
        <v>25.032312</v>
      </c>
      <c r="E577" s="3">
        <v>121.508951</v>
      </c>
      <c r="F577" s="3" t="s">
        <v>56</v>
      </c>
      <c r="G577" s="4" t="s">
        <v>4157</v>
      </c>
      <c r="H577" s="3"/>
    </row>
    <row r="578" ht="15.75" customHeight="1">
      <c r="A578" s="4" t="s">
        <v>5323</v>
      </c>
      <c r="B578" s="4" t="s">
        <v>5324</v>
      </c>
      <c r="C578" s="4" t="s">
        <v>1775</v>
      </c>
      <c r="D578" s="3">
        <v>25.032426</v>
      </c>
      <c r="E578" s="3">
        <v>121.508904</v>
      </c>
      <c r="F578" s="3" t="s">
        <v>56</v>
      </c>
      <c r="G578" s="4" t="s">
        <v>4157</v>
      </c>
      <c r="H578" s="3"/>
    </row>
    <row r="579" ht="15.75" customHeight="1">
      <c r="A579" s="4" t="s">
        <v>5325</v>
      </c>
      <c r="B579" s="4" t="s">
        <v>5326</v>
      </c>
      <c r="C579" s="4" t="s">
        <v>1777</v>
      </c>
      <c r="D579" s="3">
        <v>25.032425</v>
      </c>
      <c r="E579" s="3">
        <v>121.508955</v>
      </c>
      <c r="F579" s="3" t="s">
        <v>56</v>
      </c>
      <c r="G579" s="4" t="s">
        <v>4157</v>
      </c>
      <c r="H579" s="3"/>
    </row>
    <row r="580" ht="15.75" customHeight="1">
      <c r="A580" s="4" t="s">
        <v>5327</v>
      </c>
      <c r="B580" s="4" t="s">
        <v>5328</v>
      </c>
      <c r="C580" s="4" t="s">
        <v>1781</v>
      </c>
      <c r="D580" s="3">
        <v>25.032461</v>
      </c>
      <c r="E580" s="3">
        <v>121.508889</v>
      </c>
      <c r="F580" s="3" t="s">
        <v>56</v>
      </c>
      <c r="G580" s="4" t="s">
        <v>4157</v>
      </c>
      <c r="H580" s="3"/>
    </row>
    <row r="581" ht="15.75" customHeight="1">
      <c r="A581" s="4" t="s">
        <v>5329</v>
      </c>
      <c r="B581" s="4" t="s">
        <v>5330</v>
      </c>
      <c r="C581" s="4" t="s">
        <v>1783</v>
      </c>
      <c r="D581" s="3">
        <v>25.032449</v>
      </c>
      <c r="E581" s="3">
        <v>121.508816</v>
      </c>
      <c r="F581" s="3" t="s">
        <v>56</v>
      </c>
      <c r="G581" s="4" t="s">
        <v>4157</v>
      </c>
      <c r="H581" s="3"/>
    </row>
    <row r="582" ht="15.75" customHeight="1">
      <c r="A582" s="4" t="s">
        <v>5331</v>
      </c>
      <c r="B582" s="4" t="s">
        <v>5332</v>
      </c>
      <c r="C582" s="4" t="s">
        <v>1786</v>
      </c>
      <c r="D582" s="3">
        <v>25.032378</v>
      </c>
      <c r="E582" s="3">
        <v>121.508855</v>
      </c>
      <c r="F582" s="3" t="s">
        <v>56</v>
      </c>
      <c r="G582" s="4" t="s">
        <v>4157</v>
      </c>
      <c r="H582" s="3"/>
    </row>
    <row r="583" ht="15.75" customHeight="1">
      <c r="A583" s="4" t="s">
        <v>5333</v>
      </c>
      <c r="B583" s="4" t="s">
        <v>5334</v>
      </c>
      <c r="C583" s="4" t="s">
        <v>1790</v>
      </c>
      <c r="D583" s="3">
        <v>25.032505</v>
      </c>
      <c r="E583" s="3">
        <v>121.508886</v>
      </c>
      <c r="F583" s="3" t="s">
        <v>56</v>
      </c>
      <c r="G583" s="4" t="s">
        <v>4157</v>
      </c>
      <c r="H583" s="3"/>
    </row>
    <row r="584" ht="15.75" customHeight="1">
      <c r="A584" s="4" t="s">
        <v>5335</v>
      </c>
      <c r="B584" s="4" t="s">
        <v>5336</v>
      </c>
      <c r="C584" s="4" t="s">
        <v>1792</v>
      </c>
      <c r="D584" s="3">
        <v>25.032292</v>
      </c>
      <c r="E584" s="3">
        <v>121.508938</v>
      </c>
      <c r="F584" s="3" t="s">
        <v>56</v>
      </c>
      <c r="G584" s="4" t="s">
        <v>4157</v>
      </c>
      <c r="H584" s="3"/>
    </row>
    <row r="585" ht="15.75" customHeight="1">
      <c r="A585" s="4" t="s">
        <v>5337</v>
      </c>
      <c r="B585" s="4" t="s">
        <v>5338</v>
      </c>
      <c r="C585" s="4" t="s">
        <v>1794</v>
      </c>
      <c r="D585" s="3">
        <v>25.032446</v>
      </c>
      <c r="E585" s="3">
        <v>121.50894</v>
      </c>
      <c r="F585" s="3" t="s">
        <v>56</v>
      </c>
      <c r="G585" s="4" t="s">
        <v>4157</v>
      </c>
      <c r="H585" s="3"/>
    </row>
    <row r="586" ht="15.75" customHeight="1">
      <c r="A586" s="4" t="s">
        <v>5339</v>
      </c>
      <c r="B586" s="4" t="s">
        <v>5340</v>
      </c>
      <c r="C586" s="4" t="s">
        <v>1796</v>
      </c>
      <c r="D586" s="3">
        <v>25.032287</v>
      </c>
      <c r="E586" s="3">
        <v>121.508841</v>
      </c>
      <c r="F586" s="3" t="s">
        <v>56</v>
      </c>
      <c r="G586" s="4" t="s">
        <v>4157</v>
      </c>
      <c r="H586" s="3"/>
    </row>
    <row r="587" ht="15.75" customHeight="1">
      <c r="A587" s="4" t="s">
        <v>5341</v>
      </c>
      <c r="B587" s="4" t="s">
        <v>5342</v>
      </c>
      <c r="C587" s="4" t="s">
        <v>1798</v>
      </c>
      <c r="D587" s="3">
        <v>25.032298</v>
      </c>
      <c r="E587" s="3">
        <v>121.508818</v>
      </c>
      <c r="F587" s="3" t="s">
        <v>56</v>
      </c>
      <c r="G587" s="4" t="s">
        <v>4157</v>
      </c>
      <c r="H587" s="3"/>
    </row>
    <row r="588" ht="15.75" customHeight="1">
      <c r="A588" s="4" t="s">
        <v>5343</v>
      </c>
      <c r="B588" s="4" t="s">
        <v>5344</v>
      </c>
      <c r="C588" s="4" t="s">
        <v>1801</v>
      </c>
      <c r="D588" s="3">
        <v>25.032395</v>
      </c>
      <c r="E588" s="3">
        <v>121.508963</v>
      </c>
      <c r="F588" s="3" t="s">
        <v>56</v>
      </c>
      <c r="G588" s="4" t="s">
        <v>4157</v>
      </c>
      <c r="H588" s="3"/>
    </row>
    <row r="589" ht="15.75" customHeight="1">
      <c r="A589" s="4" t="s">
        <v>5345</v>
      </c>
      <c r="B589" s="4" t="s">
        <v>5346</v>
      </c>
      <c r="C589" s="4" t="s">
        <v>1803</v>
      </c>
      <c r="D589" s="3">
        <v>25.03239</v>
      </c>
      <c r="E589" s="3">
        <v>121.508842</v>
      </c>
      <c r="F589" s="3" t="s">
        <v>56</v>
      </c>
      <c r="G589" s="4" t="s">
        <v>4157</v>
      </c>
      <c r="H589" s="3"/>
    </row>
    <row r="590" ht="15.75" customHeight="1">
      <c r="A590" s="4" t="s">
        <v>5347</v>
      </c>
      <c r="B590" s="4" t="s">
        <v>5348</v>
      </c>
      <c r="C590" s="4" t="s">
        <v>1807</v>
      </c>
      <c r="D590" s="3">
        <v>25.032279</v>
      </c>
      <c r="E590" s="3">
        <v>121.508965</v>
      </c>
      <c r="F590" s="3" t="s">
        <v>56</v>
      </c>
      <c r="G590" s="4" t="s">
        <v>4157</v>
      </c>
      <c r="H590" s="3"/>
    </row>
    <row r="591" ht="15.75" customHeight="1">
      <c r="A591" s="4" t="s">
        <v>5349</v>
      </c>
      <c r="B591" s="4" t="s">
        <v>5350</v>
      </c>
      <c r="C591" s="4" t="s">
        <v>1809</v>
      </c>
      <c r="D591" s="3">
        <v>25.032356</v>
      </c>
      <c r="E591" s="3">
        <v>121.508842</v>
      </c>
      <c r="F591" s="3" t="s">
        <v>56</v>
      </c>
      <c r="G591" s="4" t="s">
        <v>4157</v>
      </c>
      <c r="H591" s="3"/>
    </row>
    <row r="592" ht="15.75" customHeight="1">
      <c r="A592" s="4" t="s">
        <v>5351</v>
      </c>
      <c r="B592" s="4" t="s">
        <v>5352</v>
      </c>
      <c r="C592" s="4" t="s">
        <v>1814</v>
      </c>
      <c r="D592" s="3">
        <v>25.032308</v>
      </c>
      <c r="E592" s="3">
        <v>121.508924</v>
      </c>
      <c r="F592" s="3" t="s">
        <v>56</v>
      </c>
      <c r="G592" s="4" t="s">
        <v>4157</v>
      </c>
      <c r="H592" s="3"/>
    </row>
    <row r="593" ht="15.75" customHeight="1">
      <c r="A593" s="4" t="s">
        <v>5353</v>
      </c>
      <c r="B593" s="4" t="s">
        <v>5354</v>
      </c>
      <c r="C593" s="4" t="s">
        <v>1817</v>
      </c>
      <c r="D593" s="3">
        <v>25.032306</v>
      </c>
      <c r="E593" s="3">
        <v>121.508848</v>
      </c>
      <c r="F593" s="3" t="s">
        <v>56</v>
      </c>
      <c r="G593" s="4" t="s">
        <v>4157</v>
      </c>
      <c r="H593" s="3"/>
    </row>
    <row r="594" ht="15.75" customHeight="1">
      <c r="A594" s="4" t="s">
        <v>5355</v>
      </c>
      <c r="B594" s="4" t="s">
        <v>5356</v>
      </c>
      <c r="C594" s="4" t="s">
        <v>1702</v>
      </c>
      <c r="D594" s="3">
        <v>25.032275</v>
      </c>
      <c r="E594" s="3">
        <v>121.508888</v>
      </c>
      <c r="F594" s="3" t="s">
        <v>56</v>
      </c>
      <c r="G594" s="4" t="s">
        <v>4157</v>
      </c>
      <c r="H594" s="3"/>
    </row>
    <row r="595" ht="15.75" customHeight="1">
      <c r="A595" s="4" t="s">
        <v>5357</v>
      </c>
      <c r="B595" s="4" t="s">
        <v>5358</v>
      </c>
      <c r="C595" s="4" t="s">
        <v>1097</v>
      </c>
      <c r="D595" s="3">
        <v>25.03251</v>
      </c>
      <c r="E595" s="3">
        <v>121.508419</v>
      </c>
      <c r="F595" s="3" t="s">
        <v>56</v>
      </c>
      <c r="G595" s="4" t="s">
        <v>4157</v>
      </c>
      <c r="H595" s="3"/>
    </row>
    <row r="596" ht="15.75" customHeight="1">
      <c r="A596" s="4" t="s">
        <v>5359</v>
      </c>
      <c r="B596" s="4" t="s">
        <v>5360</v>
      </c>
      <c r="C596" s="4" t="s">
        <v>3664</v>
      </c>
      <c r="D596" s="3">
        <v>25.032759</v>
      </c>
      <c r="E596" s="3">
        <v>121.508869</v>
      </c>
      <c r="F596" s="3" t="s">
        <v>56</v>
      </c>
      <c r="G596" s="4" t="s">
        <v>4157</v>
      </c>
      <c r="H596" s="3"/>
    </row>
    <row r="597" ht="15.75" customHeight="1">
      <c r="A597" s="4" t="s">
        <v>5361</v>
      </c>
      <c r="B597" s="4" t="s">
        <v>5362</v>
      </c>
      <c r="C597" s="4" t="s">
        <v>3655</v>
      </c>
      <c r="D597" s="3">
        <v>25.032755</v>
      </c>
      <c r="E597" s="3">
        <v>121.508838</v>
      </c>
      <c r="F597" s="3" t="s">
        <v>56</v>
      </c>
      <c r="G597" s="4" t="s">
        <v>4157</v>
      </c>
      <c r="H597" s="3"/>
    </row>
    <row r="598" ht="15.75" customHeight="1">
      <c r="A598" s="4" t="s">
        <v>5363</v>
      </c>
      <c r="B598" s="4" t="s">
        <v>5364</v>
      </c>
      <c r="C598" s="4" t="s">
        <v>3661</v>
      </c>
      <c r="D598" s="3">
        <v>25.033007</v>
      </c>
      <c r="E598" s="3">
        <v>121.509009</v>
      </c>
      <c r="F598" s="3" t="s">
        <v>56</v>
      </c>
      <c r="G598" s="4" t="s">
        <v>4157</v>
      </c>
      <c r="H598" s="3"/>
    </row>
    <row r="599" ht="15.75" customHeight="1">
      <c r="A599" s="4" t="s">
        <v>5365</v>
      </c>
      <c r="B599" s="4" t="s">
        <v>5366</v>
      </c>
      <c r="C599" s="4" t="s">
        <v>1471</v>
      </c>
      <c r="D599" s="3">
        <v>25.033148</v>
      </c>
      <c r="E599" s="3">
        <v>121.508666</v>
      </c>
      <c r="F599" s="3" t="s">
        <v>56</v>
      </c>
      <c r="G599" s="4" t="s">
        <v>4157</v>
      </c>
      <c r="H599" s="3"/>
    </row>
    <row r="600" ht="15.75" customHeight="1">
      <c r="A600" s="4" t="s">
        <v>5367</v>
      </c>
      <c r="B600" s="4" t="s">
        <v>5368</v>
      </c>
      <c r="C600" s="4" t="s">
        <v>3265</v>
      </c>
      <c r="D600" s="3">
        <v>25.032879</v>
      </c>
      <c r="E600" s="3">
        <v>121.508234</v>
      </c>
      <c r="F600" s="3" t="s">
        <v>56</v>
      </c>
      <c r="G600" s="4" t="s">
        <v>4157</v>
      </c>
      <c r="H600" s="3"/>
    </row>
    <row r="601" ht="15.75" customHeight="1">
      <c r="A601" s="4" t="s">
        <v>5369</v>
      </c>
      <c r="B601" s="4" t="s">
        <v>5370</v>
      </c>
      <c r="C601" s="4" t="s">
        <v>1468</v>
      </c>
      <c r="D601" s="3">
        <v>25.033047</v>
      </c>
      <c r="E601" s="3">
        <v>121.508314</v>
      </c>
      <c r="F601" s="3" t="s">
        <v>56</v>
      </c>
      <c r="G601" s="4" t="s">
        <v>4157</v>
      </c>
      <c r="H601" s="3"/>
    </row>
    <row r="602" ht="15.75" customHeight="1">
      <c r="A602" s="4" t="s">
        <v>5371</v>
      </c>
      <c r="B602" s="4" t="s">
        <v>5372</v>
      </c>
      <c r="C602" s="4" t="s">
        <v>1690</v>
      </c>
      <c r="D602" s="3">
        <v>25.032342</v>
      </c>
      <c r="E602" s="3">
        <v>121.508816</v>
      </c>
      <c r="F602" s="3" t="s">
        <v>56</v>
      </c>
      <c r="G602" s="4" t="s">
        <v>4157</v>
      </c>
      <c r="H602" s="3"/>
    </row>
    <row r="603" ht="15.75" customHeight="1">
      <c r="A603" s="4" t="s">
        <v>5373</v>
      </c>
      <c r="B603" s="4" t="s">
        <v>5374</v>
      </c>
      <c r="C603" s="4" t="s">
        <v>5375</v>
      </c>
      <c r="D603" s="3">
        <v>25.032349</v>
      </c>
      <c r="E603" s="3">
        <v>121.508915</v>
      </c>
      <c r="F603" s="3" t="s">
        <v>56</v>
      </c>
      <c r="G603" s="4" t="s">
        <v>4157</v>
      </c>
      <c r="H603" s="3"/>
    </row>
    <row r="604" ht="15.75" customHeight="1">
      <c r="A604" s="4" t="s">
        <v>5376</v>
      </c>
      <c r="B604" s="4" t="s">
        <v>5377</v>
      </c>
      <c r="C604" s="4" t="s">
        <v>1699</v>
      </c>
      <c r="D604" s="3">
        <v>25.03239</v>
      </c>
      <c r="E604" s="3">
        <v>121.508845</v>
      </c>
      <c r="F604" s="3" t="s">
        <v>56</v>
      </c>
      <c r="G604" s="4" t="s">
        <v>4157</v>
      </c>
      <c r="H604" s="3"/>
    </row>
    <row r="605" ht="15.75" customHeight="1">
      <c r="A605" s="4" t="s">
        <v>5378</v>
      </c>
      <c r="B605" s="4" t="s">
        <v>5379</v>
      </c>
      <c r="C605" s="4" t="s">
        <v>1109</v>
      </c>
      <c r="D605" s="3">
        <v>25.032099</v>
      </c>
      <c r="E605" s="3">
        <v>121.508215</v>
      </c>
      <c r="F605" s="3" t="s">
        <v>56</v>
      </c>
      <c r="G605" s="4" t="s">
        <v>4157</v>
      </c>
      <c r="H605" s="3"/>
    </row>
    <row r="606" ht="15.75" customHeight="1">
      <c r="A606" s="4" t="s">
        <v>5380</v>
      </c>
      <c r="B606" s="4" t="s">
        <v>5381</v>
      </c>
      <c r="C606" s="4" t="s">
        <v>1106</v>
      </c>
      <c r="D606" s="3">
        <v>25.032762</v>
      </c>
      <c r="E606" s="3">
        <v>121.50822</v>
      </c>
      <c r="F606" s="3" t="s">
        <v>56</v>
      </c>
      <c r="G606" s="4" t="s">
        <v>4157</v>
      </c>
      <c r="H606" s="3"/>
    </row>
    <row r="607" ht="15.75" customHeight="1">
      <c r="A607" s="4" t="s">
        <v>5382</v>
      </c>
      <c r="B607" s="4" t="s">
        <v>5383</v>
      </c>
      <c r="C607" s="4" t="s">
        <v>1416</v>
      </c>
      <c r="D607" s="3">
        <v>25.033016</v>
      </c>
      <c r="E607" s="3">
        <v>121.508574</v>
      </c>
      <c r="F607" s="3" t="s">
        <v>56</v>
      </c>
      <c r="G607" s="4" t="s">
        <v>4157</v>
      </c>
      <c r="H607" s="3"/>
    </row>
    <row r="608" ht="15.75" customHeight="1">
      <c r="A608" s="4" t="s">
        <v>5384</v>
      </c>
      <c r="B608" s="4" t="s">
        <v>5385</v>
      </c>
      <c r="C608" s="4" t="s">
        <v>3681</v>
      </c>
      <c r="D608" s="3">
        <v>25.032924</v>
      </c>
      <c r="E608" s="3">
        <v>121.50881</v>
      </c>
      <c r="F608" s="3" t="s">
        <v>56</v>
      </c>
      <c r="G608" s="4" t="s">
        <v>4157</v>
      </c>
      <c r="H608" s="3"/>
    </row>
    <row r="609" ht="15.75" customHeight="1">
      <c r="A609" s="4" t="s">
        <v>5386</v>
      </c>
      <c r="B609" s="4" t="s">
        <v>5387</v>
      </c>
      <c r="C609" s="4" t="s">
        <v>3681</v>
      </c>
      <c r="D609" s="3">
        <v>25.032472</v>
      </c>
      <c r="E609" s="3">
        <v>121.510709</v>
      </c>
      <c r="F609" s="3" t="s">
        <v>44</v>
      </c>
      <c r="G609" s="4" t="s">
        <v>4157</v>
      </c>
      <c r="H609" s="3"/>
    </row>
    <row r="610" ht="15.75" customHeight="1">
      <c r="A610" s="4" t="s">
        <v>5388</v>
      </c>
      <c r="B610" s="4" t="s">
        <v>5389</v>
      </c>
      <c r="C610" s="4" t="s">
        <v>1412</v>
      </c>
      <c r="D610" s="3">
        <v>25.033004</v>
      </c>
      <c r="E610" s="3">
        <v>121.508617</v>
      </c>
      <c r="F610" s="3" t="s">
        <v>56</v>
      </c>
      <c r="G610" s="4" t="s">
        <v>4157</v>
      </c>
      <c r="H610" s="3"/>
    </row>
    <row r="611" ht="15.75" customHeight="1">
      <c r="A611" s="4" t="s">
        <v>5390</v>
      </c>
      <c r="B611" s="4" t="s">
        <v>5391</v>
      </c>
      <c r="C611" s="4" t="s">
        <v>1435</v>
      </c>
      <c r="D611" s="3">
        <v>25.033038</v>
      </c>
      <c r="E611" s="3">
        <v>121.508696</v>
      </c>
      <c r="F611" s="3" t="s">
        <v>56</v>
      </c>
      <c r="G611" s="4" t="s">
        <v>4157</v>
      </c>
      <c r="H611" s="3"/>
    </row>
    <row r="612" ht="15.75" customHeight="1">
      <c r="A612" s="4" t="s">
        <v>5392</v>
      </c>
      <c r="B612" s="4" t="s">
        <v>5393</v>
      </c>
      <c r="C612" s="4" t="s">
        <v>1429</v>
      </c>
      <c r="D612" s="3">
        <v>25.032996</v>
      </c>
      <c r="E612" s="3">
        <v>121.508934</v>
      </c>
      <c r="F612" s="3" t="s">
        <v>56</v>
      </c>
      <c r="G612" s="4" t="s">
        <v>4157</v>
      </c>
      <c r="H612" s="3"/>
    </row>
    <row r="613" ht="15.75" customHeight="1">
      <c r="A613" s="4" t="s">
        <v>5394</v>
      </c>
      <c r="B613" s="4" t="s">
        <v>5395</v>
      </c>
      <c r="C613" s="4" t="s">
        <v>1095</v>
      </c>
      <c r="D613" s="3">
        <v>25.032932</v>
      </c>
      <c r="E613" s="3">
        <v>121.508096</v>
      </c>
      <c r="F613" s="3" t="s">
        <v>56</v>
      </c>
      <c r="G613" s="4" t="s">
        <v>4157</v>
      </c>
      <c r="H613" s="3"/>
    </row>
    <row r="614" ht="15.75" customHeight="1">
      <c r="A614" s="4" t="s">
        <v>5396</v>
      </c>
      <c r="B614" s="4" t="s">
        <v>5397</v>
      </c>
      <c r="C614" s="4" t="s">
        <v>1091</v>
      </c>
      <c r="D614" s="3">
        <v>25.032726</v>
      </c>
      <c r="E614" s="3">
        <v>121.508076</v>
      </c>
      <c r="F614" s="3" t="s">
        <v>56</v>
      </c>
      <c r="G614" s="4" t="s">
        <v>4157</v>
      </c>
      <c r="H614" s="3"/>
    </row>
    <row r="615" ht="15.75" customHeight="1">
      <c r="A615" s="4" t="s">
        <v>5398</v>
      </c>
      <c r="B615" s="4" t="s">
        <v>5399</v>
      </c>
      <c r="C615" s="4" t="s">
        <v>3257</v>
      </c>
      <c r="D615" s="3">
        <v>25.032915</v>
      </c>
      <c r="E615" s="3">
        <v>121.508219</v>
      </c>
      <c r="F615" s="3" t="s">
        <v>56</v>
      </c>
      <c r="G615" s="4" t="s">
        <v>4157</v>
      </c>
      <c r="H615" s="3"/>
    </row>
    <row r="616" ht="15.75" customHeight="1">
      <c r="A616" s="4" t="s">
        <v>5400</v>
      </c>
      <c r="B616" s="4" t="s">
        <v>5401</v>
      </c>
      <c r="C616" s="4" t="s">
        <v>1100</v>
      </c>
      <c r="D616" s="3">
        <v>25.032756</v>
      </c>
      <c r="E616" s="3">
        <v>121.50814</v>
      </c>
      <c r="F616" s="3" t="s">
        <v>56</v>
      </c>
      <c r="G616" s="4" t="s">
        <v>4157</v>
      </c>
      <c r="H616" s="3"/>
    </row>
    <row r="617" ht="15.75" customHeight="1">
      <c r="A617" s="4" t="s">
        <v>5402</v>
      </c>
      <c r="B617" s="4" t="s">
        <v>5403</v>
      </c>
      <c r="C617" s="4" t="s">
        <v>3674</v>
      </c>
      <c r="D617" s="3">
        <v>25.033055</v>
      </c>
      <c r="E617" s="3">
        <v>121.50877</v>
      </c>
      <c r="F617" s="3" t="s">
        <v>56</v>
      </c>
      <c r="G617" s="4" t="s">
        <v>4157</v>
      </c>
      <c r="H617" s="3"/>
    </row>
    <row r="618" ht="15.75" customHeight="1">
      <c r="A618" s="4" t="s">
        <v>5404</v>
      </c>
      <c r="B618" s="4" t="s">
        <v>5405</v>
      </c>
      <c r="C618" s="4" t="s">
        <v>1406</v>
      </c>
      <c r="D618" s="3">
        <v>25.033134</v>
      </c>
      <c r="E618" s="3">
        <v>121.508612</v>
      </c>
      <c r="F618" s="3" t="s">
        <v>56</v>
      </c>
      <c r="G618" s="4" t="s">
        <v>4157</v>
      </c>
      <c r="H618" s="3"/>
    </row>
    <row r="619" ht="15.75" customHeight="1">
      <c r="A619" s="4" t="s">
        <v>5406</v>
      </c>
      <c r="B619" s="4" t="s">
        <v>5407</v>
      </c>
      <c r="C619" s="4" t="s">
        <v>3262</v>
      </c>
      <c r="D619" s="3">
        <v>25.032947</v>
      </c>
      <c r="E619" s="3">
        <v>121.508552</v>
      </c>
      <c r="F619" s="3" t="s">
        <v>56</v>
      </c>
      <c r="G619" s="4" t="s">
        <v>4157</v>
      </c>
      <c r="H619" s="3"/>
    </row>
    <row r="620" ht="15.75" customHeight="1">
      <c r="A620" s="4" t="s">
        <v>5408</v>
      </c>
      <c r="B620" s="4" t="s">
        <v>5409</v>
      </c>
      <c r="C620" s="4" t="s">
        <v>3262</v>
      </c>
      <c r="D620" s="3">
        <v>25.032794</v>
      </c>
      <c r="E620" s="3">
        <v>121.508496</v>
      </c>
      <c r="F620" s="3" t="s">
        <v>56</v>
      </c>
      <c r="G620" s="4" t="s">
        <v>4157</v>
      </c>
      <c r="H620" s="3"/>
    </row>
    <row r="621" ht="15.75" customHeight="1">
      <c r="A621" s="4" t="s">
        <v>5410</v>
      </c>
      <c r="B621" s="4" t="s">
        <v>5411</v>
      </c>
      <c r="C621" s="4" t="s">
        <v>1474</v>
      </c>
      <c r="D621" s="3">
        <v>25.033123</v>
      </c>
      <c r="E621" s="3">
        <v>121.508805</v>
      </c>
      <c r="F621" s="3" t="s">
        <v>56</v>
      </c>
      <c r="G621" s="4" t="s">
        <v>4157</v>
      </c>
      <c r="H621" s="3"/>
    </row>
    <row r="622" ht="15.75" customHeight="1">
      <c r="A622" s="4" t="s">
        <v>5412</v>
      </c>
      <c r="B622" s="4" t="s">
        <v>5413</v>
      </c>
      <c r="C622" s="4" t="s">
        <v>3658</v>
      </c>
      <c r="D622" s="3">
        <v>25.032731</v>
      </c>
      <c r="E622" s="3">
        <v>121.508832</v>
      </c>
      <c r="F622" s="3" t="s">
        <v>56</v>
      </c>
      <c r="G622" s="4" t="s">
        <v>4157</v>
      </c>
      <c r="H622" s="3"/>
    </row>
    <row r="623" ht="15.75" customHeight="1">
      <c r="A623" s="4" t="s">
        <v>5414</v>
      </c>
      <c r="B623" s="4" t="s">
        <v>5415</v>
      </c>
      <c r="C623" s="4" t="s">
        <v>3658</v>
      </c>
      <c r="D623" s="3">
        <v>25.032964</v>
      </c>
      <c r="E623" s="3">
        <v>121.508511</v>
      </c>
      <c r="F623" s="3" t="s">
        <v>56</v>
      </c>
      <c r="G623" s="4" t="s">
        <v>4157</v>
      </c>
      <c r="H623" s="3"/>
    </row>
    <row r="624" ht="15.75" customHeight="1">
      <c r="A624" s="4" t="s">
        <v>5416</v>
      </c>
      <c r="B624" s="4" t="s">
        <v>5417</v>
      </c>
      <c r="C624" s="4" t="s">
        <v>3267</v>
      </c>
      <c r="D624" s="3">
        <v>25.032733</v>
      </c>
      <c r="E624" s="3">
        <v>121.508377</v>
      </c>
      <c r="F624" s="3" t="s">
        <v>56</v>
      </c>
      <c r="G624" s="4" t="s">
        <v>4157</v>
      </c>
      <c r="H624" s="3"/>
    </row>
    <row r="625" ht="15.75" customHeight="1">
      <c r="A625" s="4" t="s">
        <v>5418</v>
      </c>
      <c r="B625" s="4" t="s">
        <v>5419</v>
      </c>
      <c r="C625" s="4" t="s">
        <v>1426</v>
      </c>
      <c r="D625" s="3">
        <v>25.032939</v>
      </c>
      <c r="E625" s="3">
        <v>121.508674</v>
      </c>
      <c r="F625" s="3" t="s">
        <v>56</v>
      </c>
      <c r="G625" s="4" t="s">
        <v>4157</v>
      </c>
      <c r="H625" s="3"/>
    </row>
    <row r="626" ht="15.75" customHeight="1">
      <c r="A626" s="4" t="s">
        <v>5420</v>
      </c>
      <c r="B626" s="4" t="s">
        <v>5421</v>
      </c>
      <c r="C626" s="4" t="s">
        <v>1424</v>
      </c>
      <c r="D626" s="3">
        <v>25.033024</v>
      </c>
      <c r="E626" s="3">
        <v>121.508636</v>
      </c>
      <c r="F626" s="3" t="s">
        <v>56</v>
      </c>
      <c r="G626" s="4" t="s">
        <v>4157</v>
      </c>
      <c r="H626" s="3"/>
    </row>
    <row r="627" ht="15.75" customHeight="1">
      <c r="A627" s="4" t="s">
        <v>5422</v>
      </c>
      <c r="B627" s="4" t="s">
        <v>5423</v>
      </c>
      <c r="C627" s="4" t="s">
        <v>1409</v>
      </c>
      <c r="D627" s="7">
        <v>25.03303</v>
      </c>
      <c r="E627" s="3">
        <v>121.508663</v>
      </c>
      <c r="F627" s="3" t="s">
        <v>56</v>
      </c>
      <c r="G627" s="4" t="s">
        <v>4157</v>
      </c>
      <c r="H627" s="3"/>
    </row>
    <row r="628" ht="15.75" customHeight="1">
      <c r="A628" s="4" t="s">
        <v>5424</v>
      </c>
      <c r="B628" s="4" t="s">
        <v>5425</v>
      </c>
      <c r="C628" s="4" t="s">
        <v>1512</v>
      </c>
      <c r="D628" s="3">
        <v>25.033132</v>
      </c>
      <c r="E628" s="3">
        <v>121.508411</v>
      </c>
      <c r="F628" s="3" t="s">
        <v>56</v>
      </c>
      <c r="G628" s="4" t="s">
        <v>4157</v>
      </c>
      <c r="H628" s="3"/>
    </row>
    <row r="629" ht="15.75" customHeight="1">
      <c r="A629" s="4" t="s">
        <v>5426</v>
      </c>
      <c r="B629" s="4" t="s">
        <v>5427</v>
      </c>
      <c r="C629" s="4" t="s">
        <v>1104</v>
      </c>
      <c r="D629" s="3">
        <v>25.032874</v>
      </c>
      <c r="E629" s="3">
        <v>121.508092</v>
      </c>
      <c r="F629" s="3" t="s">
        <v>56</v>
      </c>
      <c r="G629" s="4" t="s">
        <v>4157</v>
      </c>
      <c r="H629" s="3"/>
    </row>
    <row r="630" ht="15.75" customHeight="1">
      <c r="A630" s="4" t="s">
        <v>5428</v>
      </c>
      <c r="B630" s="4" t="s">
        <v>5429</v>
      </c>
      <c r="C630" s="4" t="s">
        <v>1102</v>
      </c>
      <c r="D630" s="3">
        <v>25.032863</v>
      </c>
      <c r="E630" s="3">
        <v>121.508161</v>
      </c>
      <c r="F630" s="3" t="s">
        <v>56</v>
      </c>
      <c r="G630" s="4" t="s">
        <v>4157</v>
      </c>
      <c r="H630" s="3"/>
    </row>
    <row r="631" ht="15.75" customHeight="1">
      <c r="A631" s="4" t="s">
        <v>5430</v>
      </c>
      <c r="B631" s="4" t="s">
        <v>5431</v>
      </c>
      <c r="C631" s="4" t="s">
        <v>5432</v>
      </c>
      <c r="D631" s="3">
        <v>25.032796</v>
      </c>
      <c r="E631" s="3">
        <v>121.508186</v>
      </c>
      <c r="F631" s="3" t="s">
        <v>56</v>
      </c>
      <c r="G631" s="4" t="s">
        <v>4157</v>
      </c>
      <c r="H631" s="3"/>
    </row>
    <row r="632" ht="15.75" customHeight="1">
      <c r="A632" s="4" t="s">
        <v>5433</v>
      </c>
      <c r="B632" s="4" t="s">
        <v>5434</v>
      </c>
      <c r="C632" s="4" t="s">
        <v>1487</v>
      </c>
      <c r="D632" s="3">
        <v>25.03261</v>
      </c>
      <c r="E632" s="3">
        <v>121.509828</v>
      </c>
      <c r="F632" s="3" t="s">
        <v>130</v>
      </c>
      <c r="G632" s="4" t="s">
        <v>4157</v>
      </c>
      <c r="H632" s="3"/>
    </row>
    <row r="633" ht="15.75" customHeight="1">
      <c r="A633" s="4" t="s">
        <v>5435</v>
      </c>
      <c r="B633" s="4" t="s">
        <v>5436</v>
      </c>
      <c r="C633" s="4" t="s">
        <v>3690</v>
      </c>
      <c r="D633" s="3">
        <v>25.032978</v>
      </c>
      <c r="E633" s="3">
        <v>121.50913</v>
      </c>
      <c r="F633" s="3" t="s">
        <v>130</v>
      </c>
      <c r="G633" s="4" t="s">
        <v>4157</v>
      </c>
      <c r="H633" s="3"/>
    </row>
    <row r="634" ht="15.75" customHeight="1">
      <c r="A634" s="4" t="s">
        <v>5437</v>
      </c>
      <c r="B634" s="4" t="s">
        <v>5438</v>
      </c>
      <c r="C634" s="4" t="s">
        <v>1507</v>
      </c>
      <c r="D634" s="3">
        <v>25.033015</v>
      </c>
      <c r="E634" s="3">
        <v>121.508619</v>
      </c>
      <c r="F634" s="3" t="s">
        <v>56</v>
      </c>
      <c r="G634" s="4" t="s">
        <v>4157</v>
      </c>
      <c r="H634" s="3"/>
    </row>
    <row r="635" ht="15.75" customHeight="1">
      <c r="A635" s="4" t="s">
        <v>5439</v>
      </c>
      <c r="B635" s="4" t="s">
        <v>5440</v>
      </c>
      <c r="C635" s="4" t="s">
        <v>1480</v>
      </c>
      <c r="D635" s="3">
        <v>25.033229</v>
      </c>
      <c r="E635" s="3">
        <v>121.508645</v>
      </c>
      <c r="F635" s="3" t="s">
        <v>56</v>
      </c>
      <c r="G635" s="4" t="s">
        <v>4157</v>
      </c>
      <c r="H635" s="3"/>
    </row>
    <row r="636" ht="15.75" customHeight="1">
      <c r="A636" s="4" t="s">
        <v>5441</v>
      </c>
      <c r="B636" s="4" t="s">
        <v>5442</v>
      </c>
      <c r="C636" s="4" t="s">
        <v>1480</v>
      </c>
      <c r="D636" s="3">
        <v>25.031684</v>
      </c>
      <c r="E636" s="3">
        <v>121.509938</v>
      </c>
      <c r="F636" s="3" t="s">
        <v>44</v>
      </c>
      <c r="G636" s="4" t="s">
        <v>4157</v>
      </c>
      <c r="H636" s="3"/>
    </row>
    <row r="637" ht="15.75" customHeight="1">
      <c r="A637" s="4" t="s">
        <v>5443</v>
      </c>
      <c r="B637" s="4" t="s">
        <v>5444</v>
      </c>
      <c r="C637" s="4" t="s">
        <v>1496</v>
      </c>
      <c r="D637" s="3">
        <v>25.03304</v>
      </c>
      <c r="E637" s="3">
        <v>121.508486</v>
      </c>
      <c r="F637" s="3" t="s">
        <v>56</v>
      </c>
      <c r="G637" s="4" t="s">
        <v>4157</v>
      </c>
      <c r="H637" s="3"/>
    </row>
    <row r="638" ht="15.75" customHeight="1">
      <c r="A638" s="4" t="s">
        <v>5445</v>
      </c>
      <c r="B638" s="4" t="s">
        <v>5446</v>
      </c>
      <c r="C638" s="4" t="s">
        <v>1496</v>
      </c>
      <c r="D638" s="3">
        <v>25.0322</v>
      </c>
      <c r="E638" s="3">
        <v>121.511336</v>
      </c>
      <c r="F638" s="3" t="s">
        <v>44</v>
      </c>
      <c r="G638" s="4" t="s">
        <v>4157</v>
      </c>
      <c r="H638" s="3"/>
    </row>
    <row r="639" ht="15.75" customHeight="1">
      <c r="A639" s="4" t="s">
        <v>5447</v>
      </c>
      <c r="B639" s="4" t="s">
        <v>5448</v>
      </c>
      <c r="C639" s="4" t="s">
        <v>1496</v>
      </c>
      <c r="D639" s="3">
        <v>25.032262</v>
      </c>
      <c r="E639" s="3">
        <v>121.510601</v>
      </c>
      <c r="F639" s="3" t="s">
        <v>44</v>
      </c>
      <c r="G639" s="4" t="s">
        <v>4157</v>
      </c>
      <c r="H639" s="3"/>
    </row>
    <row r="640" ht="15.75" customHeight="1">
      <c r="A640" s="4" t="s">
        <v>5449</v>
      </c>
      <c r="B640" s="4" t="s">
        <v>5450</v>
      </c>
      <c r="C640" s="4" t="s">
        <v>3678</v>
      </c>
      <c r="D640" s="3">
        <v>25.032787</v>
      </c>
      <c r="E640" s="3">
        <v>121.508949</v>
      </c>
      <c r="F640" s="3" t="s">
        <v>56</v>
      </c>
      <c r="G640" s="4" t="s">
        <v>4157</v>
      </c>
      <c r="H640" s="3"/>
    </row>
    <row r="641" ht="15.75" customHeight="1">
      <c r="A641" s="4" t="s">
        <v>5451</v>
      </c>
      <c r="B641" s="4" t="s">
        <v>5452</v>
      </c>
      <c r="C641" s="4" t="s">
        <v>1125</v>
      </c>
      <c r="D641" s="3">
        <v>25.031988</v>
      </c>
      <c r="E641" s="3">
        <v>121.508117</v>
      </c>
      <c r="F641" s="3" t="s">
        <v>156</v>
      </c>
      <c r="G641" s="4" t="s">
        <v>4157</v>
      </c>
      <c r="H641" s="3"/>
    </row>
    <row r="642" ht="15.75" customHeight="1">
      <c r="A642" s="4" t="s">
        <v>5453</v>
      </c>
      <c r="B642" s="4" t="s">
        <v>5454</v>
      </c>
      <c r="C642" s="4" t="s">
        <v>1717</v>
      </c>
      <c r="D642" s="3">
        <v>25.032387</v>
      </c>
      <c r="E642" s="3">
        <v>121.508907</v>
      </c>
      <c r="F642" s="3" t="s">
        <v>56</v>
      </c>
      <c r="G642" s="4" t="s">
        <v>4157</v>
      </c>
      <c r="H642" s="3"/>
    </row>
    <row r="643" ht="15.75" customHeight="1">
      <c r="A643" s="4" t="s">
        <v>5455</v>
      </c>
      <c r="B643" s="4" t="s">
        <v>5456</v>
      </c>
      <c r="C643" s="4" t="s">
        <v>1121</v>
      </c>
      <c r="D643" s="3">
        <v>25.032348</v>
      </c>
      <c r="E643" s="3">
        <v>121.508259</v>
      </c>
      <c r="F643" s="3" t="s">
        <v>56</v>
      </c>
      <c r="G643" s="4" t="s">
        <v>4157</v>
      </c>
      <c r="H643" s="3"/>
    </row>
    <row r="644" ht="15.75" customHeight="1">
      <c r="A644" s="4" t="s">
        <v>5457</v>
      </c>
      <c r="B644" s="4" t="s">
        <v>5458</v>
      </c>
      <c r="C644" s="4" t="s">
        <v>1477</v>
      </c>
      <c r="D644" s="3">
        <v>25.032992</v>
      </c>
      <c r="E644" s="3">
        <v>121.508253</v>
      </c>
      <c r="F644" s="3" t="s">
        <v>56</v>
      </c>
      <c r="G644" s="4" t="s">
        <v>4157</v>
      </c>
      <c r="H644" s="3"/>
    </row>
    <row r="645" ht="15.75" customHeight="1">
      <c r="A645" s="4" t="s">
        <v>5459</v>
      </c>
      <c r="B645" s="4" t="s">
        <v>5460</v>
      </c>
      <c r="C645" s="4" t="s">
        <v>1477</v>
      </c>
      <c r="D645" s="3">
        <v>25.032831</v>
      </c>
      <c r="E645" s="3">
        <v>121.508912</v>
      </c>
      <c r="F645" s="3" t="s">
        <v>56</v>
      </c>
      <c r="G645" s="4" t="s">
        <v>4157</v>
      </c>
      <c r="H645" s="3"/>
    </row>
    <row r="646" ht="15.75" customHeight="1">
      <c r="A646" s="4" t="s">
        <v>5461</v>
      </c>
      <c r="B646" s="4" t="s">
        <v>5462</v>
      </c>
      <c r="C646" s="4" t="s">
        <v>3271</v>
      </c>
      <c r="D646" s="3">
        <v>25.032844</v>
      </c>
      <c r="E646" s="3">
        <v>121.508562</v>
      </c>
      <c r="F646" s="3" t="s">
        <v>56</v>
      </c>
      <c r="G646" s="4" t="s">
        <v>4157</v>
      </c>
      <c r="H646" s="3"/>
    </row>
    <row r="647" ht="15.75" customHeight="1">
      <c r="A647" s="4" t="s">
        <v>5463</v>
      </c>
      <c r="B647" s="4" t="s">
        <v>5464</v>
      </c>
      <c r="C647" s="4" t="s">
        <v>1485</v>
      </c>
      <c r="D647" s="3">
        <v>25.032946</v>
      </c>
      <c r="E647" s="3">
        <v>121.508454</v>
      </c>
      <c r="F647" s="3" t="s">
        <v>56</v>
      </c>
      <c r="G647" s="4" t="s">
        <v>4157</v>
      </c>
      <c r="H647" s="3"/>
    </row>
    <row r="648" ht="15.75" customHeight="1">
      <c r="A648" s="4" t="s">
        <v>5465</v>
      </c>
      <c r="B648" s="4" t="s">
        <v>5466</v>
      </c>
      <c r="C648" s="4" t="s">
        <v>3703</v>
      </c>
      <c r="D648" s="3">
        <v>25.031803</v>
      </c>
      <c r="E648" s="3">
        <v>121.510445</v>
      </c>
      <c r="F648" s="3" t="s">
        <v>44</v>
      </c>
      <c r="G648" s="4" t="s">
        <v>4157</v>
      </c>
      <c r="H648" s="3"/>
    </row>
    <row r="649" ht="15.75" customHeight="1">
      <c r="A649" s="4" t="s">
        <v>5467</v>
      </c>
      <c r="B649" s="4" t="s">
        <v>5468</v>
      </c>
      <c r="C649" s="4" t="s">
        <v>1112</v>
      </c>
      <c r="D649" s="3">
        <v>25.032329</v>
      </c>
      <c r="E649" s="3">
        <v>121.508966</v>
      </c>
      <c r="F649" s="3" t="s">
        <v>56</v>
      </c>
      <c r="G649" s="4" t="s">
        <v>4157</v>
      </c>
      <c r="H649" s="3"/>
    </row>
    <row r="650" ht="15.75" customHeight="1">
      <c r="A650" s="4" t="s">
        <v>5469</v>
      </c>
      <c r="B650" s="4" t="s">
        <v>5470</v>
      </c>
      <c r="C650" s="4" t="s">
        <v>1112</v>
      </c>
      <c r="D650" s="3">
        <v>25.032722</v>
      </c>
      <c r="E650" s="3">
        <v>121.508007</v>
      </c>
      <c r="F650" s="3" t="s">
        <v>56</v>
      </c>
      <c r="G650" s="4" t="s">
        <v>4157</v>
      </c>
      <c r="H650" s="3"/>
    </row>
    <row r="651" ht="15.75" customHeight="1">
      <c r="A651" s="4" t="s">
        <v>5471</v>
      </c>
      <c r="B651" s="4" t="s">
        <v>5472</v>
      </c>
      <c r="C651" s="4" t="s">
        <v>1710</v>
      </c>
      <c r="D651" s="3">
        <v>25.032332</v>
      </c>
      <c r="E651" s="3">
        <v>121.50884</v>
      </c>
      <c r="F651" s="3" t="s">
        <v>56</v>
      </c>
      <c r="G651" s="4" t="s">
        <v>4157</v>
      </c>
      <c r="H651" s="3"/>
    </row>
    <row r="652" ht="15.75" customHeight="1">
      <c r="A652" s="4" t="s">
        <v>5473</v>
      </c>
      <c r="B652" s="4" t="s">
        <v>5474</v>
      </c>
      <c r="C652" s="4" t="s">
        <v>3697</v>
      </c>
      <c r="D652" s="3">
        <v>25.032794</v>
      </c>
      <c r="E652" s="3">
        <v>121.508835</v>
      </c>
      <c r="F652" s="3" t="s">
        <v>56</v>
      </c>
      <c r="G652" s="4" t="s">
        <v>4157</v>
      </c>
      <c r="H652" s="3"/>
    </row>
    <row r="653" ht="15.75" customHeight="1">
      <c r="A653" s="4" t="s">
        <v>5475</v>
      </c>
      <c r="B653" s="4" t="s">
        <v>5476</v>
      </c>
      <c r="C653" s="4" t="s">
        <v>3688</v>
      </c>
      <c r="D653" s="3">
        <v>25.032912</v>
      </c>
      <c r="E653" s="3">
        <v>121.508941</v>
      </c>
      <c r="F653" s="3" t="s">
        <v>56</v>
      </c>
      <c r="G653" s="4" t="s">
        <v>4157</v>
      </c>
      <c r="H653" s="3"/>
    </row>
    <row r="654" ht="15.75" customHeight="1">
      <c r="A654" s="4" t="s">
        <v>5477</v>
      </c>
      <c r="B654" s="4" t="s">
        <v>5478</v>
      </c>
      <c r="C654" s="4" t="s">
        <v>1499</v>
      </c>
      <c r="D654" s="3">
        <v>25.032266</v>
      </c>
      <c r="E654" s="3">
        <v>121.511126</v>
      </c>
      <c r="F654" s="3" t="s">
        <v>44</v>
      </c>
      <c r="G654" s="4" t="s">
        <v>4157</v>
      </c>
      <c r="H654" s="3"/>
    </row>
    <row r="655" ht="15.75" customHeight="1">
      <c r="A655" s="4" t="s">
        <v>5479</v>
      </c>
      <c r="B655" s="4" t="s">
        <v>5480</v>
      </c>
      <c r="C655" s="4" t="s">
        <v>3695</v>
      </c>
      <c r="D655" s="3">
        <v>25.03293</v>
      </c>
      <c r="E655" s="3">
        <v>121.508919</v>
      </c>
      <c r="F655" s="3" t="s">
        <v>56</v>
      </c>
      <c r="G655" s="4" t="s">
        <v>4157</v>
      </c>
      <c r="H655" s="3"/>
    </row>
    <row r="656" ht="15.75" customHeight="1">
      <c r="A656" s="4" t="s">
        <v>5481</v>
      </c>
      <c r="B656" s="4" t="s">
        <v>5482</v>
      </c>
      <c r="C656" s="4" t="s">
        <v>1502</v>
      </c>
      <c r="D656" s="3">
        <v>25.033133</v>
      </c>
      <c r="E656" s="3">
        <v>121.508362</v>
      </c>
      <c r="F656" s="3" t="s">
        <v>56</v>
      </c>
      <c r="G656" s="4" t="s">
        <v>4157</v>
      </c>
      <c r="H656" s="3"/>
    </row>
    <row r="657" ht="15.75" customHeight="1">
      <c r="A657" s="4" t="s">
        <v>5483</v>
      </c>
      <c r="B657" s="4" t="s">
        <v>5484</v>
      </c>
      <c r="C657" s="4" t="s">
        <v>1483</v>
      </c>
      <c r="D657" s="3">
        <v>25.032932</v>
      </c>
      <c r="E657" s="3">
        <v>121.508438</v>
      </c>
      <c r="F657" s="3" t="s">
        <v>56</v>
      </c>
      <c r="G657" s="4" t="s">
        <v>4157</v>
      </c>
      <c r="H657" s="3"/>
    </row>
    <row r="658" ht="15.75" customHeight="1">
      <c r="A658" s="4" t="s">
        <v>5485</v>
      </c>
      <c r="B658" s="4" t="s">
        <v>5486</v>
      </c>
      <c r="C658" s="4" t="s">
        <v>1461</v>
      </c>
      <c r="D658" s="3">
        <v>25.033162</v>
      </c>
      <c r="E658" s="3">
        <v>121.50874</v>
      </c>
      <c r="F658" s="3" t="s">
        <v>56</v>
      </c>
      <c r="G658" s="4" t="s">
        <v>4157</v>
      </c>
      <c r="H658" s="3"/>
    </row>
    <row r="659" ht="15.75" customHeight="1">
      <c r="A659" s="4" t="s">
        <v>5487</v>
      </c>
      <c r="B659" s="4" t="s">
        <v>5488</v>
      </c>
      <c r="C659" s="4" t="s">
        <v>1737</v>
      </c>
      <c r="D659" s="3">
        <v>25.032475</v>
      </c>
      <c r="E659" s="3">
        <v>121.508829</v>
      </c>
      <c r="F659" s="3" t="s">
        <v>56</v>
      </c>
      <c r="G659" s="4" t="s">
        <v>4157</v>
      </c>
      <c r="H659" s="3"/>
    </row>
    <row r="660" ht="15.75" customHeight="1">
      <c r="A660" s="4" t="s">
        <v>5489</v>
      </c>
      <c r="B660" s="4" t="s">
        <v>5490</v>
      </c>
      <c r="C660" s="4" t="s">
        <v>3700</v>
      </c>
      <c r="D660" s="3">
        <v>25.032841</v>
      </c>
      <c r="E660" s="3">
        <v>121.508842</v>
      </c>
      <c r="F660" s="3" t="s">
        <v>56</v>
      </c>
      <c r="G660" s="4" t="s">
        <v>4157</v>
      </c>
      <c r="H660" s="3"/>
    </row>
    <row r="661" ht="15.75" customHeight="1">
      <c r="A661" s="4" t="s">
        <v>5491</v>
      </c>
      <c r="B661" s="4" t="s">
        <v>5492</v>
      </c>
      <c r="C661" s="4" t="s">
        <v>1540</v>
      </c>
      <c r="D661" s="3">
        <v>25.032986</v>
      </c>
      <c r="E661" s="3">
        <v>121.508102</v>
      </c>
      <c r="F661" s="3" t="s">
        <v>56</v>
      </c>
      <c r="G661" s="4" t="s">
        <v>4157</v>
      </c>
      <c r="H661" s="3"/>
    </row>
    <row r="662" ht="15.75" customHeight="1">
      <c r="A662" s="4" t="s">
        <v>5493</v>
      </c>
      <c r="B662" s="4" t="s">
        <v>5494</v>
      </c>
      <c r="C662" s="4" t="s">
        <v>1715</v>
      </c>
      <c r="D662" s="3">
        <v>25.032486</v>
      </c>
      <c r="E662" s="3">
        <v>121.508893</v>
      </c>
      <c r="F662" s="3" t="s">
        <v>56</v>
      </c>
      <c r="G662" s="4" t="s">
        <v>4157</v>
      </c>
      <c r="H662" s="3"/>
    </row>
    <row r="663" ht="15.75" customHeight="1">
      <c r="A663" s="4" t="s">
        <v>5495</v>
      </c>
      <c r="B663" s="4" t="s">
        <v>5496</v>
      </c>
      <c r="C663" s="4" t="s">
        <v>3277</v>
      </c>
      <c r="D663" s="3">
        <v>25.032891</v>
      </c>
      <c r="E663" s="3">
        <v>121.508387</v>
      </c>
      <c r="F663" s="3" t="s">
        <v>56</v>
      </c>
      <c r="G663" s="4" t="s">
        <v>4157</v>
      </c>
      <c r="H663" s="3"/>
    </row>
    <row r="664" ht="15.75" customHeight="1">
      <c r="A664" s="4" t="s">
        <v>5497</v>
      </c>
      <c r="B664" s="4" t="s">
        <v>5498</v>
      </c>
      <c r="C664" s="4" t="s">
        <v>3711</v>
      </c>
      <c r="D664" s="3">
        <v>25.033108</v>
      </c>
      <c r="E664" s="3">
        <v>121.508943</v>
      </c>
      <c r="F664" s="3" t="s">
        <v>56</v>
      </c>
      <c r="G664" s="4" t="s">
        <v>4157</v>
      </c>
      <c r="H664" s="3"/>
    </row>
    <row r="665" ht="15.75" customHeight="1">
      <c r="A665" s="4" t="s">
        <v>5499</v>
      </c>
      <c r="B665" s="4" t="s">
        <v>5500</v>
      </c>
      <c r="C665" s="4" t="s">
        <v>3692</v>
      </c>
      <c r="D665" s="3">
        <v>25.032979</v>
      </c>
      <c r="E665" s="3">
        <v>121.508895</v>
      </c>
      <c r="F665" s="3" t="s">
        <v>56</v>
      </c>
      <c r="G665" s="4" t="s">
        <v>4157</v>
      </c>
      <c r="H665" s="3"/>
    </row>
    <row r="666" ht="15.75" customHeight="1">
      <c r="A666" s="4" t="s">
        <v>5501</v>
      </c>
      <c r="B666" s="4" t="s">
        <v>5502</v>
      </c>
      <c r="C666" s="4" t="s">
        <v>1725</v>
      </c>
      <c r="D666" s="3">
        <v>25.032437</v>
      </c>
      <c r="E666" s="3">
        <v>121.508893</v>
      </c>
      <c r="F666" s="3" t="s">
        <v>56</v>
      </c>
      <c r="G666" s="4" t="s">
        <v>4157</v>
      </c>
      <c r="H666" s="3"/>
    </row>
    <row r="667" ht="15.75" customHeight="1">
      <c r="A667" s="4" t="s">
        <v>5503</v>
      </c>
      <c r="B667" s="4" t="s">
        <v>5504</v>
      </c>
      <c r="C667" s="4" t="s">
        <v>3706</v>
      </c>
      <c r="D667" s="3">
        <v>25.032777</v>
      </c>
      <c r="E667" s="3">
        <v>121.508913</v>
      </c>
      <c r="F667" s="3" t="s">
        <v>56</v>
      </c>
      <c r="G667" s="4" t="s">
        <v>4157</v>
      </c>
      <c r="H667" s="3"/>
    </row>
    <row r="668" ht="15.75" customHeight="1">
      <c r="A668" s="4" t="s">
        <v>5505</v>
      </c>
      <c r="B668" s="4" t="s">
        <v>5506</v>
      </c>
      <c r="C668" s="4" t="s">
        <v>3289</v>
      </c>
      <c r="D668" s="3">
        <v>25.032933</v>
      </c>
      <c r="E668" s="3">
        <v>121.50877</v>
      </c>
      <c r="F668" s="3" t="s">
        <v>56</v>
      </c>
      <c r="G668" s="4" t="s">
        <v>4157</v>
      </c>
      <c r="H668" s="3"/>
    </row>
    <row r="669" ht="15.75" customHeight="1">
      <c r="A669" s="4" t="s">
        <v>5507</v>
      </c>
      <c r="B669" s="4" t="s">
        <v>5508</v>
      </c>
      <c r="C669" s="4" t="s">
        <v>3289</v>
      </c>
      <c r="D669" s="3">
        <v>25.032863</v>
      </c>
      <c r="E669" s="3">
        <v>121.509249</v>
      </c>
      <c r="F669" s="3" t="s">
        <v>130</v>
      </c>
      <c r="G669" s="4" t="s">
        <v>4157</v>
      </c>
      <c r="H669" s="3"/>
    </row>
    <row r="670" ht="15.75" customHeight="1">
      <c r="A670" s="4" t="s">
        <v>5509</v>
      </c>
      <c r="B670" s="4" t="s">
        <v>5510</v>
      </c>
      <c r="C670" s="4" t="s">
        <v>1530</v>
      </c>
      <c r="D670" s="3">
        <v>25.03307</v>
      </c>
      <c r="E670" s="3">
        <v>121.508351</v>
      </c>
      <c r="F670" s="3" t="s">
        <v>56</v>
      </c>
      <c r="G670" s="4" t="s">
        <v>4157</v>
      </c>
      <c r="H670" s="3"/>
    </row>
    <row r="671" ht="15.75" customHeight="1">
      <c r="A671" s="4" t="s">
        <v>5511</v>
      </c>
      <c r="B671" s="4" t="s">
        <v>5512</v>
      </c>
      <c r="C671" s="9" t="s">
        <v>1537</v>
      </c>
      <c r="D671" s="3">
        <v>25.033031</v>
      </c>
      <c r="E671" s="3">
        <v>121.508662</v>
      </c>
      <c r="F671" s="3" t="s">
        <v>56</v>
      </c>
      <c r="G671" s="4" t="s">
        <v>4157</v>
      </c>
      <c r="H671" s="3"/>
    </row>
    <row r="672" ht="15.75" customHeight="1">
      <c r="A672" s="4" t="s">
        <v>5513</v>
      </c>
      <c r="B672" s="4" t="s">
        <v>5514</v>
      </c>
      <c r="C672" s="4" t="s">
        <v>1683</v>
      </c>
      <c r="D672" s="3">
        <v>25.032359</v>
      </c>
      <c r="E672" s="3">
        <v>121.508923</v>
      </c>
      <c r="F672" s="3" t="s">
        <v>56</v>
      </c>
      <c r="G672" s="4" t="s">
        <v>4157</v>
      </c>
      <c r="H672" s="3"/>
    </row>
    <row r="673" ht="15.75" customHeight="1">
      <c r="A673" s="4" t="s">
        <v>5515</v>
      </c>
      <c r="B673" s="4" t="s">
        <v>5516</v>
      </c>
      <c r="C673" s="4" t="s">
        <v>1526</v>
      </c>
      <c r="D673" s="3">
        <v>25.033015</v>
      </c>
      <c r="E673" s="3">
        <v>121.508671</v>
      </c>
      <c r="F673" s="3" t="s">
        <v>56</v>
      </c>
      <c r="G673" s="4" t="s">
        <v>4157</v>
      </c>
      <c r="H673" s="3"/>
    </row>
    <row r="674" ht="15.75" customHeight="1">
      <c r="A674" s="4" t="s">
        <v>5517</v>
      </c>
      <c r="B674" s="4" t="s">
        <v>5518</v>
      </c>
      <c r="C674" s="4" t="s">
        <v>1730</v>
      </c>
      <c r="D674" s="3">
        <v>25.032267</v>
      </c>
      <c r="E674" s="3">
        <v>121.508896</v>
      </c>
      <c r="F674" s="3" t="s">
        <v>56</v>
      </c>
      <c r="G674" s="4" t="s">
        <v>4157</v>
      </c>
      <c r="H674" s="3"/>
    </row>
    <row r="675" ht="15.75" customHeight="1">
      <c r="A675" s="4" t="s">
        <v>5519</v>
      </c>
      <c r="B675" s="4" t="s">
        <v>5520</v>
      </c>
      <c r="C675" s="4" t="s">
        <v>1732</v>
      </c>
      <c r="D675" s="3">
        <v>25.032513</v>
      </c>
      <c r="E675" s="3">
        <v>121.50888</v>
      </c>
      <c r="F675" s="3" t="s">
        <v>56</v>
      </c>
      <c r="G675" s="4" t="s">
        <v>4157</v>
      </c>
      <c r="H675" s="3"/>
    </row>
    <row r="676" ht="15.75" customHeight="1">
      <c r="A676" s="4" t="s">
        <v>5521</v>
      </c>
      <c r="B676" s="4" t="s">
        <v>5522</v>
      </c>
      <c r="C676" s="4" t="s">
        <v>1151</v>
      </c>
      <c r="D676" s="3">
        <v>25.032941</v>
      </c>
      <c r="E676" s="3">
        <v>121.50808</v>
      </c>
      <c r="F676" s="3" t="s">
        <v>56</v>
      </c>
      <c r="G676" s="4" t="s">
        <v>4157</v>
      </c>
      <c r="H676" s="3"/>
    </row>
    <row r="677" ht="15.75" customHeight="1">
      <c r="A677" s="4" t="s">
        <v>5523</v>
      </c>
      <c r="B677" s="4" t="s">
        <v>5524</v>
      </c>
      <c r="C677" s="4" t="s">
        <v>1517</v>
      </c>
      <c r="D677" s="3">
        <v>25.033099</v>
      </c>
      <c r="E677" s="3">
        <v>121.508741</v>
      </c>
      <c r="F677" s="3" t="s">
        <v>56</v>
      </c>
      <c r="G677" s="4" t="s">
        <v>4157</v>
      </c>
      <c r="H677" s="3"/>
    </row>
    <row r="678" ht="15.75" customHeight="1">
      <c r="A678" s="4" t="s">
        <v>5525</v>
      </c>
      <c r="B678" s="4" t="s">
        <v>5526</v>
      </c>
      <c r="C678" s="4" t="s">
        <v>1523</v>
      </c>
      <c r="D678" s="3">
        <v>25.033191</v>
      </c>
      <c r="E678" s="3">
        <v>121.508537</v>
      </c>
      <c r="F678" s="3" t="s">
        <v>56</v>
      </c>
      <c r="G678" s="4" t="s">
        <v>4157</v>
      </c>
      <c r="H678" s="3"/>
    </row>
    <row r="679" ht="15.75" customHeight="1">
      <c r="A679" s="4" t="s">
        <v>5527</v>
      </c>
      <c r="B679" s="4" t="s">
        <v>5528</v>
      </c>
      <c r="C679" s="4" t="s">
        <v>1145</v>
      </c>
      <c r="D679" s="3">
        <v>25.032429</v>
      </c>
      <c r="E679" s="3">
        <v>121.508374</v>
      </c>
      <c r="F679" s="3" t="s">
        <v>56</v>
      </c>
      <c r="G679" s="4" t="s">
        <v>4157</v>
      </c>
      <c r="H679" s="3"/>
    </row>
    <row r="680" ht="15.75" customHeight="1">
      <c r="A680" s="4" t="s">
        <v>5529</v>
      </c>
      <c r="B680" s="4" t="s">
        <v>5530</v>
      </c>
      <c r="C680" s="4" t="s">
        <v>1130</v>
      </c>
      <c r="D680" s="3">
        <v>25.032563</v>
      </c>
      <c r="E680" s="3">
        <v>121.508072</v>
      </c>
      <c r="F680" s="3" t="s">
        <v>56</v>
      </c>
      <c r="G680" s="4" t="s">
        <v>4157</v>
      </c>
      <c r="H680" s="3"/>
    </row>
    <row r="681" ht="15.75" customHeight="1">
      <c r="A681" s="4" t="s">
        <v>5531</v>
      </c>
      <c r="B681" s="4" t="s">
        <v>5532</v>
      </c>
      <c r="C681" s="4" t="s">
        <v>1740</v>
      </c>
      <c r="D681" s="3">
        <v>25.033059</v>
      </c>
      <c r="E681" s="3">
        <v>121.508971</v>
      </c>
      <c r="F681" s="3" t="s">
        <v>56</v>
      </c>
      <c r="G681" s="4" t="s">
        <v>4157</v>
      </c>
      <c r="H681" s="3"/>
    </row>
    <row r="682" ht="15.75" customHeight="1">
      <c r="A682" s="4" t="s">
        <v>5533</v>
      </c>
      <c r="B682" s="4" t="s">
        <v>5534</v>
      </c>
      <c r="C682" s="4" t="s">
        <v>1142</v>
      </c>
      <c r="D682" s="3">
        <v>25.032148</v>
      </c>
      <c r="E682" s="3">
        <v>121.50824</v>
      </c>
      <c r="F682" s="3" t="s">
        <v>56</v>
      </c>
      <c r="G682" s="4" t="s">
        <v>4157</v>
      </c>
      <c r="H682" s="3"/>
    </row>
    <row r="683" ht="15.75" customHeight="1">
      <c r="A683" s="4" t="s">
        <v>5535</v>
      </c>
      <c r="B683" s="4" t="s">
        <v>5536</v>
      </c>
      <c r="C683" s="4" t="s">
        <v>1135</v>
      </c>
      <c r="D683" s="3">
        <v>25.032477</v>
      </c>
      <c r="E683" s="3">
        <v>121.510816</v>
      </c>
      <c r="F683" s="3" t="s">
        <v>44</v>
      </c>
      <c r="G683" s="4" t="s">
        <v>4157</v>
      </c>
      <c r="H683" s="3"/>
    </row>
    <row r="684" ht="15.75" customHeight="1">
      <c r="A684" s="4" t="s">
        <v>5537</v>
      </c>
      <c r="B684" s="4" t="s">
        <v>5538</v>
      </c>
      <c r="C684" s="4" t="s">
        <v>3307</v>
      </c>
      <c r="D684" s="3">
        <v>25.032852</v>
      </c>
      <c r="E684" s="3">
        <v>121.50861</v>
      </c>
      <c r="F684" s="3" t="s">
        <v>56</v>
      </c>
      <c r="G684" s="4" t="s">
        <v>4157</v>
      </c>
      <c r="H684" s="3"/>
    </row>
    <row r="685" ht="15.75" customHeight="1">
      <c r="A685" s="4" t="s">
        <v>5539</v>
      </c>
      <c r="B685" s="4" t="s">
        <v>5540</v>
      </c>
      <c r="C685" s="4" t="s">
        <v>3685</v>
      </c>
      <c r="D685" s="3">
        <v>25.032841</v>
      </c>
      <c r="E685" s="3">
        <v>121.508872</v>
      </c>
      <c r="F685" s="3" t="s">
        <v>56</v>
      </c>
      <c r="G685" s="4" t="s">
        <v>4157</v>
      </c>
      <c r="H685" s="3"/>
    </row>
    <row r="686" ht="15.75" customHeight="1">
      <c r="A686" s="4" t="s">
        <v>5541</v>
      </c>
      <c r="B686" s="4" t="s">
        <v>5542</v>
      </c>
      <c r="C686" s="4" t="s">
        <v>3269</v>
      </c>
      <c r="D686" s="3">
        <v>25.032729</v>
      </c>
      <c r="E686" s="3">
        <v>121.508502</v>
      </c>
      <c r="F686" s="3" t="s">
        <v>56</v>
      </c>
      <c r="G686" s="4" t="s">
        <v>4157</v>
      </c>
      <c r="H686" s="3"/>
    </row>
    <row r="687" ht="15.75" customHeight="1">
      <c r="A687" s="4" t="s">
        <v>5543</v>
      </c>
      <c r="B687" s="4" t="s">
        <v>5544</v>
      </c>
      <c r="C687" s="4" t="s">
        <v>5545</v>
      </c>
      <c r="D687" s="3">
        <v>25.03305</v>
      </c>
      <c r="E687" s="3">
        <v>121.508669</v>
      </c>
      <c r="F687" s="3" t="s">
        <v>56</v>
      </c>
      <c r="G687" s="4" t="s">
        <v>4157</v>
      </c>
      <c r="H687" s="3"/>
    </row>
    <row r="688" ht="15.75" customHeight="1">
      <c r="A688" s="4" t="s">
        <v>5546</v>
      </c>
      <c r="B688" s="4" t="s">
        <v>5547</v>
      </c>
      <c r="C688" s="4" t="s">
        <v>1567</v>
      </c>
      <c r="D688" s="3">
        <v>25.033041</v>
      </c>
      <c r="E688" s="3">
        <v>121.508688</v>
      </c>
      <c r="F688" s="3" t="s">
        <v>56</v>
      </c>
      <c r="G688" s="4" t="s">
        <v>4157</v>
      </c>
      <c r="H688" s="3"/>
    </row>
    <row r="689" ht="15.75" customHeight="1">
      <c r="A689" s="4" t="s">
        <v>5548</v>
      </c>
      <c r="B689" s="4" t="s">
        <v>5549</v>
      </c>
      <c r="C689" s="4" t="s">
        <v>1174</v>
      </c>
      <c r="D689" s="3">
        <v>25.032228</v>
      </c>
      <c r="E689" s="3">
        <v>121.508019</v>
      </c>
      <c r="F689" s="3" t="s">
        <v>56</v>
      </c>
      <c r="G689" s="4" t="s">
        <v>4157</v>
      </c>
      <c r="H689" s="3"/>
    </row>
    <row r="690" ht="15.75" customHeight="1">
      <c r="A690" s="4" t="s">
        <v>5550</v>
      </c>
      <c r="B690" s="4" t="s">
        <v>5551</v>
      </c>
      <c r="C690" s="4" t="s">
        <v>3724</v>
      </c>
      <c r="D690" s="3">
        <v>25.032859</v>
      </c>
      <c r="E690" s="3">
        <v>121.508988</v>
      </c>
      <c r="F690" s="3" t="s">
        <v>56</v>
      </c>
      <c r="G690" s="4" t="s">
        <v>4157</v>
      </c>
      <c r="H690" s="3"/>
    </row>
    <row r="691" ht="15.75" customHeight="1">
      <c r="A691" s="4" t="s">
        <v>5552</v>
      </c>
      <c r="B691" s="4" t="s">
        <v>5553</v>
      </c>
      <c r="C691" s="4" t="s">
        <v>1532</v>
      </c>
      <c r="D691" s="3">
        <v>25.03304</v>
      </c>
      <c r="E691" s="3">
        <v>121.508278</v>
      </c>
      <c r="F691" s="3" t="s">
        <v>56</v>
      </c>
      <c r="G691" s="4" t="s">
        <v>4157</v>
      </c>
      <c r="H691" s="3"/>
    </row>
    <row r="692" ht="15.75" customHeight="1">
      <c r="A692" s="4" t="s">
        <v>5554</v>
      </c>
      <c r="B692" s="4" t="s">
        <v>5555</v>
      </c>
      <c r="C692" s="4" t="s">
        <v>1578</v>
      </c>
      <c r="D692" s="3">
        <v>25.033344</v>
      </c>
      <c r="E692" s="3">
        <v>121.51015</v>
      </c>
      <c r="F692" s="3" t="s">
        <v>44</v>
      </c>
      <c r="G692" s="4" t="s">
        <v>4157</v>
      </c>
      <c r="H692" s="3"/>
    </row>
    <row r="693" ht="15.75" customHeight="1">
      <c r="A693" s="4" t="s">
        <v>5556</v>
      </c>
      <c r="B693" s="4" t="s">
        <v>5557</v>
      </c>
      <c r="C693" s="4" t="s">
        <v>1578</v>
      </c>
      <c r="D693" s="3">
        <v>25.033261</v>
      </c>
      <c r="E693" s="3">
        <v>121.508452</v>
      </c>
      <c r="F693" s="3" t="s">
        <v>56</v>
      </c>
      <c r="G693" s="4" t="s">
        <v>4157</v>
      </c>
      <c r="H693" s="3"/>
    </row>
    <row r="694" ht="15.75" customHeight="1">
      <c r="A694" s="4" t="s">
        <v>5558</v>
      </c>
      <c r="B694" s="4" t="s">
        <v>5559</v>
      </c>
      <c r="C694" s="4" t="s">
        <v>1554</v>
      </c>
      <c r="D694" s="3">
        <v>25.033091</v>
      </c>
      <c r="E694" s="3">
        <v>121.508316</v>
      </c>
      <c r="F694" s="3" t="s">
        <v>56</v>
      </c>
      <c r="G694" s="4" t="s">
        <v>4157</v>
      </c>
      <c r="H694" s="3"/>
    </row>
    <row r="695" ht="15.75" customHeight="1">
      <c r="A695" s="4" t="s">
        <v>5560</v>
      </c>
      <c r="B695" s="4" t="s">
        <v>5561</v>
      </c>
      <c r="C695" s="4" t="s">
        <v>1753</v>
      </c>
      <c r="D695" s="3">
        <v>25.032342</v>
      </c>
      <c r="E695" s="3">
        <v>121.508849</v>
      </c>
      <c r="F695" s="3" t="s">
        <v>56</v>
      </c>
      <c r="G695" s="4" t="s">
        <v>4157</v>
      </c>
      <c r="H695" s="3"/>
    </row>
    <row r="696" ht="15.75" customHeight="1">
      <c r="A696" s="4" t="s">
        <v>5562</v>
      </c>
      <c r="B696" s="4" t="s">
        <v>5563</v>
      </c>
      <c r="C696" s="4" t="s">
        <v>3309</v>
      </c>
      <c r="D696" s="3">
        <v>25.032607</v>
      </c>
      <c r="E696" s="3">
        <v>121.5105</v>
      </c>
      <c r="F696" s="3" t="s">
        <v>44</v>
      </c>
      <c r="G696" s="4" t="s">
        <v>4157</v>
      </c>
      <c r="H696" s="3"/>
    </row>
    <row r="697" ht="15.75" customHeight="1">
      <c r="A697" s="4" t="s">
        <v>5564</v>
      </c>
      <c r="B697" s="4" t="s">
        <v>5565</v>
      </c>
      <c r="C697" s="4" t="s">
        <v>3296</v>
      </c>
      <c r="D697" s="3">
        <v>25.032803</v>
      </c>
      <c r="E697" s="3">
        <v>121.50841</v>
      </c>
      <c r="F697" s="3" t="s">
        <v>56</v>
      </c>
      <c r="G697" s="4" t="s">
        <v>4157</v>
      </c>
      <c r="H697" s="3"/>
    </row>
    <row r="698" ht="15.75" customHeight="1">
      <c r="A698" s="4" t="s">
        <v>5566</v>
      </c>
      <c r="B698" s="4" t="s">
        <v>5567</v>
      </c>
      <c r="C698" s="4" t="s">
        <v>3713</v>
      </c>
      <c r="D698" s="3">
        <v>25.032986</v>
      </c>
      <c r="E698" s="3">
        <v>121.508932</v>
      </c>
      <c r="F698" s="3" t="s">
        <v>56</v>
      </c>
      <c r="G698" s="4" t="s">
        <v>4157</v>
      </c>
      <c r="H698" s="3"/>
    </row>
    <row r="699" ht="15.75" customHeight="1">
      <c r="A699" s="4" t="s">
        <v>5568</v>
      </c>
      <c r="B699" s="4" t="s">
        <v>5569</v>
      </c>
      <c r="C699" s="4" t="s">
        <v>1521</v>
      </c>
      <c r="D699" s="3">
        <v>25.033016</v>
      </c>
      <c r="E699" s="3">
        <v>121.508588</v>
      </c>
      <c r="F699" s="3" t="s">
        <v>56</v>
      </c>
      <c r="G699" s="4" t="s">
        <v>4157</v>
      </c>
      <c r="H699" s="3"/>
    </row>
    <row r="700" ht="15.75" customHeight="1">
      <c r="A700" s="4" t="s">
        <v>5570</v>
      </c>
      <c r="B700" s="4" t="s">
        <v>5571</v>
      </c>
      <c r="C700" s="4" t="s">
        <v>1565</v>
      </c>
      <c r="D700" s="3">
        <v>25.033002</v>
      </c>
      <c r="E700" s="3">
        <v>121.508505</v>
      </c>
      <c r="F700" s="3" t="s">
        <v>56</v>
      </c>
      <c r="G700" s="4" t="s">
        <v>4157</v>
      </c>
      <c r="H700" s="3"/>
    </row>
    <row r="701" ht="15.75" customHeight="1">
      <c r="A701" s="4" t="s">
        <v>5572</v>
      </c>
      <c r="B701" s="4" t="s">
        <v>5573</v>
      </c>
      <c r="C701" s="4" t="s">
        <v>1162</v>
      </c>
      <c r="D701" s="3">
        <v>25.032246</v>
      </c>
      <c r="E701" s="3">
        <v>121.509701</v>
      </c>
      <c r="F701" s="3" t="s">
        <v>44</v>
      </c>
      <c r="G701" s="4" t="s">
        <v>4157</v>
      </c>
      <c r="H701" s="3"/>
    </row>
    <row r="702" ht="15.75" customHeight="1">
      <c r="A702" s="4" t="s">
        <v>5574</v>
      </c>
      <c r="B702" s="4" t="s">
        <v>5575</v>
      </c>
      <c r="C702" s="4" t="s">
        <v>1552</v>
      </c>
      <c r="D702" s="3">
        <v>25.033124</v>
      </c>
      <c r="E702" s="3">
        <v>121.5087</v>
      </c>
      <c r="F702" s="3" t="s">
        <v>56</v>
      </c>
      <c r="G702" s="4" t="s">
        <v>4157</v>
      </c>
      <c r="H702" s="3"/>
    </row>
    <row r="703" ht="15.75" customHeight="1">
      <c r="A703" s="4" t="s">
        <v>5576</v>
      </c>
      <c r="B703" s="4" t="s">
        <v>5577</v>
      </c>
      <c r="C703" s="4" t="s">
        <v>1696</v>
      </c>
      <c r="D703" s="3">
        <v>25.032361</v>
      </c>
      <c r="E703" s="3">
        <v>121.508915</v>
      </c>
      <c r="F703" s="3" t="s">
        <v>56</v>
      </c>
      <c r="G703" s="4" t="s">
        <v>4157</v>
      </c>
      <c r="H703" s="3"/>
    </row>
    <row r="704" ht="15.75" customHeight="1">
      <c r="A704" s="4" t="s">
        <v>5578</v>
      </c>
      <c r="B704" s="4" t="s">
        <v>5579</v>
      </c>
      <c r="C704" s="4" t="s">
        <v>1165</v>
      </c>
      <c r="D704" s="3">
        <v>25.032946</v>
      </c>
      <c r="E704" s="3">
        <v>121.508156</v>
      </c>
      <c r="F704" s="3" t="s">
        <v>56</v>
      </c>
      <c r="G704" s="4" t="s">
        <v>4157</v>
      </c>
      <c r="H704" s="3"/>
    </row>
    <row r="705" ht="15.75" customHeight="1">
      <c r="A705" s="4" t="s">
        <v>5580</v>
      </c>
      <c r="B705" s="4" t="s">
        <v>5581</v>
      </c>
      <c r="C705" s="4" t="s">
        <v>3726</v>
      </c>
      <c r="D705" s="3">
        <v>25.032872</v>
      </c>
      <c r="E705" s="3">
        <v>121.508936</v>
      </c>
      <c r="F705" s="3" t="s">
        <v>56</v>
      </c>
      <c r="G705" s="4" t="s">
        <v>4157</v>
      </c>
      <c r="H705" s="3"/>
    </row>
    <row r="706" ht="15.75" customHeight="1">
      <c r="A706" s="4" t="s">
        <v>5582</v>
      </c>
      <c r="B706" s="4" t="s">
        <v>5583</v>
      </c>
      <c r="C706" s="4" t="s">
        <v>1560</v>
      </c>
      <c r="D706" s="3">
        <v>25.033109</v>
      </c>
      <c r="E706" s="3">
        <v>121.508337</v>
      </c>
      <c r="F706" s="3" t="s">
        <v>56</v>
      </c>
      <c r="G706" s="4" t="s">
        <v>4157</v>
      </c>
      <c r="H706" s="3"/>
    </row>
    <row r="707" ht="15.75" customHeight="1">
      <c r="A707" s="4" t="s">
        <v>5584</v>
      </c>
      <c r="B707" s="4" t="s">
        <v>5585</v>
      </c>
      <c r="C707" s="4" t="s">
        <v>1542</v>
      </c>
      <c r="D707" s="3">
        <v>25.033044</v>
      </c>
      <c r="E707" s="3">
        <v>121.508376</v>
      </c>
      <c r="F707" s="3" t="s">
        <v>56</v>
      </c>
      <c r="G707" s="4" t="s">
        <v>4157</v>
      </c>
      <c r="H707" s="3"/>
    </row>
    <row r="708" ht="15.75" customHeight="1">
      <c r="A708" s="4" t="s">
        <v>5586</v>
      </c>
      <c r="B708" s="4" t="s">
        <v>5587</v>
      </c>
      <c r="C708" s="4" t="s">
        <v>1769</v>
      </c>
      <c r="D708" s="3">
        <v>25.032286</v>
      </c>
      <c r="E708" s="3">
        <v>121.508858</v>
      </c>
      <c r="F708" s="3" t="s">
        <v>56</v>
      </c>
      <c r="G708" s="4" t="s">
        <v>4157</v>
      </c>
      <c r="H708" s="3"/>
    </row>
    <row r="709" ht="15.75" customHeight="1">
      <c r="A709" s="4" t="s">
        <v>5588</v>
      </c>
      <c r="B709" s="4" t="s">
        <v>5589</v>
      </c>
      <c r="C709" s="4" t="s">
        <v>1157</v>
      </c>
      <c r="D709" s="3">
        <v>25.032492</v>
      </c>
      <c r="E709" s="3">
        <v>121.50823</v>
      </c>
      <c r="F709" s="3" t="s">
        <v>56</v>
      </c>
      <c r="G709" s="4" t="s">
        <v>4157</v>
      </c>
      <c r="H709" s="3"/>
    </row>
    <row r="710" ht="15.75" customHeight="1">
      <c r="A710" s="4" t="s">
        <v>5590</v>
      </c>
      <c r="B710" s="4" t="s">
        <v>5591</v>
      </c>
      <c r="C710" s="4" t="s">
        <v>3298</v>
      </c>
      <c r="D710" s="3">
        <v>25.032785</v>
      </c>
      <c r="E710" s="3">
        <v>121.508289</v>
      </c>
      <c r="F710" s="3" t="s">
        <v>56</v>
      </c>
      <c r="G710" s="4" t="s">
        <v>4157</v>
      </c>
      <c r="H710" s="3"/>
    </row>
    <row r="711" ht="15.75" customHeight="1">
      <c r="A711" s="4" t="s">
        <v>5592</v>
      </c>
      <c r="B711" s="4" t="s">
        <v>5593</v>
      </c>
      <c r="C711" s="4" t="s">
        <v>1171</v>
      </c>
      <c r="D711" s="3">
        <v>25.032608</v>
      </c>
      <c r="E711" s="3">
        <v>121.508179</v>
      </c>
      <c r="F711" s="3" t="s">
        <v>56</v>
      </c>
      <c r="G711" s="4" t="s">
        <v>4157</v>
      </c>
      <c r="H711" s="3"/>
    </row>
    <row r="712" ht="15.75" customHeight="1">
      <c r="A712" s="4" t="s">
        <v>5594</v>
      </c>
      <c r="B712" s="4" t="s">
        <v>5595</v>
      </c>
      <c r="C712" s="4" t="s">
        <v>1763</v>
      </c>
      <c r="D712" s="3">
        <v>25.031903</v>
      </c>
      <c r="E712" s="3">
        <v>121.510075</v>
      </c>
      <c r="F712" s="3" t="s">
        <v>44</v>
      </c>
      <c r="G712" s="4" t="s">
        <v>4157</v>
      </c>
      <c r="H712" s="3"/>
    </row>
    <row r="713" ht="15.75" customHeight="1">
      <c r="A713" s="4" t="s">
        <v>5596</v>
      </c>
      <c r="B713" s="4" t="s">
        <v>5597</v>
      </c>
      <c r="C713" s="4" t="s">
        <v>3316</v>
      </c>
      <c r="D713" s="3">
        <v>25.032863</v>
      </c>
      <c r="E713" s="3">
        <v>121.508428</v>
      </c>
      <c r="F713" s="3" t="s">
        <v>56</v>
      </c>
      <c r="G713" s="4" t="s">
        <v>4157</v>
      </c>
      <c r="H713" s="3"/>
    </row>
    <row r="714" ht="15.75" customHeight="1">
      <c r="A714" s="4" t="s">
        <v>5598</v>
      </c>
      <c r="B714" s="4" t="s">
        <v>5599</v>
      </c>
      <c r="C714" s="4" t="s">
        <v>3720</v>
      </c>
      <c r="D714" s="3">
        <v>25.032946</v>
      </c>
      <c r="E714" s="3">
        <v>121.508935</v>
      </c>
      <c r="F714" s="3" t="s">
        <v>56</v>
      </c>
      <c r="G714" s="4" t="s">
        <v>4157</v>
      </c>
      <c r="H714" s="3"/>
    </row>
    <row r="715" ht="15.75" customHeight="1">
      <c r="A715" s="4" t="s">
        <v>5600</v>
      </c>
      <c r="B715" s="4" t="s">
        <v>5601</v>
      </c>
      <c r="C715" s="4" t="s">
        <v>1581</v>
      </c>
      <c r="D715" s="3">
        <v>25.03307</v>
      </c>
      <c r="E715" s="3">
        <v>121.508396</v>
      </c>
      <c r="F715" s="3" t="s">
        <v>56</v>
      </c>
      <c r="G715" s="4" t="s">
        <v>4157</v>
      </c>
      <c r="H715" s="3"/>
    </row>
    <row r="716" ht="15.75" customHeight="1">
      <c r="A716" s="4" t="s">
        <v>5602</v>
      </c>
      <c r="B716" s="4" t="s">
        <v>5603</v>
      </c>
      <c r="C716" s="4" t="s">
        <v>1589</v>
      </c>
      <c r="D716" s="3">
        <v>25.033171</v>
      </c>
      <c r="E716" s="3">
        <v>121.508508</v>
      </c>
      <c r="F716" s="3" t="s">
        <v>56</v>
      </c>
      <c r="G716" s="4" t="s">
        <v>4157</v>
      </c>
      <c r="H716" s="3"/>
    </row>
    <row r="717" ht="15.75" customHeight="1">
      <c r="A717" s="4" t="s">
        <v>5604</v>
      </c>
      <c r="B717" s="4" t="s">
        <v>5605</v>
      </c>
      <c r="C717" s="4" t="s">
        <v>1708</v>
      </c>
      <c r="D717" s="3">
        <v>25.032346</v>
      </c>
      <c r="E717" s="3">
        <v>121.508865</v>
      </c>
      <c r="F717" s="3" t="s">
        <v>56</v>
      </c>
      <c r="G717" s="4" t="s">
        <v>4157</v>
      </c>
      <c r="H717" s="3"/>
    </row>
    <row r="718" ht="15.75" customHeight="1">
      <c r="A718" s="4" t="s">
        <v>5606</v>
      </c>
      <c r="B718" s="4" t="s">
        <v>5607</v>
      </c>
      <c r="C718" s="4" t="s">
        <v>5608</v>
      </c>
      <c r="D718" s="3">
        <v>25.032716</v>
      </c>
      <c r="E718" s="3">
        <v>121.508771</v>
      </c>
      <c r="F718" s="3" t="s">
        <v>56</v>
      </c>
      <c r="G718" s="4" t="s">
        <v>4157</v>
      </c>
      <c r="H718" s="3"/>
    </row>
    <row r="719" ht="15.75" customHeight="1">
      <c r="A719" s="4" t="s">
        <v>5609</v>
      </c>
      <c r="B719" s="4" t="s">
        <v>5610</v>
      </c>
      <c r="C719" s="4" t="s">
        <v>1608</v>
      </c>
      <c r="D719" s="3">
        <v>25.033022</v>
      </c>
      <c r="E719" s="3">
        <v>121.508611</v>
      </c>
      <c r="F719" s="3" t="s">
        <v>56</v>
      </c>
      <c r="G719" s="4" t="s">
        <v>4157</v>
      </c>
      <c r="H719" s="3"/>
    </row>
    <row r="720" ht="15.75" customHeight="1">
      <c r="A720" s="4" t="s">
        <v>5611</v>
      </c>
      <c r="B720" s="4" t="s">
        <v>5612</v>
      </c>
      <c r="C720" s="4" t="s">
        <v>1195</v>
      </c>
      <c r="D720" s="3">
        <v>25.032211</v>
      </c>
      <c r="E720" s="3">
        <v>121.508075</v>
      </c>
      <c r="F720" s="3" t="s">
        <v>56</v>
      </c>
      <c r="G720" s="4" t="s">
        <v>4157</v>
      </c>
      <c r="H720" s="3"/>
    </row>
    <row r="721" ht="15.75" customHeight="1">
      <c r="A721" s="4" t="s">
        <v>5613</v>
      </c>
      <c r="B721" s="4" t="s">
        <v>5614</v>
      </c>
      <c r="C721" s="4" t="s">
        <v>3292</v>
      </c>
      <c r="D721" s="3">
        <v>25.032801</v>
      </c>
      <c r="E721" s="3">
        <v>121.508681</v>
      </c>
      <c r="F721" s="3" t="s">
        <v>56</v>
      </c>
      <c r="G721" s="4" t="s">
        <v>4157</v>
      </c>
      <c r="H721" s="3"/>
    </row>
    <row r="722" ht="15.75" customHeight="1">
      <c r="A722" s="4" t="s">
        <v>5615</v>
      </c>
      <c r="B722" s="4" t="s">
        <v>5616</v>
      </c>
      <c r="C722" s="4" t="s">
        <v>3745</v>
      </c>
      <c r="D722" s="3">
        <v>25.032872</v>
      </c>
      <c r="E722" s="3">
        <v>121.508974</v>
      </c>
      <c r="F722" s="3" t="s">
        <v>56</v>
      </c>
      <c r="G722" s="4" t="s">
        <v>4157</v>
      </c>
      <c r="H722" s="3"/>
    </row>
    <row r="723" ht="15.75" customHeight="1">
      <c r="A723" s="4" t="s">
        <v>5617</v>
      </c>
      <c r="B723" s="4" t="s">
        <v>5618</v>
      </c>
      <c r="C723" s="4" t="s">
        <v>1767</v>
      </c>
      <c r="D723" s="3">
        <v>25.032522</v>
      </c>
      <c r="E723" s="3">
        <v>121.510988</v>
      </c>
      <c r="F723" s="3" t="s">
        <v>44</v>
      </c>
      <c r="G723" s="4" t="s">
        <v>4157</v>
      </c>
      <c r="H723" s="3"/>
    </row>
    <row r="724" ht="15.75" customHeight="1">
      <c r="A724" s="4" t="s">
        <v>5619</v>
      </c>
      <c r="B724" s="4" t="s">
        <v>5620</v>
      </c>
      <c r="C724" s="4" t="s">
        <v>1686</v>
      </c>
      <c r="D724" s="3">
        <v>25.032498</v>
      </c>
      <c r="E724" s="3">
        <v>121.508832</v>
      </c>
      <c r="F724" s="3" t="s">
        <v>56</v>
      </c>
      <c r="G724" s="4" t="s">
        <v>4157</v>
      </c>
      <c r="H724" s="3"/>
    </row>
    <row r="725" ht="15.75" customHeight="1">
      <c r="A725" s="4" t="s">
        <v>5621</v>
      </c>
      <c r="B725" s="4" t="s">
        <v>5622</v>
      </c>
      <c r="C725" s="4" t="s">
        <v>1186</v>
      </c>
      <c r="D725" s="3">
        <v>25.032588</v>
      </c>
      <c r="E725" s="3">
        <v>121.508116</v>
      </c>
      <c r="F725" s="3" t="s">
        <v>56</v>
      </c>
      <c r="G725" s="4" t="s">
        <v>4157</v>
      </c>
      <c r="H725" s="3"/>
    </row>
    <row r="726" ht="15.75" customHeight="1">
      <c r="A726" s="4" t="s">
        <v>5623</v>
      </c>
      <c r="B726" s="4" t="s">
        <v>5624</v>
      </c>
      <c r="C726" s="4" t="s">
        <v>1180</v>
      </c>
      <c r="D726" s="3">
        <v>25.032753</v>
      </c>
      <c r="E726" s="3">
        <v>121.508076</v>
      </c>
      <c r="F726" s="3" t="s">
        <v>56</v>
      </c>
      <c r="G726" s="4" t="s">
        <v>4157</v>
      </c>
      <c r="H726" s="3"/>
    </row>
    <row r="727" ht="15.75" customHeight="1">
      <c r="A727" s="4" t="s">
        <v>5625</v>
      </c>
      <c r="B727" s="4" t="s">
        <v>5626</v>
      </c>
      <c r="C727" s="4" t="s">
        <v>1719</v>
      </c>
      <c r="D727" s="3">
        <v>25.032857</v>
      </c>
      <c r="E727" s="3">
        <v>121.509367</v>
      </c>
      <c r="F727" s="3" t="s">
        <v>130</v>
      </c>
      <c r="G727" s="4" t="s">
        <v>4157</v>
      </c>
      <c r="H727" s="3"/>
    </row>
    <row r="728" ht="15.75" customHeight="1">
      <c r="A728" s="4" t="s">
        <v>5627</v>
      </c>
      <c r="B728" s="4" t="s">
        <v>5628</v>
      </c>
      <c r="C728" s="4" t="s">
        <v>1615</v>
      </c>
      <c r="D728" s="3">
        <v>25.032976</v>
      </c>
      <c r="E728" s="3">
        <v>121.508507</v>
      </c>
      <c r="F728" s="3" t="s">
        <v>56</v>
      </c>
      <c r="G728" s="4" t="s">
        <v>4157</v>
      </c>
      <c r="H728" s="3"/>
    </row>
    <row r="729" ht="15.75" customHeight="1">
      <c r="A729" s="4" t="s">
        <v>5629</v>
      </c>
      <c r="B729" s="4" t="s">
        <v>5630</v>
      </c>
      <c r="C729" s="4" t="s">
        <v>1750</v>
      </c>
      <c r="D729" s="3">
        <v>25.032522</v>
      </c>
      <c r="E729" s="3">
        <v>121.508866</v>
      </c>
      <c r="F729" s="3" t="s">
        <v>56</v>
      </c>
      <c r="G729" s="4" t="s">
        <v>4157</v>
      </c>
      <c r="H729" s="3"/>
    </row>
    <row r="730" ht="15.75" customHeight="1">
      <c r="A730" s="4" t="s">
        <v>5631</v>
      </c>
      <c r="B730" s="4" t="s">
        <v>5632</v>
      </c>
      <c r="C730" s="4" t="s">
        <v>1617</v>
      </c>
      <c r="D730" s="3">
        <v>25.033083</v>
      </c>
      <c r="E730" s="3">
        <v>121.508329</v>
      </c>
      <c r="F730" s="3" t="s">
        <v>56</v>
      </c>
      <c r="G730" s="9" t="s">
        <v>1450</v>
      </c>
      <c r="H730" s="3"/>
    </row>
    <row r="731" ht="15.75" customHeight="1">
      <c r="A731" s="4" t="s">
        <v>5633</v>
      </c>
      <c r="B731" s="4" t="s">
        <v>5634</v>
      </c>
      <c r="C731" s="4" t="s">
        <v>1612</v>
      </c>
      <c r="D731" s="3">
        <v>25.033102</v>
      </c>
      <c r="E731" s="3">
        <v>121.508365</v>
      </c>
      <c r="F731" s="3" t="s">
        <v>56</v>
      </c>
      <c r="G731" s="9" t="s">
        <v>1450</v>
      </c>
      <c r="H731" s="3"/>
    </row>
    <row r="732" ht="15.75" customHeight="1">
      <c r="A732" s="4" t="s">
        <v>5635</v>
      </c>
      <c r="B732" s="4" t="s">
        <v>5636</v>
      </c>
      <c r="C732" s="4" t="s">
        <v>3328</v>
      </c>
      <c r="D732" s="3">
        <v>25.032925</v>
      </c>
      <c r="E732" s="3">
        <v>121.508654</v>
      </c>
      <c r="F732" s="3" t="s">
        <v>56</v>
      </c>
      <c r="G732" s="4" t="s">
        <v>4157</v>
      </c>
      <c r="H732" s="3"/>
    </row>
    <row r="733" ht="15.75" customHeight="1">
      <c r="A733" s="4" t="s">
        <v>5637</v>
      </c>
      <c r="B733" s="4" t="s">
        <v>5638</v>
      </c>
      <c r="C733" s="4" t="s">
        <v>1167</v>
      </c>
      <c r="D733" s="3">
        <v>25.03294</v>
      </c>
      <c r="E733" s="3">
        <v>121.50801</v>
      </c>
      <c r="F733" s="3" t="s">
        <v>56</v>
      </c>
      <c r="G733" s="4" t="s">
        <v>4157</v>
      </c>
      <c r="H733" s="3"/>
    </row>
    <row r="734" ht="15.75" customHeight="1">
      <c r="A734" s="4" t="s">
        <v>5639</v>
      </c>
      <c r="B734" s="4" t="s">
        <v>5640</v>
      </c>
      <c r="C734" s="4" t="s">
        <v>3322</v>
      </c>
      <c r="D734" s="3">
        <v>25.03237</v>
      </c>
      <c r="E734" s="3">
        <v>121.508937</v>
      </c>
      <c r="F734" s="3" t="s">
        <v>56</v>
      </c>
      <c r="G734" s="4" t="s">
        <v>4157</v>
      </c>
      <c r="H734" s="3"/>
    </row>
    <row r="735" ht="15.75" customHeight="1">
      <c r="A735" s="4" t="s">
        <v>5641</v>
      </c>
      <c r="B735" s="4" t="s">
        <v>5642</v>
      </c>
      <c r="C735" s="4" t="s">
        <v>3741</v>
      </c>
      <c r="D735" s="3">
        <v>25.032839</v>
      </c>
      <c r="E735" s="3">
        <v>121.508829</v>
      </c>
      <c r="F735" s="3" t="s">
        <v>56</v>
      </c>
      <c r="G735" s="4" t="s">
        <v>4157</v>
      </c>
      <c r="H735" s="3"/>
    </row>
    <row r="736" ht="15.75" customHeight="1">
      <c r="A736" s="4" t="s">
        <v>5643</v>
      </c>
      <c r="B736" s="4" t="s">
        <v>5644</v>
      </c>
      <c r="C736" s="4" t="s">
        <v>1761</v>
      </c>
      <c r="D736" s="3">
        <v>25.032459</v>
      </c>
      <c r="E736" s="3">
        <v>121.508894</v>
      </c>
      <c r="F736" s="3" t="s">
        <v>56</v>
      </c>
      <c r="G736" s="4" t="s">
        <v>4157</v>
      </c>
      <c r="H736" s="3"/>
    </row>
    <row r="737" ht="15.75" customHeight="1">
      <c r="A737" s="4" t="s">
        <v>5645</v>
      </c>
      <c r="B737" s="4" t="s">
        <v>5646</v>
      </c>
      <c r="C737" s="4" t="s">
        <v>1773</v>
      </c>
      <c r="D737" s="3">
        <v>25.032322</v>
      </c>
      <c r="E737" s="3">
        <v>121.508916</v>
      </c>
      <c r="F737" s="3" t="s">
        <v>56</v>
      </c>
      <c r="G737" s="4" t="s">
        <v>4157</v>
      </c>
      <c r="H737" s="3"/>
    </row>
    <row r="738" ht="15.75" customHeight="1">
      <c r="A738" s="4" t="s">
        <v>5647</v>
      </c>
      <c r="B738" s="4" t="s">
        <v>5648</v>
      </c>
      <c r="C738" s="4" t="s">
        <v>1771</v>
      </c>
      <c r="D738" s="3">
        <v>25.032595</v>
      </c>
      <c r="E738" s="3">
        <v>121.50873</v>
      </c>
      <c r="F738" s="3" t="s">
        <v>56</v>
      </c>
      <c r="G738" s="4" t="s">
        <v>4157</v>
      </c>
      <c r="H738" s="3"/>
    </row>
    <row r="739" ht="15.75" customHeight="1">
      <c r="A739" s="4" t="s">
        <v>5649</v>
      </c>
      <c r="B739" s="4" t="s">
        <v>5650</v>
      </c>
      <c r="C739" s="4" t="s">
        <v>5651</v>
      </c>
      <c r="D739" s="3">
        <v>25.03237</v>
      </c>
      <c r="E739" s="3">
        <v>121.508937</v>
      </c>
      <c r="F739" s="3" t="s">
        <v>56</v>
      </c>
      <c r="G739" s="4" t="s">
        <v>4157</v>
      </c>
      <c r="H739" s="3"/>
    </row>
    <row r="740" ht="15.75" customHeight="1">
      <c r="A740" s="4" t="s">
        <v>5652</v>
      </c>
      <c r="B740" s="4" t="s">
        <v>5653</v>
      </c>
      <c r="C740" s="4" t="s">
        <v>1199</v>
      </c>
      <c r="D740" s="3">
        <v>25.032183</v>
      </c>
      <c r="E740" s="3">
        <v>121.508244</v>
      </c>
      <c r="F740" s="3" t="s">
        <v>56</v>
      </c>
      <c r="G740" s="4" t="s">
        <v>4157</v>
      </c>
      <c r="H740" s="3"/>
    </row>
    <row r="741" ht="15.75" customHeight="1">
      <c r="A741" s="4" t="s">
        <v>5654</v>
      </c>
      <c r="B741" s="4" t="s">
        <v>5655</v>
      </c>
      <c r="C741" s="4" t="s">
        <v>3717</v>
      </c>
      <c r="D741" s="3">
        <v>25.033023</v>
      </c>
      <c r="E741" s="3">
        <v>121.508994</v>
      </c>
      <c r="F741" s="3" t="s">
        <v>56</v>
      </c>
      <c r="G741" s="4" t="s">
        <v>4157</v>
      </c>
      <c r="H741" s="3"/>
    </row>
    <row r="742" ht="15.75" customHeight="1">
      <c r="A742" s="4" t="s">
        <v>5656</v>
      </c>
      <c r="B742" s="4" t="s">
        <v>5657</v>
      </c>
      <c r="C742" s="4" t="s">
        <v>1651</v>
      </c>
      <c r="D742" s="3">
        <v>25.033039</v>
      </c>
      <c r="E742" s="3">
        <v>121.508753</v>
      </c>
      <c r="F742" s="3" t="s">
        <v>56</v>
      </c>
      <c r="G742" s="4" t="s">
        <v>4157</v>
      </c>
      <c r="H742" s="3"/>
    </row>
    <row r="743" ht="15.75" customHeight="1">
      <c r="A743" s="4" t="s">
        <v>5658</v>
      </c>
      <c r="B743" s="4" t="s">
        <v>5659</v>
      </c>
      <c r="C743" s="4" t="s">
        <v>3339</v>
      </c>
      <c r="D743" s="3">
        <v>25.032743</v>
      </c>
      <c r="E743" s="3">
        <v>121.508622</v>
      </c>
      <c r="F743" s="3" t="s">
        <v>56</v>
      </c>
      <c r="G743" s="4" t="s">
        <v>4157</v>
      </c>
      <c r="H743" s="3"/>
    </row>
    <row r="744" ht="15.75" customHeight="1">
      <c r="A744" s="4" t="s">
        <v>5660</v>
      </c>
      <c r="B744" s="4" t="s">
        <v>5661</v>
      </c>
      <c r="C744" s="4" t="s">
        <v>1755</v>
      </c>
      <c r="D744" s="3">
        <v>25.032226</v>
      </c>
      <c r="E744" s="3">
        <v>121.508935</v>
      </c>
      <c r="F744" s="3" t="s">
        <v>56</v>
      </c>
      <c r="G744" s="4" t="s">
        <v>4157</v>
      </c>
      <c r="H744" s="3"/>
    </row>
    <row r="745" ht="15.75" customHeight="1">
      <c r="A745" s="4" t="s">
        <v>5662</v>
      </c>
      <c r="B745" s="4" t="s">
        <v>5663</v>
      </c>
      <c r="C745" s="4" t="s">
        <v>3749</v>
      </c>
      <c r="D745" s="3">
        <v>25.032966</v>
      </c>
      <c r="E745" s="3">
        <v>121.509092</v>
      </c>
      <c r="F745" s="3" t="s">
        <v>130</v>
      </c>
      <c r="G745" s="4" t="s">
        <v>4157</v>
      </c>
      <c r="H745" s="3"/>
    </row>
    <row r="746" ht="15.75" customHeight="1">
      <c r="A746" s="4" t="s">
        <v>5664</v>
      </c>
      <c r="B746" s="4" t="s">
        <v>5665</v>
      </c>
      <c r="C746" s="4" t="s">
        <v>1649</v>
      </c>
      <c r="D746" s="3">
        <v>25.033042</v>
      </c>
      <c r="E746" s="3">
        <v>121.508549</v>
      </c>
      <c r="F746" s="3" t="s">
        <v>56</v>
      </c>
      <c r="G746" s="4" t="s">
        <v>4157</v>
      </c>
      <c r="H746" s="3"/>
    </row>
    <row r="747" ht="15.75" customHeight="1">
      <c r="A747" s="4" t="s">
        <v>5666</v>
      </c>
      <c r="B747" s="4" t="s">
        <v>5667</v>
      </c>
      <c r="C747" s="4" t="s">
        <v>1637</v>
      </c>
      <c r="D747" s="3">
        <v>25.033096</v>
      </c>
      <c r="E747" s="3">
        <v>121.508425</v>
      </c>
      <c r="F747" s="3" t="s">
        <v>56</v>
      </c>
      <c r="G747" s="4" t="s">
        <v>4157</v>
      </c>
      <c r="H747" s="3"/>
    </row>
    <row r="748" ht="15.75" customHeight="1">
      <c r="A748" s="4" t="s">
        <v>5668</v>
      </c>
      <c r="B748" s="4" t="s">
        <v>5669</v>
      </c>
      <c r="C748" s="4" t="s">
        <v>3337</v>
      </c>
      <c r="D748" s="3">
        <v>25.032864</v>
      </c>
      <c r="E748" s="3">
        <v>121.508454</v>
      </c>
      <c r="F748" s="3" t="s">
        <v>56</v>
      </c>
      <c r="G748" s="4" t="s">
        <v>4157</v>
      </c>
      <c r="H748" s="3"/>
    </row>
    <row r="749" ht="15.75" customHeight="1">
      <c r="A749" s="4" t="s">
        <v>5670</v>
      </c>
      <c r="B749" s="4" t="s">
        <v>5671</v>
      </c>
      <c r="C749" s="4" t="s">
        <v>1619</v>
      </c>
      <c r="D749" s="3">
        <v>25.032946</v>
      </c>
      <c r="E749" s="3">
        <v>121.508215</v>
      </c>
      <c r="F749" s="3" t="s">
        <v>56</v>
      </c>
      <c r="G749" s="4" t="s">
        <v>4157</v>
      </c>
      <c r="H749" s="3"/>
    </row>
    <row r="750" ht="15.75" customHeight="1">
      <c r="A750" s="4" t="s">
        <v>5672</v>
      </c>
      <c r="B750" s="4" t="s">
        <v>5673</v>
      </c>
      <c r="C750" s="4" t="s">
        <v>3330</v>
      </c>
      <c r="D750" s="3">
        <v>25.032715</v>
      </c>
      <c r="E750" s="3">
        <v>121.508421</v>
      </c>
      <c r="F750" s="3" t="s">
        <v>56</v>
      </c>
      <c r="G750" s="4" t="s">
        <v>4157</v>
      </c>
      <c r="H750" s="3"/>
    </row>
    <row r="751" ht="15.75" customHeight="1">
      <c r="A751" s="4" t="s">
        <v>5674</v>
      </c>
      <c r="B751" s="4" t="s">
        <v>5675</v>
      </c>
      <c r="C751" s="4" t="s">
        <v>1213</v>
      </c>
      <c r="D751" s="3">
        <v>25.032288</v>
      </c>
      <c r="E751" s="3">
        <v>121.51152</v>
      </c>
      <c r="F751" s="3" t="s">
        <v>44</v>
      </c>
      <c r="G751" s="4" t="s">
        <v>4157</v>
      </c>
      <c r="H751" s="3"/>
    </row>
    <row r="752" ht="15.75" customHeight="1">
      <c r="A752" s="4" t="s">
        <v>5676</v>
      </c>
      <c r="B752" s="4" t="s">
        <v>5677</v>
      </c>
      <c r="C752" s="4" t="s">
        <v>3676</v>
      </c>
      <c r="D752" s="3">
        <v>25.032193</v>
      </c>
      <c r="E752" s="3">
        <v>121.511148</v>
      </c>
      <c r="F752" s="3" t="s">
        <v>44</v>
      </c>
      <c r="G752" s="4" t="s">
        <v>4157</v>
      </c>
      <c r="H752" s="3"/>
    </row>
    <row r="753" ht="15.75" customHeight="1">
      <c r="A753" s="4" t="s">
        <v>5678</v>
      </c>
      <c r="B753" s="4" t="s">
        <v>5679</v>
      </c>
      <c r="C753" s="4" t="s">
        <v>2983</v>
      </c>
      <c r="D753" s="3">
        <v>25.032322</v>
      </c>
      <c r="E753" s="3">
        <v>121.510504</v>
      </c>
      <c r="F753" s="3" t="s">
        <v>44</v>
      </c>
      <c r="G753" s="4" t="s">
        <v>4157</v>
      </c>
      <c r="H753" s="3"/>
    </row>
    <row r="754" ht="15.75" customHeight="1">
      <c r="A754" s="4" t="s">
        <v>5680</v>
      </c>
      <c r="B754" s="4" t="s">
        <v>5681</v>
      </c>
      <c r="C754" s="4" t="s">
        <v>3063</v>
      </c>
      <c r="D754" s="3">
        <v>25.031662</v>
      </c>
      <c r="E754" s="3">
        <v>121.511257</v>
      </c>
      <c r="F754" s="3" t="s">
        <v>44</v>
      </c>
      <c r="G754" s="4" t="s">
        <v>4157</v>
      </c>
      <c r="H754" s="3"/>
    </row>
    <row r="755" ht="15.75" customHeight="1">
      <c r="A755" s="4" t="s">
        <v>5682</v>
      </c>
      <c r="B755" s="4" t="s">
        <v>5683</v>
      </c>
      <c r="C755" s="4" t="s">
        <v>3077</v>
      </c>
      <c r="D755" s="3">
        <v>25.031647</v>
      </c>
      <c r="E755" s="3">
        <v>121.510447</v>
      </c>
      <c r="F755" s="3" t="s">
        <v>44</v>
      </c>
      <c r="G755" s="4" t="s">
        <v>4157</v>
      </c>
      <c r="H755" s="3"/>
    </row>
    <row r="756" ht="15.75" customHeight="1">
      <c r="A756" s="4" t="s">
        <v>5684</v>
      </c>
      <c r="B756" s="4" t="s">
        <v>5685</v>
      </c>
      <c r="C756" s="4" t="s">
        <v>3091</v>
      </c>
      <c r="D756" s="3">
        <v>25.031474</v>
      </c>
      <c r="E756" s="3">
        <v>121.51014</v>
      </c>
      <c r="F756" s="3" t="s">
        <v>44</v>
      </c>
      <c r="G756" s="4" t="s">
        <v>4157</v>
      </c>
      <c r="H756" s="3"/>
    </row>
    <row r="757" ht="15.75" customHeight="1">
      <c r="A757" s="4" t="s">
        <v>5686</v>
      </c>
      <c r="B757" s="4" t="s">
        <v>5687</v>
      </c>
      <c r="C757" s="4" t="s">
        <v>3099</v>
      </c>
      <c r="D757" s="3">
        <v>25.032229</v>
      </c>
      <c r="E757" s="3">
        <v>121.510524</v>
      </c>
      <c r="F757" s="3" t="s">
        <v>44</v>
      </c>
      <c r="G757" s="4" t="s">
        <v>4157</v>
      </c>
      <c r="H757" s="3"/>
    </row>
    <row r="758" ht="15.75" customHeight="1">
      <c r="A758" s="4" t="s">
        <v>5688</v>
      </c>
      <c r="B758" s="4" t="s">
        <v>5689</v>
      </c>
      <c r="C758" s="4" t="s">
        <v>3104</v>
      </c>
      <c r="D758" s="3">
        <v>25.031672</v>
      </c>
      <c r="E758" s="3">
        <v>121.511302</v>
      </c>
      <c r="F758" s="3" t="s">
        <v>44</v>
      </c>
      <c r="G758" s="4" t="s">
        <v>4157</v>
      </c>
      <c r="H758" s="3"/>
    </row>
    <row r="759" ht="15.75" customHeight="1">
      <c r="A759" s="4" t="s">
        <v>5690</v>
      </c>
      <c r="B759" s="4" t="s">
        <v>5691</v>
      </c>
      <c r="C759" s="4" t="s">
        <v>5692</v>
      </c>
      <c r="D759" s="3">
        <v>25.032361</v>
      </c>
      <c r="E759" s="3">
        <v>121.510548</v>
      </c>
      <c r="F759" s="3" t="s">
        <v>44</v>
      </c>
      <c r="G759" s="4" t="s">
        <v>4157</v>
      </c>
      <c r="H759" s="3"/>
    </row>
    <row r="760" ht="15.75" customHeight="1">
      <c r="A760" s="4" t="s">
        <v>5693</v>
      </c>
      <c r="B760" s="4" t="s">
        <v>5694</v>
      </c>
      <c r="C760" s="4" t="s">
        <v>3132</v>
      </c>
      <c r="D760" s="3">
        <v>25.032232</v>
      </c>
      <c r="E760" s="3">
        <v>121.511169</v>
      </c>
      <c r="F760" s="3" t="s">
        <v>44</v>
      </c>
      <c r="G760" s="4" t="s">
        <v>4157</v>
      </c>
      <c r="H760" s="3"/>
    </row>
    <row r="761" ht="15.75" customHeight="1">
      <c r="A761" s="4" t="s">
        <v>5695</v>
      </c>
      <c r="B761" s="4" t="s">
        <v>5696</v>
      </c>
      <c r="C761" s="4" t="s">
        <v>3140</v>
      </c>
      <c r="D761" s="3">
        <v>25.031756</v>
      </c>
      <c r="E761" s="3">
        <v>121.511284</v>
      </c>
      <c r="F761" s="3" t="s">
        <v>44</v>
      </c>
      <c r="G761" s="4" t="s">
        <v>4157</v>
      </c>
      <c r="H761" s="3"/>
    </row>
    <row r="762" ht="15.75" customHeight="1">
      <c r="A762" s="4" t="s">
        <v>5697</v>
      </c>
      <c r="B762" s="4" t="s">
        <v>5698</v>
      </c>
      <c r="C762" s="4" t="s">
        <v>3143</v>
      </c>
      <c r="D762" s="3">
        <v>25.03169</v>
      </c>
      <c r="E762" s="3">
        <v>121.511308</v>
      </c>
      <c r="F762" s="3" t="s">
        <v>44</v>
      </c>
      <c r="G762" s="4" t="s">
        <v>4157</v>
      </c>
      <c r="H762" s="3"/>
    </row>
    <row r="763" ht="15.75" customHeight="1">
      <c r="A763" s="4" t="s">
        <v>5699</v>
      </c>
      <c r="B763" s="4" t="s">
        <v>5700</v>
      </c>
      <c r="C763" s="4" t="s">
        <v>3145</v>
      </c>
      <c r="D763" s="3">
        <v>25.031662</v>
      </c>
      <c r="E763" s="3">
        <v>121.511337</v>
      </c>
      <c r="F763" s="3" t="s">
        <v>44</v>
      </c>
      <c r="G763" s="4" t="s">
        <v>4157</v>
      </c>
      <c r="H763" s="3"/>
    </row>
    <row r="764" ht="15.75" customHeight="1">
      <c r="A764" s="4" t="s">
        <v>5701</v>
      </c>
      <c r="B764" s="4" t="s">
        <v>5702</v>
      </c>
      <c r="C764" s="4" t="s">
        <v>3153</v>
      </c>
      <c r="D764" s="3">
        <v>25.03168</v>
      </c>
      <c r="E764" s="3">
        <v>121.511363</v>
      </c>
      <c r="F764" s="3" t="s">
        <v>44</v>
      </c>
      <c r="G764" s="4" t="s">
        <v>4157</v>
      </c>
      <c r="H764" s="3"/>
    </row>
    <row r="765" ht="15.75" customHeight="1">
      <c r="A765" s="4" t="s">
        <v>5703</v>
      </c>
      <c r="B765" s="4" t="s">
        <v>5704</v>
      </c>
      <c r="C765" s="4" t="s">
        <v>3156</v>
      </c>
      <c r="D765" s="3">
        <v>25.031772</v>
      </c>
      <c r="E765" s="3">
        <v>121.511273</v>
      </c>
      <c r="F765" s="3" t="s">
        <v>44</v>
      </c>
      <c r="G765" s="4" t="s">
        <v>4157</v>
      </c>
      <c r="H765" s="3"/>
    </row>
    <row r="766" ht="15.75" customHeight="1">
      <c r="A766" s="4" t="s">
        <v>5705</v>
      </c>
      <c r="B766" s="4" t="s">
        <v>5706</v>
      </c>
      <c r="C766" s="4" t="s">
        <v>3158</v>
      </c>
      <c r="D766" s="3">
        <v>25.032092</v>
      </c>
      <c r="E766" s="3">
        <v>121.511751</v>
      </c>
      <c r="F766" s="3" t="s">
        <v>44</v>
      </c>
      <c r="G766" s="4" t="s">
        <v>4157</v>
      </c>
      <c r="H766" s="3"/>
    </row>
    <row r="767" ht="15.75" customHeight="1">
      <c r="A767" s="4" t="s">
        <v>5707</v>
      </c>
      <c r="B767" s="4" t="s">
        <v>5708</v>
      </c>
      <c r="C767" s="4" t="s">
        <v>3160</v>
      </c>
      <c r="D767" s="3">
        <v>25.032176</v>
      </c>
      <c r="E767" s="3">
        <v>121.511193</v>
      </c>
      <c r="F767" s="3" t="s">
        <v>44</v>
      </c>
      <c r="G767" s="4" t="s">
        <v>4157</v>
      </c>
      <c r="H767" s="3"/>
    </row>
    <row r="768" ht="15.75" customHeight="1">
      <c r="A768" s="4" t="s">
        <v>5709</v>
      </c>
      <c r="B768" s="4" t="s">
        <v>5710</v>
      </c>
      <c r="C768" s="4" t="s">
        <v>2993</v>
      </c>
      <c r="D768" s="3">
        <v>25.032435</v>
      </c>
      <c r="E768" s="3">
        <v>121.510941</v>
      </c>
      <c r="F768" s="3" t="s">
        <v>44</v>
      </c>
      <c r="G768" s="4" t="s">
        <v>4157</v>
      </c>
      <c r="H768" s="3"/>
    </row>
    <row r="769" ht="15.75" customHeight="1">
      <c r="A769" s="4" t="s">
        <v>5711</v>
      </c>
      <c r="B769" s="4" t="s">
        <v>5712</v>
      </c>
      <c r="C769" s="4" t="s">
        <v>3177</v>
      </c>
      <c r="D769" s="3">
        <v>25.032394</v>
      </c>
      <c r="E769" s="3">
        <v>121.511177</v>
      </c>
      <c r="F769" s="3" t="s">
        <v>44</v>
      </c>
      <c r="G769" s="4" t="s">
        <v>4157</v>
      </c>
      <c r="H769" s="3"/>
    </row>
    <row r="770" ht="15.75" customHeight="1">
      <c r="A770" s="4" t="s">
        <v>5713</v>
      </c>
      <c r="B770" s="4" t="s">
        <v>5714</v>
      </c>
      <c r="C770" s="4" t="s">
        <v>3180</v>
      </c>
      <c r="D770" s="3">
        <v>25.031689</v>
      </c>
      <c r="E770" s="3">
        <v>121.511326</v>
      </c>
      <c r="F770" s="3" t="s">
        <v>44</v>
      </c>
      <c r="G770" s="4" t="s">
        <v>4157</v>
      </c>
      <c r="H770" s="3"/>
    </row>
    <row r="771" ht="15.75" customHeight="1">
      <c r="A771" s="4" t="s">
        <v>5715</v>
      </c>
      <c r="B771" s="4" t="s">
        <v>5716</v>
      </c>
      <c r="C771" s="4" t="s">
        <v>3182</v>
      </c>
      <c r="D771" s="3">
        <v>25.031694</v>
      </c>
      <c r="E771" s="3">
        <v>121.511274</v>
      </c>
      <c r="F771" s="3" t="s">
        <v>44</v>
      </c>
      <c r="G771" s="4" t="s">
        <v>4157</v>
      </c>
      <c r="H771" s="3"/>
    </row>
    <row r="772" ht="15.75" customHeight="1">
      <c r="A772" s="4" t="s">
        <v>5717</v>
      </c>
      <c r="B772" s="4" t="s">
        <v>5718</v>
      </c>
      <c r="C772" s="4" t="s">
        <v>3191</v>
      </c>
      <c r="D772" s="3">
        <v>25.031976</v>
      </c>
      <c r="E772" s="3">
        <v>121.511443</v>
      </c>
      <c r="F772" s="3" t="s">
        <v>44</v>
      </c>
      <c r="G772" s="4" t="s">
        <v>4157</v>
      </c>
      <c r="H772" s="3"/>
    </row>
    <row r="773" ht="15.75" customHeight="1">
      <c r="A773" s="4" t="s">
        <v>5719</v>
      </c>
      <c r="B773" s="4" t="s">
        <v>5720</v>
      </c>
      <c r="C773" s="4" t="s">
        <v>3207</v>
      </c>
      <c r="D773" s="3">
        <v>25.032083</v>
      </c>
      <c r="E773" s="3">
        <v>121.51128</v>
      </c>
      <c r="F773" s="3" t="s">
        <v>44</v>
      </c>
      <c r="G773" s="4" t="s">
        <v>4157</v>
      </c>
      <c r="H773" s="3"/>
    </row>
    <row r="774" ht="15.75" customHeight="1">
      <c r="A774" s="4" t="s">
        <v>5721</v>
      </c>
      <c r="B774" s="4" t="s">
        <v>5722</v>
      </c>
      <c r="C774" s="4" t="s">
        <v>3219</v>
      </c>
      <c r="D774" s="3">
        <v>25.032363</v>
      </c>
      <c r="E774" s="3">
        <v>121.510798</v>
      </c>
      <c r="F774" s="3" t="s">
        <v>44</v>
      </c>
      <c r="G774" s="4" t="s">
        <v>4157</v>
      </c>
      <c r="H774" s="3"/>
    </row>
    <row r="775" ht="15.75" customHeight="1">
      <c r="A775" s="4" t="s">
        <v>5723</v>
      </c>
      <c r="B775" s="4" t="s">
        <v>5724</v>
      </c>
      <c r="C775" s="4" t="s">
        <v>3230</v>
      </c>
      <c r="D775" s="3">
        <v>25.03205</v>
      </c>
      <c r="E775" s="3">
        <v>121.51129</v>
      </c>
      <c r="F775" s="3" t="s">
        <v>44</v>
      </c>
      <c r="G775" s="4" t="s">
        <v>4157</v>
      </c>
      <c r="H775" s="3"/>
    </row>
    <row r="776" ht="15.75" customHeight="1">
      <c r="A776" s="4" t="s">
        <v>5725</v>
      </c>
      <c r="B776" s="4" t="s">
        <v>5726</v>
      </c>
      <c r="C776" s="4" t="s">
        <v>3233</v>
      </c>
      <c r="D776" s="3">
        <v>25.032322</v>
      </c>
      <c r="E776" s="3">
        <v>121.510787</v>
      </c>
      <c r="F776" s="3" t="s">
        <v>44</v>
      </c>
      <c r="G776" s="4" t="s">
        <v>4157</v>
      </c>
      <c r="H776" s="3"/>
    </row>
    <row r="777" ht="15.75" customHeight="1">
      <c r="A777" s="4" t="s">
        <v>5727</v>
      </c>
      <c r="B777" s="4" t="s">
        <v>5728</v>
      </c>
      <c r="C777" s="4" t="s">
        <v>3243</v>
      </c>
      <c r="D777" s="3">
        <v>25.032085</v>
      </c>
      <c r="E777" s="3">
        <v>121.510367</v>
      </c>
      <c r="F777" s="3" t="s">
        <v>44</v>
      </c>
      <c r="G777" s="4" t="s">
        <v>4157</v>
      </c>
      <c r="H777" s="3"/>
    </row>
    <row r="778" ht="15.75" customHeight="1">
      <c r="A778" s="4" t="s">
        <v>5729</v>
      </c>
      <c r="B778" s="4" t="s">
        <v>5730</v>
      </c>
      <c r="C778" s="4" t="s">
        <v>3245</v>
      </c>
      <c r="D778" s="3">
        <v>25.031688</v>
      </c>
      <c r="E778" s="3">
        <v>121.511342</v>
      </c>
      <c r="F778" s="3" t="s">
        <v>44</v>
      </c>
      <c r="G778" s="4" t="s">
        <v>4157</v>
      </c>
      <c r="H778" s="3"/>
    </row>
    <row r="779" ht="15.75" customHeight="1">
      <c r="A779" s="4" t="s">
        <v>5731</v>
      </c>
      <c r="B779" s="4" t="s">
        <v>5732</v>
      </c>
      <c r="C779" s="4" t="s">
        <v>2998</v>
      </c>
      <c r="D779" s="3">
        <v>25.031514</v>
      </c>
      <c r="E779" s="3">
        <v>121.510635</v>
      </c>
      <c r="F779" s="3" t="s">
        <v>44</v>
      </c>
      <c r="G779" s="4" t="s">
        <v>4157</v>
      </c>
      <c r="H779" s="3"/>
    </row>
    <row r="780" ht="15.75" customHeight="1">
      <c r="A780" s="4" t="s">
        <v>5733</v>
      </c>
      <c r="B780" s="4" t="s">
        <v>5734</v>
      </c>
      <c r="C780" s="4" t="s">
        <v>2989</v>
      </c>
      <c r="D780" s="3">
        <v>25.032444</v>
      </c>
      <c r="E780" s="3">
        <v>121.510789</v>
      </c>
      <c r="F780" s="3" t="s">
        <v>44</v>
      </c>
      <c r="G780" s="4" t="s">
        <v>4157</v>
      </c>
      <c r="H780" s="3"/>
    </row>
    <row r="781" ht="15.75" customHeight="1">
      <c r="A781" s="4" t="s">
        <v>5735</v>
      </c>
      <c r="B781" s="4" t="s">
        <v>5736</v>
      </c>
      <c r="C781" s="4" t="s">
        <v>2991</v>
      </c>
      <c r="D781" s="3">
        <v>25.031552</v>
      </c>
      <c r="E781" s="3">
        <v>121.510813</v>
      </c>
      <c r="F781" s="3" t="s">
        <v>44</v>
      </c>
      <c r="G781" s="4" t="s">
        <v>4157</v>
      </c>
      <c r="H781" s="3"/>
    </row>
    <row r="782" ht="15.75" customHeight="1">
      <c r="A782" s="4" t="s">
        <v>5737</v>
      </c>
      <c r="B782" s="4" t="s">
        <v>5738</v>
      </c>
      <c r="C782" s="4" t="s">
        <v>2995</v>
      </c>
      <c r="D782" s="3">
        <v>25.031812</v>
      </c>
      <c r="E782" s="3">
        <v>121.510472</v>
      </c>
      <c r="F782" s="3" t="s">
        <v>44</v>
      </c>
      <c r="G782" s="4" t="s">
        <v>4157</v>
      </c>
      <c r="H782" s="3"/>
    </row>
    <row r="783" ht="15.75" customHeight="1">
      <c r="A783" s="4" t="s">
        <v>5739</v>
      </c>
      <c r="B783" s="4" t="s">
        <v>5740</v>
      </c>
      <c r="C783" s="4" t="s">
        <v>2998</v>
      </c>
      <c r="D783" s="3">
        <v>25.032331</v>
      </c>
      <c r="E783" s="3">
        <v>121.511255</v>
      </c>
      <c r="F783" s="3" t="s">
        <v>44</v>
      </c>
      <c r="G783" s="4" t="s">
        <v>4157</v>
      </c>
      <c r="H783" s="3"/>
    </row>
    <row r="784" ht="15.75" customHeight="1">
      <c r="A784" s="4" t="s">
        <v>5741</v>
      </c>
      <c r="B784" s="4" t="s">
        <v>5742</v>
      </c>
      <c r="C784" s="4" t="s">
        <v>3000</v>
      </c>
      <c r="D784" s="3">
        <v>25.032149</v>
      </c>
      <c r="E784" s="3">
        <v>121.511169</v>
      </c>
      <c r="F784" s="3" t="s">
        <v>44</v>
      </c>
      <c r="G784" s="4" t="s">
        <v>4157</v>
      </c>
      <c r="H784" s="3"/>
    </row>
    <row r="785" ht="15.75" customHeight="1">
      <c r="A785" s="4" t="s">
        <v>5743</v>
      </c>
      <c r="B785" s="4" t="s">
        <v>5744</v>
      </c>
      <c r="C785" s="4" t="s">
        <v>3002</v>
      </c>
      <c r="D785" s="3">
        <v>25.032208</v>
      </c>
      <c r="E785" s="3">
        <v>121.510571</v>
      </c>
      <c r="F785" s="3" t="s">
        <v>44</v>
      </c>
      <c r="G785" s="4" t="s">
        <v>4157</v>
      </c>
      <c r="H785" s="3"/>
    </row>
    <row r="786" ht="15.75" customHeight="1">
      <c r="A786" s="4" t="s">
        <v>5745</v>
      </c>
      <c r="B786" s="4" t="s">
        <v>5746</v>
      </c>
      <c r="C786" s="4" t="s">
        <v>3004</v>
      </c>
      <c r="D786" s="3">
        <v>25.032395</v>
      </c>
      <c r="E786" s="3">
        <v>121.510992</v>
      </c>
      <c r="F786" s="3" t="s">
        <v>44</v>
      </c>
      <c r="G786" s="4" t="s">
        <v>4157</v>
      </c>
      <c r="H786" s="3"/>
    </row>
    <row r="787" ht="15.75" customHeight="1">
      <c r="A787" s="4" t="s">
        <v>5747</v>
      </c>
      <c r="B787" s="4" t="s">
        <v>5748</v>
      </c>
      <c r="C787" s="4" t="s">
        <v>3010</v>
      </c>
      <c r="D787" s="3">
        <v>25.031659</v>
      </c>
      <c r="E787" s="3">
        <v>121.5113</v>
      </c>
      <c r="F787" s="3" t="s">
        <v>44</v>
      </c>
      <c r="G787" s="4" t="s">
        <v>4157</v>
      </c>
      <c r="H787" s="3"/>
    </row>
    <row r="788" ht="15.75" customHeight="1">
      <c r="A788" s="4" t="s">
        <v>5749</v>
      </c>
      <c r="B788" s="4" t="s">
        <v>5750</v>
      </c>
      <c r="C788" s="4" t="s">
        <v>3014</v>
      </c>
      <c r="D788" s="3">
        <v>25.031706</v>
      </c>
      <c r="E788" s="3">
        <v>121.511199</v>
      </c>
      <c r="F788" s="3" t="s">
        <v>44</v>
      </c>
      <c r="G788" s="4" t="s">
        <v>4157</v>
      </c>
      <c r="H788" s="3"/>
    </row>
    <row r="789" ht="15.75" customHeight="1">
      <c r="A789" s="4" t="s">
        <v>5751</v>
      </c>
      <c r="B789" s="4" t="s">
        <v>5752</v>
      </c>
      <c r="C789" s="4" t="s">
        <v>3016</v>
      </c>
      <c r="D789" s="3">
        <v>25.03234</v>
      </c>
      <c r="E789" s="3">
        <v>121.510534</v>
      </c>
      <c r="F789" s="3" t="s">
        <v>44</v>
      </c>
      <c r="G789" s="4" t="s">
        <v>4157</v>
      </c>
      <c r="H789" s="3"/>
    </row>
    <row r="790" ht="15.75" customHeight="1">
      <c r="A790" s="4" t="s">
        <v>5753</v>
      </c>
      <c r="B790" s="4" t="s">
        <v>5754</v>
      </c>
      <c r="C790" s="4" t="s">
        <v>3019</v>
      </c>
      <c r="D790" s="3">
        <v>25.0315</v>
      </c>
      <c r="E790" s="3">
        <v>121.510577</v>
      </c>
      <c r="F790" s="3" t="s">
        <v>44</v>
      </c>
      <c r="G790" s="4" t="s">
        <v>4157</v>
      </c>
      <c r="H790" s="3"/>
    </row>
    <row r="791" ht="15.75" customHeight="1">
      <c r="A791" s="4" t="s">
        <v>5755</v>
      </c>
      <c r="B791" s="4" t="s">
        <v>5756</v>
      </c>
      <c r="C791" s="4" t="s">
        <v>3024</v>
      </c>
      <c r="D791" s="3">
        <v>25.031693</v>
      </c>
      <c r="E791" s="3">
        <v>121.511289</v>
      </c>
      <c r="F791" s="3" t="s">
        <v>44</v>
      </c>
      <c r="G791" s="4" t="s">
        <v>4157</v>
      </c>
      <c r="H791" s="3"/>
    </row>
    <row r="792" ht="15.75" customHeight="1">
      <c r="A792" s="4" t="s">
        <v>5757</v>
      </c>
      <c r="B792" s="4" t="s">
        <v>5758</v>
      </c>
      <c r="C792" s="4" t="s">
        <v>3026</v>
      </c>
      <c r="D792" s="3">
        <v>25.031666</v>
      </c>
      <c r="E792" s="3">
        <v>121.511275</v>
      </c>
      <c r="F792" s="3" t="s">
        <v>44</v>
      </c>
      <c r="G792" s="4" t="s">
        <v>4157</v>
      </c>
      <c r="H792" s="3"/>
    </row>
    <row r="793" ht="15.75" customHeight="1">
      <c r="A793" s="4" t="s">
        <v>5759</v>
      </c>
      <c r="B793" s="4" t="s">
        <v>5760</v>
      </c>
      <c r="C793" s="4" t="s">
        <v>3033</v>
      </c>
      <c r="D793" s="3">
        <v>25.031738</v>
      </c>
      <c r="E793" s="3">
        <v>121.511311</v>
      </c>
      <c r="F793" s="3" t="s">
        <v>44</v>
      </c>
      <c r="G793" s="4" t="s">
        <v>4157</v>
      </c>
      <c r="H793" s="3"/>
    </row>
    <row r="794" ht="15.75" customHeight="1">
      <c r="A794" s="4" t="s">
        <v>5761</v>
      </c>
      <c r="B794" s="4" t="s">
        <v>5762</v>
      </c>
      <c r="C794" s="4" t="s">
        <v>3035</v>
      </c>
      <c r="D794" s="3">
        <v>25.031664</v>
      </c>
      <c r="E794" s="3">
        <v>121.511318</v>
      </c>
      <c r="F794" s="3" t="s">
        <v>44</v>
      </c>
      <c r="G794" s="4" t="s">
        <v>4157</v>
      </c>
      <c r="H794" s="3"/>
    </row>
    <row r="795" ht="15.75" customHeight="1">
      <c r="A795" s="4" t="s">
        <v>5763</v>
      </c>
      <c r="B795" s="4" t="s">
        <v>5764</v>
      </c>
      <c r="C795" s="4" t="s">
        <v>3037</v>
      </c>
      <c r="D795" s="3">
        <v>25.031662</v>
      </c>
      <c r="E795" s="3">
        <v>121.511296</v>
      </c>
      <c r="F795" s="3" t="s">
        <v>44</v>
      </c>
      <c r="G795" s="4" t="s">
        <v>4157</v>
      </c>
      <c r="H795" s="3"/>
    </row>
    <row r="796" ht="15.75" customHeight="1">
      <c r="A796" s="4" t="s">
        <v>5765</v>
      </c>
      <c r="B796" s="4" t="s">
        <v>5766</v>
      </c>
      <c r="C796" s="4" t="s">
        <v>3776</v>
      </c>
      <c r="D796" s="3">
        <v>25.032213</v>
      </c>
      <c r="E796" s="3">
        <v>121.510466</v>
      </c>
      <c r="F796" s="3" t="s">
        <v>44</v>
      </c>
      <c r="G796" s="4" t="s">
        <v>4157</v>
      </c>
      <c r="H796" s="3"/>
    </row>
    <row r="797" ht="15.75" customHeight="1">
      <c r="A797" s="4" t="s">
        <v>5767</v>
      </c>
      <c r="B797" s="4" t="s">
        <v>5768</v>
      </c>
      <c r="C797" s="4" t="s">
        <v>3790</v>
      </c>
      <c r="D797" s="3">
        <v>25.03213</v>
      </c>
      <c r="E797" s="3">
        <v>121.510467</v>
      </c>
      <c r="F797" s="3" t="s">
        <v>44</v>
      </c>
      <c r="G797" s="4" t="s">
        <v>4157</v>
      </c>
      <c r="H797" s="3"/>
    </row>
    <row r="798" ht="15.75" customHeight="1">
      <c r="A798" s="4" t="s">
        <v>5769</v>
      </c>
      <c r="B798" s="4" t="s">
        <v>5770</v>
      </c>
      <c r="C798" s="4" t="s">
        <v>3809</v>
      </c>
      <c r="D798" s="3">
        <v>25.032206</v>
      </c>
      <c r="E798" s="3">
        <v>121.510495</v>
      </c>
      <c r="F798" s="3" t="s">
        <v>44</v>
      </c>
      <c r="G798" s="4" t="s">
        <v>4157</v>
      </c>
      <c r="H798" s="3"/>
    </row>
    <row r="799" ht="15.75" customHeight="1">
      <c r="A799" s="4" t="s">
        <v>5771</v>
      </c>
      <c r="B799" s="4" t="s">
        <v>5772</v>
      </c>
      <c r="C799" s="4" t="s">
        <v>3812</v>
      </c>
      <c r="D799" s="3">
        <v>25.032155</v>
      </c>
      <c r="E799" s="3">
        <v>121.510431</v>
      </c>
      <c r="F799" s="3" t="s">
        <v>44</v>
      </c>
      <c r="G799" s="4" t="s">
        <v>4157</v>
      </c>
      <c r="H799" s="3"/>
    </row>
    <row r="800" ht="15.75" customHeight="1">
      <c r="A800" s="4" t="s">
        <v>5773</v>
      </c>
      <c r="B800" s="4" t="s">
        <v>5774</v>
      </c>
      <c r="C800" s="4" t="s">
        <v>3814</v>
      </c>
      <c r="D800" s="3">
        <v>25.032155</v>
      </c>
      <c r="E800" s="3">
        <v>121.510455</v>
      </c>
      <c r="F800" s="3" t="s">
        <v>44</v>
      </c>
      <c r="G800" s="4" t="s">
        <v>4157</v>
      </c>
      <c r="H800" s="3"/>
    </row>
    <row r="801" ht="15.75" customHeight="1">
      <c r="A801" s="4" t="s">
        <v>5775</v>
      </c>
      <c r="B801" s="4" t="s">
        <v>5776</v>
      </c>
      <c r="C801" s="4" t="s">
        <v>5777</v>
      </c>
      <c r="D801" s="3">
        <v>25.032178</v>
      </c>
      <c r="E801" s="3">
        <v>121.510494</v>
      </c>
      <c r="F801" s="3" t="s">
        <v>44</v>
      </c>
      <c r="G801" s="4" t="s">
        <v>4157</v>
      </c>
      <c r="H801" s="3"/>
    </row>
    <row r="802" ht="15.75" customHeight="1">
      <c r="A802" s="4" t="s">
        <v>5778</v>
      </c>
      <c r="B802" s="4" t="s">
        <v>5779</v>
      </c>
      <c r="C802" s="4" t="s">
        <v>3825</v>
      </c>
      <c r="D802" s="3">
        <v>25.032118</v>
      </c>
      <c r="E802" s="3">
        <v>121.510476</v>
      </c>
      <c r="F802" s="3" t="s">
        <v>44</v>
      </c>
      <c r="G802" s="4" t="s">
        <v>4157</v>
      </c>
      <c r="H802" s="3"/>
    </row>
    <row r="803" ht="15.75" customHeight="1">
      <c r="A803" s="4" t="s">
        <v>5780</v>
      </c>
      <c r="B803" s="4" t="s">
        <v>5781</v>
      </c>
      <c r="C803" s="4" t="s">
        <v>3829</v>
      </c>
      <c r="D803" s="3">
        <v>25.032099</v>
      </c>
      <c r="E803" s="3">
        <v>121.510445</v>
      </c>
      <c r="F803" s="3" t="s">
        <v>44</v>
      </c>
      <c r="G803" s="4" t="s">
        <v>4157</v>
      </c>
      <c r="H803" s="3"/>
    </row>
    <row r="804" ht="15.75" customHeight="1">
      <c r="A804" s="4" t="s">
        <v>5782</v>
      </c>
      <c r="B804" s="4" t="s">
        <v>5783</v>
      </c>
      <c r="C804" s="4" t="s">
        <v>3837</v>
      </c>
      <c r="D804" s="3">
        <v>25.032072</v>
      </c>
      <c r="E804" s="3">
        <v>121.510456</v>
      </c>
      <c r="F804" s="3" t="s">
        <v>44</v>
      </c>
      <c r="G804" s="4" t="s">
        <v>4157</v>
      </c>
      <c r="H804" s="3"/>
    </row>
    <row r="805" ht="15.75" customHeight="1">
      <c r="A805" s="4" t="s">
        <v>5784</v>
      </c>
      <c r="B805" s="4" t="s">
        <v>5785</v>
      </c>
      <c r="C805" s="4" t="s">
        <v>5786</v>
      </c>
      <c r="D805" s="3">
        <v>25.032071</v>
      </c>
      <c r="E805" s="3">
        <v>121.510419</v>
      </c>
      <c r="F805" s="3" t="s">
        <v>44</v>
      </c>
      <c r="G805" s="4" t="s">
        <v>4157</v>
      </c>
      <c r="H805" s="3"/>
    </row>
    <row r="806" ht="15.75" customHeight="1">
      <c r="A806" s="4" t="s">
        <v>5787</v>
      </c>
      <c r="B806" s="4" t="s">
        <v>5788</v>
      </c>
      <c r="C806" s="4" t="s">
        <v>3843</v>
      </c>
      <c r="D806" s="3">
        <v>25.032106</v>
      </c>
      <c r="E806" s="3">
        <v>121.510477</v>
      </c>
      <c r="F806" s="3" t="s">
        <v>44</v>
      </c>
      <c r="G806" s="4" t="s">
        <v>4157</v>
      </c>
      <c r="H806" s="3"/>
    </row>
    <row r="807" ht="15.75" customHeight="1">
      <c r="A807" s="4" t="s">
        <v>5789</v>
      </c>
      <c r="B807" s="4" t="s">
        <v>5790</v>
      </c>
      <c r="C807" s="4" t="s">
        <v>3847</v>
      </c>
      <c r="D807" s="3">
        <v>25.03213</v>
      </c>
      <c r="E807" s="3">
        <v>121.510395</v>
      </c>
      <c r="F807" s="3" t="s">
        <v>44</v>
      </c>
      <c r="G807" s="4" t="s">
        <v>4157</v>
      </c>
      <c r="H807" s="3"/>
    </row>
    <row r="808" ht="15.75" customHeight="1">
      <c r="A808" s="4" t="s">
        <v>5791</v>
      </c>
      <c r="B808" s="4" t="s">
        <v>5792</v>
      </c>
      <c r="C808" s="4" t="s">
        <v>3853</v>
      </c>
      <c r="D808" s="3">
        <v>25.032134</v>
      </c>
      <c r="E808" s="3">
        <v>121.510415</v>
      </c>
      <c r="F808" s="3" t="s">
        <v>44</v>
      </c>
      <c r="G808" s="4" t="s">
        <v>4157</v>
      </c>
      <c r="H808" s="3"/>
    </row>
    <row r="809" ht="15.75" customHeight="1">
      <c r="A809" s="4" t="s">
        <v>5793</v>
      </c>
      <c r="B809" s="4" t="s">
        <v>5794</v>
      </c>
      <c r="C809" s="4" t="s">
        <v>3855</v>
      </c>
      <c r="D809" s="3">
        <v>25.032128</v>
      </c>
      <c r="E809" s="3">
        <v>121.510432</v>
      </c>
      <c r="F809" s="3" t="s">
        <v>44</v>
      </c>
      <c r="G809" s="4" t="s">
        <v>4157</v>
      </c>
      <c r="H809" s="3"/>
    </row>
    <row r="810" ht="15.75" customHeight="1">
      <c r="A810" s="4" t="s">
        <v>5795</v>
      </c>
      <c r="B810" s="4" t="s">
        <v>5796</v>
      </c>
      <c r="C810" s="4" t="s">
        <v>3857</v>
      </c>
      <c r="D810" s="3">
        <v>25.03252</v>
      </c>
      <c r="E810" s="3">
        <v>121.51104</v>
      </c>
      <c r="F810" s="3" t="s">
        <v>44</v>
      </c>
      <c r="G810" s="4" t="s">
        <v>4157</v>
      </c>
      <c r="H810" s="3"/>
    </row>
    <row r="811" ht="15.75" customHeight="1">
      <c r="A811" s="4" t="s">
        <v>5797</v>
      </c>
      <c r="B811" s="4" t="s">
        <v>5798</v>
      </c>
      <c r="C811" s="4" t="s">
        <v>3859</v>
      </c>
      <c r="D811" s="3">
        <v>25.032144</v>
      </c>
      <c r="E811" s="3">
        <v>121.510478</v>
      </c>
      <c r="F811" s="3" t="s">
        <v>44</v>
      </c>
      <c r="G811" s="4" t="s">
        <v>4157</v>
      </c>
      <c r="H811" s="3"/>
    </row>
    <row r="812" ht="15.75" customHeight="1">
      <c r="A812" s="4" t="s">
        <v>5799</v>
      </c>
      <c r="B812" s="4" t="s">
        <v>5800</v>
      </c>
      <c r="C812" s="4" t="s">
        <v>3861</v>
      </c>
      <c r="D812" s="3">
        <v>25.032055</v>
      </c>
      <c r="E812" s="3">
        <v>121.51041</v>
      </c>
      <c r="F812" s="3" t="s">
        <v>44</v>
      </c>
      <c r="G812" s="4" t="s">
        <v>4157</v>
      </c>
      <c r="H812" s="3"/>
    </row>
    <row r="813" ht="15.75" customHeight="1">
      <c r="A813" s="4" t="s">
        <v>5801</v>
      </c>
      <c r="B813" s="4" t="s">
        <v>5802</v>
      </c>
      <c r="C813" s="4" t="s">
        <v>3863</v>
      </c>
      <c r="D813" s="3">
        <v>25.032072</v>
      </c>
      <c r="E813" s="3">
        <v>121.510433</v>
      </c>
      <c r="F813" s="3" t="s">
        <v>44</v>
      </c>
      <c r="G813" s="4" t="s">
        <v>4157</v>
      </c>
      <c r="H813" s="3"/>
    </row>
    <row r="814" ht="15.75" customHeight="1">
      <c r="A814" s="4" t="s">
        <v>5803</v>
      </c>
      <c r="B814" s="4" t="s">
        <v>5804</v>
      </c>
      <c r="C814" s="4" t="s">
        <v>3865</v>
      </c>
      <c r="D814" s="3">
        <v>25.032085</v>
      </c>
      <c r="E814" s="3">
        <v>121.51047</v>
      </c>
      <c r="F814" s="3" t="s">
        <v>44</v>
      </c>
      <c r="G814" s="4" t="s">
        <v>4157</v>
      </c>
      <c r="H814" s="3"/>
    </row>
    <row r="815" ht="15.75" customHeight="1">
      <c r="A815" s="4" t="s">
        <v>5805</v>
      </c>
      <c r="B815" s="4" t="s">
        <v>5806</v>
      </c>
      <c r="C815" s="4" t="s">
        <v>3867</v>
      </c>
      <c r="D815" s="3">
        <v>25.032051</v>
      </c>
      <c r="E815" s="3">
        <v>121.510442</v>
      </c>
      <c r="F815" s="3" t="s">
        <v>44</v>
      </c>
      <c r="G815" s="4" t="s">
        <v>4157</v>
      </c>
      <c r="H815" s="3"/>
    </row>
    <row r="816" ht="15.75" customHeight="1">
      <c r="A816" s="4" t="s">
        <v>5807</v>
      </c>
      <c r="B816" s="4" t="s">
        <v>5808</v>
      </c>
      <c r="C816" s="4" t="s">
        <v>3870</v>
      </c>
      <c r="D816" s="3">
        <v>25.032118</v>
      </c>
      <c r="E816" s="3">
        <v>121.510463</v>
      </c>
      <c r="F816" s="3" t="s">
        <v>44</v>
      </c>
      <c r="G816" s="4" t="s">
        <v>4157</v>
      </c>
      <c r="H816" s="3"/>
    </row>
    <row r="817" ht="15.75" customHeight="1">
      <c r="A817" s="4" t="s">
        <v>5809</v>
      </c>
      <c r="B817" s="4" t="s">
        <v>5810</v>
      </c>
      <c r="C817" s="4" t="s">
        <v>3872</v>
      </c>
      <c r="D817" s="3">
        <v>25.032113</v>
      </c>
      <c r="E817" s="3">
        <v>121.510418</v>
      </c>
      <c r="F817" s="3" t="s">
        <v>44</v>
      </c>
      <c r="G817" s="4" t="s">
        <v>4157</v>
      </c>
      <c r="H817" s="3"/>
    </row>
    <row r="818" ht="15.75" customHeight="1">
      <c r="A818" s="4" t="s">
        <v>5811</v>
      </c>
      <c r="B818" s="4" t="s">
        <v>5812</v>
      </c>
      <c r="C818" s="4" t="s">
        <v>3874</v>
      </c>
      <c r="D818" s="3">
        <v>25.032103</v>
      </c>
      <c r="E818" s="3">
        <v>121.510422</v>
      </c>
      <c r="F818" s="3" t="s">
        <v>44</v>
      </c>
      <c r="G818" s="4" t="s">
        <v>4157</v>
      </c>
      <c r="H818" s="3"/>
    </row>
    <row r="819" ht="15.75" customHeight="1">
      <c r="A819" s="4" t="s">
        <v>5813</v>
      </c>
      <c r="B819" s="4" t="s">
        <v>5814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4157</v>
      </c>
      <c r="H819" s="3"/>
    </row>
    <row r="820" ht="15.75" customHeight="1">
      <c r="A820" s="4" t="s">
        <v>5815</v>
      </c>
      <c r="B820" s="4" t="s">
        <v>5816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4157</v>
      </c>
      <c r="H820" s="3"/>
    </row>
    <row r="821" ht="15.75" customHeight="1">
      <c r="A821" s="4" t="s">
        <v>5817</v>
      </c>
      <c r="B821" s="4" t="s">
        <v>5818</v>
      </c>
      <c r="C821" s="4" t="s">
        <v>169</v>
      </c>
      <c r="D821" s="3">
        <v>25.032574</v>
      </c>
      <c r="E821" s="3">
        <v>121.510689</v>
      </c>
      <c r="F821" s="3" t="s">
        <v>44</v>
      </c>
      <c r="G821" s="4" t="s">
        <v>4157</v>
      </c>
      <c r="H821" s="3"/>
    </row>
    <row r="822" ht="15.75" customHeight="1">
      <c r="A822" s="4" t="s">
        <v>5819</v>
      </c>
      <c r="B822" s="4" t="s">
        <v>5820</v>
      </c>
      <c r="C822" s="4" t="s">
        <v>174</v>
      </c>
      <c r="D822" s="3">
        <v>25.032506</v>
      </c>
      <c r="E822" s="3">
        <v>121.510693</v>
      </c>
      <c r="F822" s="3" t="s">
        <v>44</v>
      </c>
      <c r="G822" s="4" t="s">
        <v>4157</v>
      </c>
      <c r="H822" s="3"/>
    </row>
    <row r="823" ht="15.75" customHeight="1">
      <c r="A823" s="4" t="s">
        <v>5821</v>
      </c>
      <c r="B823" s="4" t="s">
        <v>5822</v>
      </c>
      <c r="C823" s="4" t="s">
        <v>178</v>
      </c>
      <c r="D823" s="3">
        <v>25.033087</v>
      </c>
      <c r="E823" s="3">
        <v>121.510639</v>
      </c>
      <c r="F823" s="3" t="s">
        <v>44</v>
      </c>
      <c r="G823" s="4" t="s">
        <v>4157</v>
      </c>
      <c r="H823" s="3"/>
    </row>
    <row r="824" ht="15.75" customHeight="1">
      <c r="A824" s="4" t="s">
        <v>5823</v>
      </c>
      <c r="B824" s="4" t="s">
        <v>5824</v>
      </c>
      <c r="C824" s="4" t="s">
        <v>183</v>
      </c>
      <c r="D824" s="3">
        <v>25.032588</v>
      </c>
      <c r="E824" s="3">
        <v>121.510883</v>
      </c>
      <c r="F824" s="3" t="s">
        <v>44</v>
      </c>
      <c r="G824" s="4" t="s">
        <v>4157</v>
      </c>
      <c r="H824" s="3"/>
    </row>
    <row r="825" ht="15.75" customHeight="1">
      <c r="A825" s="4" t="s">
        <v>5825</v>
      </c>
      <c r="B825" s="4" t="s">
        <v>5826</v>
      </c>
      <c r="C825" s="4" t="s">
        <v>187</v>
      </c>
      <c r="D825" s="3">
        <v>25.032666</v>
      </c>
      <c r="E825" s="3">
        <v>121.510661</v>
      </c>
      <c r="F825" s="3" t="s">
        <v>44</v>
      </c>
      <c r="G825" s="4" t="s">
        <v>4157</v>
      </c>
      <c r="H825" s="3"/>
    </row>
    <row r="826" ht="15.75" customHeight="1">
      <c r="A826" s="4" t="s">
        <v>5827</v>
      </c>
      <c r="B826" s="4" t="s">
        <v>5828</v>
      </c>
      <c r="C826" s="4" t="s">
        <v>333</v>
      </c>
      <c r="D826" s="3">
        <v>25.0331</v>
      </c>
      <c r="E826" s="3">
        <v>121.510073</v>
      </c>
      <c r="F826" s="3" t="s">
        <v>44</v>
      </c>
      <c r="G826" s="4" t="s">
        <v>4157</v>
      </c>
      <c r="H826" s="3"/>
    </row>
    <row r="827" ht="15.75" customHeight="1">
      <c r="A827" s="4" t="s">
        <v>5829</v>
      </c>
      <c r="B827" s="4" t="s">
        <v>5830</v>
      </c>
      <c r="C827" s="4" t="s">
        <v>5831</v>
      </c>
      <c r="D827" s="3">
        <v>25.032955</v>
      </c>
      <c r="E827" s="3">
        <v>121.510424</v>
      </c>
      <c r="F827" s="3" t="s">
        <v>44</v>
      </c>
      <c r="G827" s="4" t="s">
        <v>4157</v>
      </c>
      <c r="H827" s="3"/>
    </row>
    <row r="828" ht="15.75" customHeight="1">
      <c r="A828" s="4" t="s">
        <v>5832</v>
      </c>
      <c r="B828" s="4" t="s">
        <v>5833</v>
      </c>
      <c r="C828" s="4" t="s">
        <v>353</v>
      </c>
      <c r="D828" s="3">
        <v>25.033</v>
      </c>
      <c r="E828" s="3">
        <v>121.510388</v>
      </c>
      <c r="F828" s="3" t="s">
        <v>44</v>
      </c>
      <c r="G828" s="4" t="s">
        <v>4157</v>
      </c>
      <c r="H828" s="3"/>
    </row>
    <row r="829" ht="15.75" customHeight="1">
      <c r="A829" s="4" t="s">
        <v>5834</v>
      </c>
      <c r="B829" s="4" t="s">
        <v>5835</v>
      </c>
      <c r="C829" s="4" t="s">
        <v>366</v>
      </c>
      <c r="D829" s="3">
        <v>25.03263</v>
      </c>
      <c r="E829" s="3">
        <v>121.509994</v>
      </c>
      <c r="F829" s="3" t="s">
        <v>130</v>
      </c>
      <c r="G829" s="4" t="s">
        <v>4157</v>
      </c>
      <c r="H829" s="3"/>
    </row>
    <row r="830" ht="15.75" customHeight="1">
      <c r="A830" s="4" t="s">
        <v>5836</v>
      </c>
      <c r="B830" s="4" t="s">
        <v>5837</v>
      </c>
      <c r="C830" s="4" t="s">
        <v>370</v>
      </c>
      <c r="D830" s="3">
        <v>25.033339</v>
      </c>
      <c r="E830" s="3">
        <v>121.510307</v>
      </c>
      <c r="F830" s="3" t="s">
        <v>44</v>
      </c>
      <c r="G830" s="4" t="s">
        <v>4157</v>
      </c>
      <c r="H830" s="3"/>
    </row>
    <row r="831" ht="15.75" customHeight="1">
      <c r="A831" s="4" t="s">
        <v>5838</v>
      </c>
      <c r="B831" s="4" t="s">
        <v>5839</v>
      </c>
      <c r="C831" s="4" t="s">
        <v>374</v>
      </c>
      <c r="D831" s="3">
        <v>25.033054</v>
      </c>
      <c r="E831" s="3">
        <v>121.510124</v>
      </c>
      <c r="F831" s="3" t="s">
        <v>44</v>
      </c>
      <c r="G831" s="4" t="s">
        <v>4157</v>
      </c>
      <c r="H831" s="3"/>
    </row>
    <row r="832" ht="15.75" customHeight="1">
      <c r="A832" s="4" t="s">
        <v>5840</v>
      </c>
      <c r="B832" s="4" t="s">
        <v>5841</v>
      </c>
      <c r="C832" s="4" t="s">
        <v>377</v>
      </c>
      <c r="D832" s="3">
        <v>25.032934</v>
      </c>
      <c r="E832" s="3">
        <v>121.510102</v>
      </c>
      <c r="F832" s="3" t="s">
        <v>44</v>
      </c>
      <c r="G832" s="4" t="s">
        <v>4157</v>
      </c>
      <c r="H832" s="3"/>
    </row>
    <row r="833" ht="15.75" customHeight="1">
      <c r="A833" s="4" t="s">
        <v>5842</v>
      </c>
      <c r="B833" s="4" t="s">
        <v>5843</v>
      </c>
      <c r="C833" s="4" t="s">
        <v>380</v>
      </c>
      <c r="D833" s="3">
        <v>25.033062</v>
      </c>
      <c r="E833" s="3">
        <v>121.510004</v>
      </c>
      <c r="F833" s="3" t="s">
        <v>44</v>
      </c>
      <c r="G833" s="4" t="s">
        <v>4157</v>
      </c>
      <c r="H833" s="3"/>
    </row>
    <row r="834" ht="15.75" customHeight="1">
      <c r="A834" s="4" t="s">
        <v>5844</v>
      </c>
      <c r="B834" s="4" t="s">
        <v>5845</v>
      </c>
      <c r="C834" s="4" t="s">
        <v>384</v>
      </c>
      <c r="D834" s="3">
        <v>25.033264</v>
      </c>
      <c r="E834" s="3">
        <v>121.510398</v>
      </c>
      <c r="F834" s="3" t="s">
        <v>44</v>
      </c>
      <c r="G834" s="4" t="s">
        <v>4157</v>
      </c>
      <c r="H834" s="3"/>
    </row>
    <row r="835" ht="15.75" customHeight="1">
      <c r="A835" s="4" t="s">
        <v>5846</v>
      </c>
      <c r="B835" s="4" t="s">
        <v>5847</v>
      </c>
      <c r="C835" s="4" t="s">
        <v>390</v>
      </c>
      <c r="D835" s="3">
        <v>25.033181</v>
      </c>
      <c r="E835" s="3">
        <v>121.510283</v>
      </c>
      <c r="F835" s="3" t="s">
        <v>44</v>
      </c>
      <c r="G835" s="4" t="s">
        <v>4157</v>
      </c>
      <c r="H835" s="3"/>
    </row>
    <row r="836" ht="15.75" customHeight="1">
      <c r="A836" s="4" t="s">
        <v>5848</v>
      </c>
      <c r="B836" s="4" t="s">
        <v>5849</v>
      </c>
      <c r="C836" s="4" t="s">
        <v>393</v>
      </c>
      <c r="D836" s="3">
        <v>25.032887</v>
      </c>
      <c r="E836" s="3">
        <v>121.510064</v>
      </c>
      <c r="F836" s="3" t="s">
        <v>44</v>
      </c>
      <c r="G836" s="4" t="s">
        <v>4157</v>
      </c>
      <c r="H836" s="3"/>
    </row>
    <row r="837" ht="15.75" customHeight="1">
      <c r="A837" s="4" t="s">
        <v>5850</v>
      </c>
      <c r="B837" s="4" t="s">
        <v>5851</v>
      </c>
      <c r="C837" s="4" t="s">
        <v>403</v>
      </c>
      <c r="D837" s="3">
        <v>25.032794</v>
      </c>
      <c r="E837" s="3">
        <v>121.509896</v>
      </c>
      <c r="F837" s="3" t="s">
        <v>44</v>
      </c>
      <c r="G837" s="4" t="s">
        <v>4157</v>
      </c>
      <c r="H837" s="3"/>
    </row>
    <row r="838" ht="15.75" customHeight="1">
      <c r="A838" s="4" t="s">
        <v>5852</v>
      </c>
      <c r="B838" s="4" t="s">
        <v>5853</v>
      </c>
      <c r="C838" s="4" t="s">
        <v>406</v>
      </c>
      <c r="D838" s="3">
        <v>25.032807</v>
      </c>
      <c r="E838" s="3">
        <v>121.510106</v>
      </c>
      <c r="F838" s="3" t="s">
        <v>44</v>
      </c>
      <c r="G838" s="4" t="s">
        <v>4157</v>
      </c>
      <c r="H838" s="3"/>
    </row>
    <row r="839" ht="15.75" customHeight="1">
      <c r="A839" s="4" t="s">
        <v>5854</v>
      </c>
      <c r="B839" s="4" t="s">
        <v>5855</v>
      </c>
      <c r="C839" s="4" t="s">
        <v>409</v>
      </c>
      <c r="D839" s="3">
        <v>25.032793</v>
      </c>
      <c r="E839" s="3">
        <v>121.509941</v>
      </c>
      <c r="F839" s="3" t="s">
        <v>44</v>
      </c>
      <c r="G839" s="4" t="s">
        <v>4157</v>
      </c>
      <c r="H839" s="3"/>
    </row>
    <row r="840" ht="15.75" customHeight="1">
      <c r="A840" s="4" t="s">
        <v>5856</v>
      </c>
      <c r="B840" s="4" t="s">
        <v>5857</v>
      </c>
      <c r="C840" s="4" t="s">
        <v>414</v>
      </c>
      <c r="D840" s="3">
        <v>25.032765</v>
      </c>
      <c r="E840" s="3">
        <v>121.50993</v>
      </c>
      <c r="F840" s="3" t="s">
        <v>44</v>
      </c>
      <c r="G840" s="4" t="s">
        <v>4157</v>
      </c>
      <c r="H840" s="3"/>
    </row>
    <row r="841" ht="15.75" customHeight="1">
      <c r="A841" s="4" t="s">
        <v>5858</v>
      </c>
      <c r="B841" s="4" t="s">
        <v>5859</v>
      </c>
      <c r="C841" s="4" t="s">
        <v>429</v>
      </c>
      <c r="D841" s="3">
        <v>25.032726</v>
      </c>
      <c r="E841" s="3">
        <v>121.509898</v>
      </c>
      <c r="F841" s="3" t="s">
        <v>130</v>
      </c>
      <c r="G841" s="4" t="s">
        <v>4157</v>
      </c>
      <c r="H841" s="3"/>
    </row>
    <row r="842" ht="15.75" customHeight="1">
      <c r="A842" s="4" t="s">
        <v>5860</v>
      </c>
      <c r="B842" s="4" t="s">
        <v>5861</v>
      </c>
      <c r="C842" s="4" t="s">
        <v>432</v>
      </c>
      <c r="D842" s="3">
        <v>25.032573</v>
      </c>
      <c r="E842" s="3">
        <v>121.510012</v>
      </c>
      <c r="F842" s="3" t="s">
        <v>130</v>
      </c>
      <c r="G842" s="4" t="s">
        <v>4157</v>
      </c>
      <c r="H842" s="3"/>
    </row>
    <row r="843" ht="15.75" customHeight="1">
      <c r="A843" s="4" t="s">
        <v>5862</v>
      </c>
      <c r="B843" s="4" t="s">
        <v>5863</v>
      </c>
      <c r="C843" s="4" t="s">
        <v>436</v>
      </c>
      <c r="D843" s="3">
        <v>25.032746</v>
      </c>
      <c r="E843" s="3">
        <v>121.509909</v>
      </c>
      <c r="F843" s="3" t="s">
        <v>130</v>
      </c>
      <c r="G843" s="4" t="s">
        <v>4157</v>
      </c>
      <c r="H843" s="3"/>
    </row>
    <row r="844" ht="15.75" customHeight="1">
      <c r="A844" s="4" t="s">
        <v>5864</v>
      </c>
      <c r="B844" s="4" t="s">
        <v>5865</v>
      </c>
      <c r="C844" s="4" t="s">
        <v>449</v>
      </c>
      <c r="D844" s="3">
        <v>25.032658</v>
      </c>
      <c r="E844" s="3">
        <v>121.509846</v>
      </c>
      <c r="F844" s="3" t="s">
        <v>130</v>
      </c>
      <c r="G844" s="4" t="s">
        <v>4157</v>
      </c>
      <c r="H844" s="3"/>
    </row>
    <row r="845" ht="15.75" customHeight="1">
      <c r="A845" s="4" t="s">
        <v>5866</v>
      </c>
      <c r="B845" s="4" t="s">
        <v>5867</v>
      </c>
      <c r="C845" s="4" t="s">
        <v>453</v>
      </c>
      <c r="D845" s="3">
        <v>25.032764</v>
      </c>
      <c r="E845" s="3">
        <v>121.509887</v>
      </c>
      <c r="F845" s="3" t="s">
        <v>130</v>
      </c>
      <c r="G845" s="4" t="s">
        <v>4157</v>
      </c>
      <c r="H845" s="3"/>
    </row>
    <row r="846" ht="15.75" customHeight="1">
      <c r="A846" s="4" t="s">
        <v>5868</v>
      </c>
      <c r="B846" s="4" t="s">
        <v>5869</v>
      </c>
      <c r="C846" s="4" t="s">
        <v>455</v>
      </c>
      <c r="D846" s="3">
        <v>25.032594</v>
      </c>
      <c r="E846" s="3">
        <v>121.509978</v>
      </c>
      <c r="F846" s="3" t="s">
        <v>130</v>
      </c>
      <c r="G846" s="4" t="s">
        <v>4157</v>
      </c>
      <c r="H846" s="3"/>
    </row>
    <row r="847" ht="15.75" customHeight="1">
      <c r="A847" s="4" t="s">
        <v>5870</v>
      </c>
      <c r="B847" s="4" t="s">
        <v>5871</v>
      </c>
      <c r="C847" s="4" t="s">
        <v>458</v>
      </c>
      <c r="D847" s="3">
        <v>25.033131</v>
      </c>
      <c r="E847" s="3">
        <v>121.510384</v>
      </c>
      <c r="F847" s="3" t="s">
        <v>44</v>
      </c>
      <c r="G847" s="4" t="s">
        <v>4157</v>
      </c>
      <c r="H847" s="3"/>
    </row>
    <row r="848" ht="15.75" customHeight="1">
      <c r="A848" s="4" t="s">
        <v>5872</v>
      </c>
      <c r="B848" s="4" t="s">
        <v>5873</v>
      </c>
      <c r="C848" s="4" t="s">
        <v>471</v>
      </c>
      <c r="D848" s="3">
        <v>25.032835</v>
      </c>
      <c r="E848" s="3">
        <v>121.509893</v>
      </c>
      <c r="F848" s="3" t="s">
        <v>44</v>
      </c>
      <c r="G848" s="4" t="s">
        <v>4157</v>
      </c>
      <c r="H848" s="3"/>
    </row>
    <row r="849" ht="15.75" customHeight="1">
      <c r="A849" s="4" t="s">
        <v>5874</v>
      </c>
      <c r="B849" s="4" t="s">
        <v>5875</v>
      </c>
      <c r="C849" s="4" t="s">
        <v>474</v>
      </c>
      <c r="D849" s="3">
        <v>25.03275</v>
      </c>
      <c r="E849" s="3">
        <v>121.509864</v>
      </c>
      <c r="F849" s="3" t="s">
        <v>130</v>
      </c>
      <c r="G849" s="4" t="s">
        <v>4157</v>
      </c>
      <c r="H849" s="3"/>
    </row>
    <row r="850" ht="15.75" customHeight="1">
      <c r="A850" s="4" t="s">
        <v>5876</v>
      </c>
      <c r="B850" s="4" t="s">
        <v>5877</v>
      </c>
      <c r="C850" s="4" t="s">
        <v>477</v>
      </c>
      <c r="D850" s="3">
        <v>25.032779</v>
      </c>
      <c r="E850" s="3">
        <v>121.510309</v>
      </c>
      <c r="F850" s="3" t="s">
        <v>44</v>
      </c>
      <c r="G850" s="4" t="s">
        <v>4157</v>
      </c>
      <c r="H850" s="3"/>
    </row>
    <row r="851" ht="15.75" customHeight="1">
      <c r="A851" s="4" t="s">
        <v>5878</v>
      </c>
      <c r="B851" s="4" t="s">
        <v>5879</v>
      </c>
      <c r="C851" s="4" t="s">
        <v>480</v>
      </c>
      <c r="D851" s="3">
        <v>25.032939</v>
      </c>
      <c r="E851" s="3">
        <v>121.510263</v>
      </c>
      <c r="F851" s="3" t="s">
        <v>44</v>
      </c>
      <c r="G851" s="4" t="s">
        <v>4157</v>
      </c>
      <c r="H851" s="3"/>
    </row>
    <row r="852" ht="15.75" customHeight="1">
      <c r="A852" s="4" t="s">
        <v>5880</v>
      </c>
      <c r="B852" s="4" t="s">
        <v>5881</v>
      </c>
      <c r="C852" s="4" t="s">
        <v>484</v>
      </c>
      <c r="D852" s="3">
        <v>25.032773</v>
      </c>
      <c r="E852" s="3">
        <v>121.510233</v>
      </c>
      <c r="F852" s="3" t="s">
        <v>44</v>
      </c>
      <c r="G852" s="4" t="s">
        <v>4157</v>
      </c>
      <c r="H852" s="3"/>
    </row>
    <row r="853" ht="15.75" customHeight="1">
      <c r="A853" s="4" t="s">
        <v>5882</v>
      </c>
      <c r="B853" s="4" t="s">
        <v>5883</v>
      </c>
      <c r="C853" s="4" t="s">
        <v>488</v>
      </c>
      <c r="D853" s="3">
        <v>25.032714</v>
      </c>
      <c r="E853" s="3">
        <v>121.509867</v>
      </c>
      <c r="F853" s="3" t="s">
        <v>130</v>
      </c>
      <c r="G853" s="4" t="s">
        <v>4157</v>
      </c>
      <c r="H853" s="3"/>
    </row>
    <row r="854" ht="15.75" customHeight="1">
      <c r="A854" s="4" t="s">
        <v>5884</v>
      </c>
      <c r="B854" s="4" t="s">
        <v>5885</v>
      </c>
      <c r="C854" s="4" t="s">
        <v>491</v>
      </c>
      <c r="D854" s="3">
        <v>25.032676</v>
      </c>
      <c r="E854" s="3">
        <v>121.509998</v>
      </c>
      <c r="F854" s="3" t="s">
        <v>130</v>
      </c>
      <c r="G854" s="4" t="s">
        <v>4157</v>
      </c>
      <c r="H854" s="3"/>
    </row>
    <row r="855" ht="15.75" customHeight="1">
      <c r="A855" s="4" t="s">
        <v>5886</v>
      </c>
      <c r="B855" s="4" t="s">
        <v>5887</v>
      </c>
      <c r="C855" s="4" t="s">
        <v>494</v>
      </c>
      <c r="D855" s="3">
        <v>25.032822</v>
      </c>
      <c r="E855" s="3">
        <v>121.509949</v>
      </c>
      <c r="F855" s="3" t="s">
        <v>44</v>
      </c>
      <c r="G855" s="4" t="s">
        <v>4157</v>
      </c>
      <c r="H855" s="3"/>
    </row>
    <row r="856" ht="15.75" customHeight="1">
      <c r="A856" s="4" t="s">
        <v>5888</v>
      </c>
      <c r="B856" s="4" t="s">
        <v>5889</v>
      </c>
      <c r="C856" s="4" t="s">
        <v>497</v>
      </c>
      <c r="D856" s="3">
        <v>25.033528</v>
      </c>
      <c r="E856" s="3">
        <v>121.510248</v>
      </c>
      <c r="F856" s="3" t="s">
        <v>44</v>
      </c>
      <c r="G856" s="4" t="s">
        <v>4157</v>
      </c>
      <c r="H856" s="3"/>
    </row>
    <row r="857" ht="15.75" customHeight="1">
      <c r="A857" s="4" t="s">
        <v>5890</v>
      </c>
      <c r="B857" s="4" t="s">
        <v>5891</v>
      </c>
      <c r="C857" s="4" t="s">
        <v>501</v>
      </c>
      <c r="D857" s="3">
        <v>25.033338</v>
      </c>
      <c r="E857" s="3">
        <v>121.510155</v>
      </c>
      <c r="F857" s="3" t="s">
        <v>44</v>
      </c>
      <c r="G857" s="4" t="s">
        <v>4157</v>
      </c>
      <c r="H857" s="3"/>
    </row>
    <row r="858" ht="15.75" customHeight="1">
      <c r="A858" s="4" t="s">
        <v>5892</v>
      </c>
      <c r="B858" s="4" t="s">
        <v>5893</v>
      </c>
      <c r="C858" s="4" t="s">
        <v>504</v>
      </c>
      <c r="D858" s="3">
        <v>25.033229</v>
      </c>
      <c r="E858" s="3">
        <v>121.510259</v>
      </c>
      <c r="F858" s="3" t="s">
        <v>44</v>
      </c>
      <c r="G858" s="4" t="s">
        <v>4157</v>
      </c>
      <c r="H858" s="3"/>
    </row>
    <row r="859" ht="15.75" customHeight="1">
      <c r="A859" s="4" t="s">
        <v>5894</v>
      </c>
      <c r="B859" s="4" t="s">
        <v>5895</v>
      </c>
      <c r="C859" s="4" t="s">
        <v>507</v>
      </c>
      <c r="D859" s="3">
        <v>25.032908</v>
      </c>
      <c r="E859" s="3">
        <v>121.510192</v>
      </c>
      <c r="F859" s="3" t="s">
        <v>44</v>
      </c>
      <c r="G859" s="4" t="s">
        <v>4157</v>
      </c>
      <c r="H859" s="3"/>
    </row>
    <row r="860" ht="15.75" customHeight="1">
      <c r="A860" s="4" t="s">
        <v>5896</v>
      </c>
      <c r="B860" s="4" t="s">
        <v>5897</v>
      </c>
      <c r="C860" s="4" t="s">
        <v>512</v>
      </c>
      <c r="D860" s="3">
        <v>25.032782</v>
      </c>
      <c r="E860" s="3">
        <v>121.509918</v>
      </c>
      <c r="F860" s="3" t="s">
        <v>44</v>
      </c>
      <c r="G860" s="4" t="s">
        <v>4157</v>
      </c>
      <c r="H860" s="3"/>
    </row>
    <row r="861" ht="15.75" customHeight="1">
      <c r="A861" s="4" t="s">
        <v>5898</v>
      </c>
      <c r="B861" s="4" t="s">
        <v>5899</v>
      </c>
      <c r="C861" s="4" t="s">
        <v>3909</v>
      </c>
      <c r="D861" s="3">
        <v>25.031549</v>
      </c>
      <c r="E861" s="3">
        <v>121.509985</v>
      </c>
      <c r="F861" s="3" t="s">
        <v>44</v>
      </c>
      <c r="G861" s="4" t="s">
        <v>4157</v>
      </c>
      <c r="H861" s="3"/>
    </row>
    <row r="862" ht="15.75" customHeight="1">
      <c r="A862" s="4" t="s">
        <v>5900</v>
      </c>
      <c r="B862" s="4" t="s">
        <v>5901</v>
      </c>
      <c r="C862" s="4" t="s">
        <v>3915</v>
      </c>
      <c r="D862" s="3">
        <v>25.032082</v>
      </c>
      <c r="E862" s="3">
        <v>121.510254</v>
      </c>
      <c r="F862" s="3" t="s">
        <v>44</v>
      </c>
      <c r="G862" s="4" t="s">
        <v>4157</v>
      </c>
      <c r="H862" s="3"/>
    </row>
    <row r="863" ht="15.75" customHeight="1">
      <c r="A863" s="4" t="s">
        <v>5902</v>
      </c>
      <c r="B863" s="4" t="s">
        <v>5903</v>
      </c>
      <c r="C863" s="4" t="s">
        <v>3918</v>
      </c>
      <c r="D863" s="3">
        <v>25.032119</v>
      </c>
      <c r="E863" s="3">
        <v>121.509992</v>
      </c>
      <c r="F863" s="3" t="s">
        <v>44</v>
      </c>
      <c r="G863" s="4" t="s">
        <v>4157</v>
      </c>
      <c r="H863" s="3"/>
    </row>
    <row r="864" ht="15.75" customHeight="1">
      <c r="A864" s="9" t="s">
        <v>5904</v>
      </c>
      <c r="B864" s="4" t="s">
        <v>5905</v>
      </c>
      <c r="C864" s="9" t="s">
        <v>3921</v>
      </c>
      <c r="D864" s="3">
        <v>25.032278</v>
      </c>
      <c r="E864" s="3">
        <v>121.510076</v>
      </c>
      <c r="F864" s="3" t="s">
        <v>44</v>
      </c>
      <c r="G864" s="4" t="s">
        <v>4157</v>
      </c>
      <c r="H864" s="3"/>
    </row>
    <row r="865" ht="15.75" customHeight="1">
      <c r="A865" s="4" t="s">
        <v>5906</v>
      </c>
      <c r="B865" s="4" t="s">
        <v>5907</v>
      </c>
      <c r="C865" s="4" t="s">
        <v>3934</v>
      </c>
      <c r="D865" s="3">
        <v>25.032244</v>
      </c>
      <c r="E865" s="3">
        <v>121.509775</v>
      </c>
      <c r="F865" s="3" t="s">
        <v>44</v>
      </c>
      <c r="G865" s="4" t="s">
        <v>4157</v>
      </c>
      <c r="H865" s="3"/>
    </row>
    <row r="866" ht="15.75" customHeight="1">
      <c r="A866" s="4" t="s">
        <v>5908</v>
      </c>
      <c r="B866" s="4" t="s">
        <v>5909</v>
      </c>
      <c r="C866" s="4" t="s">
        <v>3944</v>
      </c>
      <c r="D866" s="3">
        <v>25.032265</v>
      </c>
      <c r="E866" s="3">
        <v>121.509991</v>
      </c>
      <c r="F866" s="3" t="s">
        <v>44</v>
      </c>
      <c r="G866" s="4" t="s">
        <v>4157</v>
      </c>
      <c r="H866" s="3"/>
    </row>
    <row r="867" ht="15.75" customHeight="1">
      <c r="A867" s="4" t="s">
        <v>5910</v>
      </c>
      <c r="B867" s="4" t="s">
        <v>5911</v>
      </c>
      <c r="C867" s="4" t="s">
        <v>3946</v>
      </c>
      <c r="D867" s="3">
        <v>25.032356</v>
      </c>
      <c r="E867" s="3">
        <v>121.510251</v>
      </c>
      <c r="F867" s="3" t="s">
        <v>44</v>
      </c>
      <c r="G867" s="4" t="s">
        <v>4157</v>
      </c>
      <c r="H867" s="3"/>
    </row>
    <row r="868" ht="15.75" customHeight="1">
      <c r="A868" s="4" t="s">
        <v>5912</v>
      </c>
      <c r="B868" s="4" t="s">
        <v>5913</v>
      </c>
      <c r="C868" s="4" t="s">
        <v>3948</v>
      </c>
      <c r="D868" s="3">
        <v>25.03221</v>
      </c>
      <c r="E868" s="3">
        <v>121.510039</v>
      </c>
      <c r="F868" s="3" t="s">
        <v>44</v>
      </c>
      <c r="G868" s="4" t="s">
        <v>4157</v>
      </c>
      <c r="H868" s="3"/>
    </row>
    <row r="869" ht="15.75" customHeight="1">
      <c r="A869" s="4" t="s">
        <v>5914</v>
      </c>
      <c r="B869" s="4" t="s">
        <v>5915</v>
      </c>
      <c r="C869" s="4" t="s">
        <v>3953</v>
      </c>
      <c r="D869" s="3">
        <v>25.032126</v>
      </c>
      <c r="E869" s="3">
        <v>121.510043</v>
      </c>
      <c r="F869" s="3" t="s">
        <v>44</v>
      </c>
      <c r="G869" s="4" t="s">
        <v>4157</v>
      </c>
      <c r="H869" s="3"/>
    </row>
    <row r="870" ht="15.75" customHeight="1">
      <c r="A870" s="4" t="s">
        <v>5916</v>
      </c>
      <c r="B870" s="4" t="s">
        <v>5917</v>
      </c>
      <c r="C870" s="4" t="s">
        <v>3956</v>
      </c>
      <c r="D870" s="3">
        <v>25.031594</v>
      </c>
      <c r="E870" s="3">
        <v>121.509933</v>
      </c>
      <c r="F870" s="3" t="s">
        <v>44</v>
      </c>
      <c r="G870" s="4" t="s">
        <v>4157</v>
      </c>
      <c r="H870" s="3"/>
    </row>
    <row r="871" ht="15.75" customHeight="1">
      <c r="A871" s="4" t="s">
        <v>5918</v>
      </c>
      <c r="B871" s="4" t="s">
        <v>5919</v>
      </c>
      <c r="C871" s="4" t="s">
        <v>3965</v>
      </c>
      <c r="D871" s="3">
        <v>25.032236</v>
      </c>
      <c r="E871" s="3">
        <v>121.510226</v>
      </c>
      <c r="F871" s="3" t="s">
        <v>44</v>
      </c>
      <c r="G871" s="4" t="s">
        <v>4157</v>
      </c>
      <c r="H871" s="3"/>
    </row>
    <row r="872" ht="15.75" customHeight="1">
      <c r="A872" s="4" t="s">
        <v>5920</v>
      </c>
      <c r="B872" s="4" t="s">
        <v>5921</v>
      </c>
      <c r="C872" s="4" t="s">
        <v>3971</v>
      </c>
      <c r="D872" s="3">
        <v>25.03234</v>
      </c>
      <c r="E872" s="3">
        <v>121.50996</v>
      </c>
      <c r="F872" s="3" t="s">
        <v>44</v>
      </c>
      <c r="G872" s="4" t="s">
        <v>4157</v>
      </c>
      <c r="H872" s="3"/>
    </row>
    <row r="873" ht="15.75" customHeight="1">
      <c r="A873" s="4" t="s">
        <v>5922</v>
      </c>
      <c r="B873" s="4" t="s">
        <v>5923</v>
      </c>
      <c r="C873" s="4" t="s">
        <v>3986</v>
      </c>
      <c r="D873" s="3">
        <v>25.032136</v>
      </c>
      <c r="E873" s="3">
        <v>121.509785</v>
      </c>
      <c r="F873" s="3" t="s">
        <v>44</v>
      </c>
      <c r="G873" s="4" t="s">
        <v>4157</v>
      </c>
      <c r="H873" s="3"/>
    </row>
    <row r="874" ht="15.75" customHeight="1">
      <c r="A874" s="4" t="s">
        <v>5924</v>
      </c>
      <c r="B874" s="4" t="s">
        <v>5925</v>
      </c>
      <c r="C874" s="4" t="s">
        <v>2366</v>
      </c>
      <c r="D874" s="3">
        <v>25.031481</v>
      </c>
      <c r="E874" s="3">
        <v>121.510017</v>
      </c>
      <c r="F874" s="3" t="s">
        <v>44</v>
      </c>
      <c r="G874" s="4" t="s">
        <v>4157</v>
      </c>
      <c r="H874" s="3"/>
    </row>
    <row r="875" ht="15.75" customHeight="1">
      <c r="A875" s="4" t="s">
        <v>5926</v>
      </c>
      <c r="B875" s="4" t="s">
        <v>5927</v>
      </c>
      <c r="C875" s="4" t="s">
        <v>4005</v>
      </c>
      <c r="D875" s="3">
        <v>25.031578</v>
      </c>
      <c r="E875" s="3">
        <v>121.51026</v>
      </c>
      <c r="F875" s="3" t="s">
        <v>44</v>
      </c>
      <c r="G875" s="4" t="s">
        <v>4157</v>
      </c>
      <c r="H875" s="3"/>
    </row>
    <row r="876" ht="15.75" customHeight="1">
      <c r="A876" s="4" t="s">
        <v>5928</v>
      </c>
      <c r="B876" s="4" t="s">
        <v>5929</v>
      </c>
      <c r="C876" s="4" t="s">
        <v>4008</v>
      </c>
      <c r="D876" s="3">
        <v>25.031609</v>
      </c>
      <c r="E876" s="3">
        <v>121.509889</v>
      </c>
      <c r="F876" s="3" t="s">
        <v>44</v>
      </c>
      <c r="G876" s="4" t="s">
        <v>4157</v>
      </c>
      <c r="H876" s="3"/>
    </row>
    <row r="877" ht="15.75" customHeight="1">
      <c r="A877" s="4" t="s">
        <v>5930</v>
      </c>
      <c r="B877" s="4" t="s">
        <v>5931</v>
      </c>
      <c r="C877" s="4" t="s">
        <v>4010</v>
      </c>
      <c r="D877" s="3">
        <v>25.031753</v>
      </c>
      <c r="E877" s="3">
        <v>121.50996</v>
      </c>
      <c r="F877" s="3" t="s">
        <v>44</v>
      </c>
      <c r="G877" s="4" t="s">
        <v>4157</v>
      </c>
      <c r="H877" s="3"/>
    </row>
    <row r="878" ht="15.75" customHeight="1">
      <c r="A878" s="4" t="s">
        <v>5932</v>
      </c>
      <c r="B878" s="4" t="s">
        <v>5933</v>
      </c>
      <c r="C878" s="4" t="s">
        <v>4012</v>
      </c>
      <c r="D878" s="3">
        <v>25.032367</v>
      </c>
      <c r="E878" s="3">
        <v>121.510067</v>
      </c>
      <c r="F878" s="3" t="s">
        <v>44</v>
      </c>
      <c r="G878" s="4" t="s">
        <v>4157</v>
      </c>
      <c r="H878" s="3"/>
    </row>
    <row r="879" ht="15.75" customHeight="1">
      <c r="A879" s="4" t="s">
        <v>5934</v>
      </c>
      <c r="B879" s="4" t="s">
        <v>5935</v>
      </c>
      <c r="C879" s="4" t="s">
        <v>4014</v>
      </c>
      <c r="D879" s="3">
        <v>25.032205</v>
      </c>
      <c r="E879" s="3">
        <v>121.509708</v>
      </c>
      <c r="F879" s="3" t="s">
        <v>44</v>
      </c>
      <c r="G879" s="4" t="s">
        <v>4157</v>
      </c>
      <c r="H879" s="3"/>
    </row>
    <row r="880" ht="15.75" customHeight="1">
      <c r="A880" s="4" t="s">
        <v>5936</v>
      </c>
      <c r="B880" s="4" t="s">
        <v>5937</v>
      </c>
      <c r="C880" s="4" t="s">
        <v>4016</v>
      </c>
      <c r="D880" s="3">
        <v>25.032149</v>
      </c>
      <c r="E880" s="3">
        <v>121.509725</v>
      </c>
      <c r="F880" s="3" t="s">
        <v>44</v>
      </c>
      <c r="G880" s="4" t="s">
        <v>4157</v>
      </c>
      <c r="H880" s="3"/>
    </row>
    <row r="881" ht="15.75" customHeight="1">
      <c r="A881" s="4" t="s">
        <v>5938</v>
      </c>
      <c r="B881" s="4" t="s">
        <v>5939</v>
      </c>
      <c r="C881" s="4" t="s">
        <v>3992</v>
      </c>
      <c r="D881" s="3">
        <v>25.031566</v>
      </c>
      <c r="E881" s="3">
        <v>121.509923</v>
      </c>
      <c r="F881" s="3" t="s">
        <v>44</v>
      </c>
      <c r="G881" s="4" t="s">
        <v>4157</v>
      </c>
      <c r="H881" s="3"/>
    </row>
    <row r="882" ht="15.75" customHeight="1">
      <c r="A882" s="4" t="s">
        <v>5940</v>
      </c>
      <c r="B882" s="4" t="s">
        <v>5941</v>
      </c>
      <c r="C882" s="4" t="s">
        <v>4023</v>
      </c>
      <c r="D882" s="3">
        <v>25.03224</v>
      </c>
      <c r="E882" s="3">
        <v>121.509718</v>
      </c>
      <c r="F882" s="3" t="s">
        <v>44</v>
      </c>
      <c r="G882" s="4" t="s">
        <v>4157</v>
      </c>
      <c r="H882" s="3"/>
    </row>
    <row r="883" ht="15.75" customHeight="1">
      <c r="A883" s="4" t="s">
        <v>5942</v>
      </c>
      <c r="B883" s="4" t="s">
        <v>5943</v>
      </c>
      <c r="C883" s="4" t="s">
        <v>4026</v>
      </c>
      <c r="D883" s="3">
        <v>25.031509</v>
      </c>
      <c r="E883" s="3">
        <v>121.51011</v>
      </c>
      <c r="F883" s="3" t="s">
        <v>44</v>
      </c>
      <c r="G883" s="4" t="s">
        <v>4157</v>
      </c>
      <c r="H883" s="3"/>
    </row>
    <row r="884" ht="15.75" customHeight="1">
      <c r="A884" s="4" t="s">
        <v>5944</v>
      </c>
      <c r="B884" s="4" t="s">
        <v>5945</v>
      </c>
      <c r="C884" s="4" t="s">
        <v>4028</v>
      </c>
      <c r="D884" s="3">
        <v>25.032227</v>
      </c>
      <c r="E884" s="3">
        <v>121.509676</v>
      </c>
      <c r="F884" s="3" t="s">
        <v>156</v>
      </c>
      <c r="G884" s="4" t="s">
        <v>4157</v>
      </c>
      <c r="H884" s="3"/>
    </row>
    <row r="885" ht="15.75" customHeight="1">
      <c r="A885" s="4" t="s">
        <v>5946</v>
      </c>
      <c r="B885" s="4" t="s">
        <v>5947</v>
      </c>
      <c r="C885" s="4" t="s">
        <v>4031</v>
      </c>
      <c r="D885" s="3">
        <v>25.031563</v>
      </c>
      <c r="E885" s="3">
        <v>121.510226</v>
      </c>
      <c r="F885" s="3" t="s">
        <v>44</v>
      </c>
      <c r="G885" s="4" t="s">
        <v>4157</v>
      </c>
      <c r="H885" s="3"/>
    </row>
    <row r="886" ht="15.75" customHeight="1">
      <c r="A886" s="4" t="s">
        <v>5948</v>
      </c>
      <c r="B886" s="4" t="s">
        <v>5949</v>
      </c>
      <c r="C886" s="4" t="s">
        <v>4034</v>
      </c>
      <c r="D886" s="3">
        <v>25.03199</v>
      </c>
      <c r="E886" s="3">
        <v>121.510244</v>
      </c>
      <c r="F886" s="3" t="s">
        <v>44</v>
      </c>
      <c r="G886" s="4" t="s">
        <v>4157</v>
      </c>
      <c r="H886" s="3"/>
    </row>
    <row r="887" ht="15.75" customHeight="1">
      <c r="A887" s="4" t="s">
        <v>5950</v>
      </c>
      <c r="B887" s="4" t="s">
        <v>5951</v>
      </c>
      <c r="C887" s="4" t="s">
        <v>4036</v>
      </c>
      <c r="D887" s="3">
        <v>25.032103</v>
      </c>
      <c r="E887" s="3">
        <v>121.509726</v>
      </c>
      <c r="F887" s="3" t="s">
        <v>44</v>
      </c>
      <c r="G887" s="4" t="s">
        <v>4157</v>
      </c>
      <c r="H887" s="3"/>
    </row>
    <row r="888" ht="15.75" customHeight="1">
      <c r="A888" s="4" t="s">
        <v>5952</v>
      </c>
      <c r="B888" s="4" t="s">
        <v>5953</v>
      </c>
      <c r="C888" s="4" t="s">
        <v>4038</v>
      </c>
      <c r="D888" s="3">
        <v>25.031612</v>
      </c>
      <c r="E888" s="3">
        <v>121.509842</v>
      </c>
      <c r="F888" s="3" t="s">
        <v>44</v>
      </c>
      <c r="G888" s="4" t="s">
        <v>4157</v>
      </c>
      <c r="H888" s="3"/>
    </row>
    <row r="889" ht="15.75" customHeight="1">
      <c r="A889" s="4" t="s">
        <v>5954</v>
      </c>
      <c r="B889" s="4" t="s">
        <v>5955</v>
      </c>
      <c r="C889" s="4" t="s">
        <v>4040</v>
      </c>
      <c r="D889" s="3">
        <v>25.032319</v>
      </c>
      <c r="E889" s="3">
        <v>121.510016</v>
      </c>
      <c r="F889" s="3" t="s">
        <v>44</v>
      </c>
      <c r="G889" s="4" t="s">
        <v>4157</v>
      </c>
      <c r="H889" s="3"/>
    </row>
    <row r="890" ht="15.75" customHeight="1">
      <c r="A890" s="4" t="s">
        <v>5956</v>
      </c>
      <c r="B890" s="4" t="s">
        <v>5957</v>
      </c>
      <c r="C890" s="4" t="s">
        <v>4042</v>
      </c>
      <c r="D890" s="3">
        <v>25.032077</v>
      </c>
      <c r="E890" s="3">
        <v>121.509897</v>
      </c>
      <c r="F890" s="3" t="s">
        <v>44</v>
      </c>
      <c r="G890" s="4" t="s">
        <v>4157</v>
      </c>
      <c r="H890" s="3"/>
    </row>
    <row r="891" ht="15.75" customHeight="1">
      <c r="A891" s="4" t="s">
        <v>5958</v>
      </c>
      <c r="B891" s="4" t="s">
        <v>5959</v>
      </c>
      <c r="C891" s="4" t="s">
        <v>4044</v>
      </c>
      <c r="D891" s="3">
        <v>25.032235</v>
      </c>
      <c r="E891" s="3">
        <v>121.509829</v>
      </c>
      <c r="F891" s="3" t="s">
        <v>44</v>
      </c>
      <c r="G891" s="4" t="s">
        <v>4157</v>
      </c>
      <c r="H891" s="3"/>
    </row>
    <row r="892" ht="15.75" customHeight="1">
      <c r="A892" s="4" t="s">
        <v>5960</v>
      </c>
      <c r="B892" s="4" t="s">
        <v>5961</v>
      </c>
      <c r="C892" s="4" t="s">
        <v>756</v>
      </c>
      <c r="D892" s="3">
        <v>25.031463</v>
      </c>
      <c r="E892" s="3">
        <v>121.50973</v>
      </c>
      <c r="F892" s="3" t="s">
        <v>44</v>
      </c>
      <c r="G892" s="4" t="s">
        <v>4157</v>
      </c>
      <c r="H892" s="3"/>
    </row>
    <row r="893" ht="15.75" customHeight="1">
      <c r="A893" s="4" t="s">
        <v>5962</v>
      </c>
      <c r="B893" s="4" t="s">
        <v>5963</v>
      </c>
      <c r="C893" s="4" t="s">
        <v>765</v>
      </c>
      <c r="D893" s="3">
        <v>25.03143</v>
      </c>
      <c r="E893" s="3">
        <v>121.509686</v>
      </c>
      <c r="F893" s="3" t="s">
        <v>44</v>
      </c>
      <c r="G893" s="4" t="s">
        <v>4157</v>
      </c>
      <c r="H893" s="3"/>
    </row>
    <row r="894" ht="15.75" customHeight="1">
      <c r="A894" s="4" t="s">
        <v>5964</v>
      </c>
      <c r="B894" s="4" t="s">
        <v>5965</v>
      </c>
      <c r="C894" s="4" t="s">
        <v>768</v>
      </c>
      <c r="D894" s="3">
        <v>25.03143</v>
      </c>
      <c r="E894" s="3">
        <v>121.509919</v>
      </c>
      <c r="F894" s="3" t="s">
        <v>44</v>
      </c>
      <c r="G894" s="4" t="s">
        <v>4157</v>
      </c>
      <c r="H894" s="3"/>
    </row>
    <row r="895" ht="15.75" customHeight="1">
      <c r="A895" s="4" t="s">
        <v>5966</v>
      </c>
      <c r="B895" s="4" t="s">
        <v>5967</v>
      </c>
      <c r="C895" s="4" t="s">
        <v>771</v>
      </c>
      <c r="D895" s="3">
        <v>25.031422</v>
      </c>
      <c r="E895" s="3">
        <v>121.509966</v>
      </c>
      <c r="F895" s="3" t="s">
        <v>44</v>
      </c>
      <c r="G895" s="4" t="s">
        <v>4157</v>
      </c>
      <c r="H895" s="3"/>
    </row>
    <row r="896" ht="15.75" customHeight="1">
      <c r="A896" s="4" t="s">
        <v>5968</v>
      </c>
      <c r="B896" s="4" t="s">
        <v>5969</v>
      </c>
      <c r="C896" s="4" t="s">
        <v>778</v>
      </c>
      <c r="D896" s="3">
        <v>25.031452</v>
      </c>
      <c r="E896" s="3">
        <v>121.509542</v>
      </c>
      <c r="F896" s="3" t="s">
        <v>156</v>
      </c>
      <c r="G896" s="4" t="s">
        <v>4157</v>
      </c>
      <c r="H896" s="3"/>
    </row>
    <row r="897" ht="15.75" customHeight="1">
      <c r="A897" s="4" t="s">
        <v>5970</v>
      </c>
      <c r="B897" s="4" t="s">
        <v>5971</v>
      </c>
      <c r="C897" s="4" t="s">
        <v>785</v>
      </c>
      <c r="D897" s="3">
        <v>25.031429</v>
      </c>
      <c r="E897" s="3">
        <v>121.50961</v>
      </c>
      <c r="F897" s="3" t="s">
        <v>44</v>
      </c>
      <c r="G897" s="4" t="s">
        <v>4157</v>
      </c>
      <c r="H897" s="3"/>
    </row>
    <row r="898" ht="15.75" customHeight="1">
      <c r="A898" s="4" t="s">
        <v>5972</v>
      </c>
      <c r="B898" s="4" t="s">
        <v>5973</v>
      </c>
      <c r="C898" s="4" t="s">
        <v>775</v>
      </c>
      <c r="D898" s="3">
        <v>25.031458</v>
      </c>
      <c r="E898" s="3">
        <v>121.509943</v>
      </c>
      <c r="F898" s="3" t="s">
        <v>44</v>
      </c>
      <c r="G898" s="4" t="s">
        <v>4157</v>
      </c>
      <c r="H898" s="3"/>
    </row>
    <row r="899" ht="15.75" customHeight="1">
      <c r="A899" s="4" t="s">
        <v>5974</v>
      </c>
      <c r="B899" s="4" t="s">
        <v>5975</v>
      </c>
      <c r="C899" s="4" t="s">
        <v>802</v>
      </c>
      <c r="D899" s="3">
        <v>25.031433</v>
      </c>
      <c r="E899" s="3">
        <v>121.509846</v>
      </c>
      <c r="F899" s="3" t="s">
        <v>44</v>
      </c>
      <c r="G899" s="4" t="s">
        <v>4157</v>
      </c>
      <c r="H899" s="3"/>
    </row>
    <row r="900" ht="15.75" customHeight="1">
      <c r="A900" s="4" t="s">
        <v>5976</v>
      </c>
      <c r="B900" s="4" t="s">
        <v>5977</v>
      </c>
      <c r="C900" s="4" t="s">
        <v>805</v>
      </c>
      <c r="D900" s="3">
        <v>25.031467</v>
      </c>
      <c r="E900" s="3">
        <v>121.509908</v>
      </c>
      <c r="F900" s="3" t="s">
        <v>44</v>
      </c>
      <c r="G900" s="4" t="s">
        <v>4157</v>
      </c>
      <c r="H900" s="3"/>
    </row>
    <row r="901" ht="15.75" customHeight="1">
      <c r="A901" s="4" t="s">
        <v>5978</v>
      </c>
      <c r="B901" s="4" t="s">
        <v>5979</v>
      </c>
      <c r="C901" s="4" t="s">
        <v>807</v>
      </c>
      <c r="D901" s="3">
        <v>25.031469</v>
      </c>
      <c r="E901" s="3">
        <v>121.509882</v>
      </c>
      <c r="F901" s="3" t="s">
        <v>44</v>
      </c>
      <c r="G901" s="4" t="s">
        <v>4157</v>
      </c>
      <c r="H901" s="3"/>
    </row>
    <row r="902" ht="15.75" customHeight="1">
      <c r="A902" s="4" t="s">
        <v>5980</v>
      </c>
      <c r="B902" s="4" t="s">
        <v>5981</v>
      </c>
      <c r="C902" s="4" t="s">
        <v>810</v>
      </c>
      <c r="D902" s="3">
        <v>25.031429</v>
      </c>
      <c r="E902" s="3">
        <v>121.509726</v>
      </c>
      <c r="F902" s="3" t="s">
        <v>44</v>
      </c>
      <c r="G902" s="4" t="s">
        <v>4157</v>
      </c>
      <c r="H902" s="3"/>
    </row>
    <row r="903" ht="15.75" customHeight="1">
      <c r="A903" s="4" t="s">
        <v>5982</v>
      </c>
      <c r="B903" s="4" t="s">
        <v>5983</v>
      </c>
      <c r="C903" s="4" t="s">
        <v>812</v>
      </c>
      <c r="D903" s="3">
        <v>25.031461</v>
      </c>
      <c r="E903" s="3">
        <v>121.50977</v>
      </c>
      <c r="F903" s="3" t="s">
        <v>44</v>
      </c>
      <c r="G903" s="4" t="s">
        <v>4157</v>
      </c>
      <c r="H903" s="3"/>
    </row>
    <row r="904" ht="15.75" customHeight="1">
      <c r="A904" s="4" t="s">
        <v>5984</v>
      </c>
      <c r="B904" s="4" t="s">
        <v>5985</v>
      </c>
      <c r="C904" s="4" t="s">
        <v>816</v>
      </c>
      <c r="D904" s="3">
        <v>25.031421</v>
      </c>
      <c r="E904" s="3">
        <v>121.509811</v>
      </c>
      <c r="F904" s="3" t="s">
        <v>44</v>
      </c>
      <c r="G904" s="4" t="s">
        <v>4157</v>
      </c>
      <c r="H904" s="3"/>
    </row>
    <row r="905" ht="15.75" customHeight="1">
      <c r="A905" s="4" t="s">
        <v>5986</v>
      </c>
      <c r="B905" s="4" t="s">
        <v>5987</v>
      </c>
      <c r="C905" s="4" t="s">
        <v>819</v>
      </c>
      <c r="D905" s="3">
        <v>25.031456</v>
      </c>
      <c r="E905" s="3">
        <v>121.509678</v>
      </c>
      <c r="F905" s="3" t="s">
        <v>44</v>
      </c>
      <c r="G905" s="4" t="s">
        <v>4157</v>
      </c>
      <c r="H905" s="3"/>
    </row>
    <row r="906" ht="15.75" customHeight="1">
      <c r="A906" s="4" t="s">
        <v>5988</v>
      </c>
      <c r="B906" s="4" t="s">
        <v>5989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4157</v>
      </c>
      <c r="H906" s="3"/>
    </row>
    <row r="907" ht="15.75" customHeight="1">
      <c r="A907" s="4" t="s">
        <v>5990</v>
      </c>
      <c r="B907" s="4" t="s">
        <v>5991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4157</v>
      </c>
      <c r="H907" s="3"/>
    </row>
    <row r="908" ht="15.75" customHeight="1">
      <c r="A908" s="4" t="s">
        <v>5992</v>
      </c>
      <c r="B908" s="4" t="s">
        <v>5993</v>
      </c>
      <c r="C908" s="4" t="s">
        <v>3054</v>
      </c>
      <c r="D908" s="3">
        <v>25.031964</v>
      </c>
      <c r="E908" s="3">
        <v>121.511232</v>
      </c>
      <c r="F908" s="3" t="s">
        <v>44</v>
      </c>
      <c r="G908" s="4" t="s">
        <v>4157</v>
      </c>
      <c r="H908" s="3"/>
    </row>
    <row r="909" ht="15.75" customHeight="1">
      <c r="A909" s="4" t="s">
        <v>5994</v>
      </c>
      <c r="B909" s="4" t="s">
        <v>5995</v>
      </c>
      <c r="C909" s="4" t="s">
        <v>2972</v>
      </c>
      <c r="D909" s="3">
        <v>25.03231</v>
      </c>
      <c r="E909" s="3">
        <v>121.510515</v>
      </c>
      <c r="F909" s="3" t="s">
        <v>44</v>
      </c>
      <c r="G909" s="4" t="s">
        <v>4157</v>
      </c>
      <c r="H909" s="3"/>
    </row>
    <row r="910" ht="15.75" customHeight="1">
      <c r="A910" s="4" t="s">
        <v>5996</v>
      </c>
      <c r="B910" s="4" t="s">
        <v>5997</v>
      </c>
      <c r="C910" s="4" t="s">
        <v>2974</v>
      </c>
      <c r="D910" s="3">
        <v>25.032065</v>
      </c>
      <c r="E910" s="3">
        <v>121.510503</v>
      </c>
      <c r="F910" s="3" t="s">
        <v>44</v>
      </c>
      <c r="G910" s="4" t="s">
        <v>4157</v>
      </c>
      <c r="H910" s="3"/>
    </row>
    <row r="911" ht="15.75" customHeight="1">
      <c r="A911" s="4" t="s">
        <v>5998</v>
      </c>
      <c r="B911" s="4" t="s">
        <v>5999</v>
      </c>
      <c r="C911" s="4" t="s">
        <v>3057</v>
      </c>
      <c r="D911" s="3">
        <v>25.031839</v>
      </c>
      <c r="E911" s="3">
        <v>121.510314</v>
      </c>
      <c r="F911" s="3" t="s">
        <v>44</v>
      </c>
      <c r="G911" s="4" t="s">
        <v>4157</v>
      </c>
      <c r="H911" s="3"/>
    </row>
    <row r="912" ht="15.75" customHeight="1">
      <c r="A912" s="4" t="s">
        <v>6000</v>
      </c>
      <c r="B912" s="4" t="s">
        <v>6001</v>
      </c>
      <c r="C912" s="4" t="s">
        <v>2976</v>
      </c>
      <c r="D912" s="3">
        <v>25.031561</v>
      </c>
      <c r="E912" s="3">
        <v>121.510241</v>
      </c>
      <c r="F912" s="3" t="s">
        <v>44</v>
      </c>
      <c r="G912" s="4" t="s">
        <v>4157</v>
      </c>
      <c r="H912" s="3"/>
    </row>
    <row r="913" ht="15.75" customHeight="1">
      <c r="A913" s="4" t="s">
        <v>6002</v>
      </c>
      <c r="B913" s="4" t="s">
        <v>6003</v>
      </c>
      <c r="C913" s="4" t="s">
        <v>2976</v>
      </c>
      <c r="D913" s="3">
        <v>25.03218</v>
      </c>
      <c r="E913" s="3">
        <v>121.511198</v>
      </c>
      <c r="F913" s="3" t="s">
        <v>44</v>
      </c>
      <c r="G913" s="4" t="s">
        <v>4157</v>
      </c>
      <c r="H913" s="3"/>
    </row>
    <row r="914" ht="15.75" customHeight="1">
      <c r="A914" s="4" t="s">
        <v>6004</v>
      </c>
      <c r="B914" s="4" t="s">
        <v>6005</v>
      </c>
      <c r="C914" s="4" t="s">
        <v>2980</v>
      </c>
      <c r="D914" s="3">
        <v>25.031541</v>
      </c>
      <c r="E914" s="3">
        <v>121.510218</v>
      </c>
      <c r="F914" s="3" t="s">
        <v>44</v>
      </c>
      <c r="G914" s="4" t="s">
        <v>4157</v>
      </c>
      <c r="H914" s="3"/>
    </row>
    <row r="915" ht="15.75" customHeight="1">
      <c r="A915" s="4" t="s">
        <v>6006</v>
      </c>
      <c r="B915" s="4" t="s">
        <v>6007</v>
      </c>
      <c r="C915" s="4" t="s">
        <v>3880</v>
      </c>
      <c r="D915" s="3">
        <v>25.032133</v>
      </c>
      <c r="E915" s="3">
        <v>121.510155</v>
      </c>
      <c r="F915" s="3" t="s">
        <v>44</v>
      </c>
      <c r="G915" s="4" t="s">
        <v>4157</v>
      </c>
      <c r="H915" s="3"/>
    </row>
    <row r="916" ht="15.75" customHeight="1">
      <c r="A916" s="4" t="s">
        <v>6008</v>
      </c>
      <c r="B916" s="4" t="s">
        <v>6009</v>
      </c>
      <c r="C916" s="4" t="s">
        <v>3906</v>
      </c>
      <c r="D916" s="3">
        <v>25.032228</v>
      </c>
      <c r="E916" s="3">
        <v>121.510269</v>
      </c>
      <c r="F916" s="3" t="s">
        <v>44</v>
      </c>
      <c r="G916" s="4" t="s">
        <v>4157</v>
      </c>
      <c r="H916" s="3"/>
    </row>
    <row r="917" ht="15.75" customHeight="1">
      <c r="A917" s="4" t="s">
        <v>6010</v>
      </c>
      <c r="B917" s="4" t="s">
        <v>6011</v>
      </c>
      <c r="C917" s="4" t="s">
        <v>6012</v>
      </c>
      <c r="D917" s="3">
        <v>25.032402</v>
      </c>
      <c r="E917" s="3">
        <v>121.510526</v>
      </c>
      <c r="F917" s="3" t="s">
        <v>44</v>
      </c>
      <c r="G917" s="4" t="s">
        <v>4157</v>
      </c>
      <c r="H917" s="3"/>
    </row>
    <row r="918" ht="15.75" customHeight="1">
      <c r="A918" s="4" t="s">
        <v>6013</v>
      </c>
      <c r="B918" s="4" t="s">
        <v>6014</v>
      </c>
      <c r="C918" s="4" t="s">
        <v>3048</v>
      </c>
      <c r="D918" s="3">
        <v>25.031946</v>
      </c>
      <c r="E918" s="3">
        <v>121.510497</v>
      </c>
      <c r="F918" s="3" t="s">
        <v>44</v>
      </c>
      <c r="G918" s="4" t="s">
        <v>4157</v>
      </c>
      <c r="H918" s="3"/>
    </row>
    <row r="919" ht="15.75" customHeight="1">
      <c r="A919" s="4" t="s">
        <v>6015</v>
      </c>
      <c r="B919" s="4" t="s">
        <v>6016</v>
      </c>
      <c r="C919" s="4" t="s">
        <v>3911</v>
      </c>
      <c r="D919" s="3">
        <v>25.031552</v>
      </c>
      <c r="E919" s="3">
        <v>121.510146</v>
      </c>
      <c r="F919" s="3" t="s">
        <v>44</v>
      </c>
      <c r="G919" s="4" t="s">
        <v>4157</v>
      </c>
      <c r="H919" s="3"/>
    </row>
    <row r="920" ht="15.75" customHeight="1">
      <c r="A920" s="4" t="s">
        <v>6017</v>
      </c>
      <c r="B920" s="4" t="s">
        <v>6018</v>
      </c>
      <c r="C920" s="4" t="s">
        <v>3897</v>
      </c>
      <c r="D920" s="3">
        <v>25.031508</v>
      </c>
      <c r="E920" s="3">
        <v>121.510016</v>
      </c>
      <c r="F920" s="3" t="s">
        <v>44</v>
      </c>
      <c r="G920" s="4" t="s">
        <v>4157</v>
      </c>
      <c r="H920" s="3"/>
    </row>
    <row r="921" ht="15.75" customHeight="1">
      <c r="A921" s="4" t="s">
        <v>6019</v>
      </c>
      <c r="B921" s="4" t="s">
        <v>6020</v>
      </c>
      <c r="C921" s="4" t="s">
        <v>3897</v>
      </c>
      <c r="D921" s="3">
        <v>25.032676</v>
      </c>
      <c r="E921" s="3">
        <v>121.509733</v>
      </c>
      <c r="F921" s="3" t="s">
        <v>130</v>
      </c>
      <c r="G921" s="4" t="s">
        <v>4157</v>
      </c>
      <c r="H921" s="3"/>
    </row>
    <row r="922" ht="15.75" customHeight="1">
      <c r="A922" s="4" t="s">
        <v>6021</v>
      </c>
      <c r="B922" s="4" t="s">
        <v>6022</v>
      </c>
      <c r="C922" s="4" t="s">
        <v>3894</v>
      </c>
      <c r="D922" s="3">
        <v>25.032907</v>
      </c>
      <c r="E922" s="3">
        <v>121.508075</v>
      </c>
      <c r="F922" s="3" t="s">
        <v>56</v>
      </c>
      <c r="G922" s="4" t="s">
        <v>4157</v>
      </c>
      <c r="H922" s="3"/>
    </row>
    <row r="923" ht="15.75" customHeight="1">
      <c r="A923" s="4" t="s">
        <v>6023</v>
      </c>
      <c r="B923" s="4" t="s">
        <v>6024</v>
      </c>
      <c r="C923" s="4" t="s">
        <v>3894</v>
      </c>
      <c r="D923" s="3">
        <v>25.031679</v>
      </c>
      <c r="E923" s="3">
        <v>121.510004</v>
      </c>
      <c r="F923" s="3" t="s">
        <v>44</v>
      </c>
      <c r="G923" s="4" t="s">
        <v>4157</v>
      </c>
      <c r="H923" s="3"/>
    </row>
    <row r="924" ht="15.75" customHeight="1">
      <c r="A924" s="4" t="s">
        <v>6025</v>
      </c>
      <c r="B924" s="4" t="s">
        <v>6026</v>
      </c>
      <c r="C924" s="4" t="s">
        <v>343</v>
      </c>
      <c r="D924" s="3">
        <v>25.032656</v>
      </c>
      <c r="E924" s="3">
        <v>121.51009</v>
      </c>
      <c r="F924" s="3" t="s">
        <v>130</v>
      </c>
      <c r="G924" s="4" t="s">
        <v>4157</v>
      </c>
      <c r="H924" s="3"/>
    </row>
    <row r="925" ht="15.75" customHeight="1">
      <c r="A925" s="4" t="s">
        <v>6027</v>
      </c>
      <c r="B925" s="4" t="s">
        <v>6028</v>
      </c>
      <c r="C925" s="4" t="s">
        <v>529</v>
      </c>
      <c r="D925" s="3">
        <v>25.031404</v>
      </c>
      <c r="E925" s="3">
        <v>121.511846</v>
      </c>
      <c r="F925" s="3" t="s">
        <v>44</v>
      </c>
      <c r="G925" s="4" t="s">
        <v>4157</v>
      </c>
      <c r="H925" s="3"/>
    </row>
    <row r="926" ht="15.75" customHeight="1">
      <c r="A926" s="4" t="s">
        <v>6029</v>
      </c>
      <c r="B926" s="4" t="s">
        <v>6030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4157</v>
      </c>
      <c r="H926" s="3"/>
    </row>
    <row r="927" ht="15.75" customHeight="1">
      <c r="A927" s="4" t="s">
        <v>6031</v>
      </c>
      <c r="B927" s="4" t="s">
        <v>6032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4157</v>
      </c>
      <c r="H927" s="3"/>
    </row>
    <row r="928" ht="15.75" customHeight="1">
      <c r="A928" s="4" t="s">
        <v>6033</v>
      </c>
      <c r="B928" s="4" t="s">
        <v>6034</v>
      </c>
      <c r="C928" s="4" t="s">
        <v>337</v>
      </c>
      <c r="D928" s="3">
        <v>25.033338</v>
      </c>
      <c r="E928" s="3">
        <v>121.51039</v>
      </c>
      <c r="F928" s="3" t="s">
        <v>44</v>
      </c>
      <c r="G928" s="4" t="s">
        <v>4157</v>
      </c>
      <c r="H928" s="3"/>
    </row>
    <row r="929" ht="15.75" customHeight="1">
      <c r="A929" s="4" t="s">
        <v>6035</v>
      </c>
      <c r="B929" s="4" t="s">
        <v>6036</v>
      </c>
      <c r="C929" s="4" t="s">
        <v>3040</v>
      </c>
      <c r="D929" s="3">
        <v>25.03224</v>
      </c>
      <c r="E929" s="3">
        <v>121.511133</v>
      </c>
      <c r="F929" s="3" t="s">
        <v>44</v>
      </c>
      <c r="G929" s="4" t="s">
        <v>4157</v>
      </c>
      <c r="H929" s="3"/>
    </row>
    <row r="930" ht="15.75" customHeight="1">
      <c r="A930" s="4" t="s">
        <v>6037</v>
      </c>
      <c r="B930" s="4" t="s">
        <v>6038</v>
      </c>
      <c r="C930" s="4" t="s">
        <v>2985</v>
      </c>
      <c r="D930" s="3">
        <v>25.032166</v>
      </c>
      <c r="E930" s="3">
        <v>121.51116</v>
      </c>
      <c r="F930" s="3" t="s">
        <v>44</v>
      </c>
      <c r="G930" s="4" t="s">
        <v>4157</v>
      </c>
      <c r="H930" s="3"/>
    </row>
    <row r="931" ht="15.75" customHeight="1">
      <c r="A931" s="4" t="s">
        <v>6039</v>
      </c>
      <c r="B931" s="4" t="s">
        <v>6040</v>
      </c>
      <c r="C931" s="4" t="s">
        <v>3052</v>
      </c>
      <c r="D931" s="3">
        <v>25.032144</v>
      </c>
      <c r="E931" s="3">
        <v>121.511171</v>
      </c>
      <c r="F931" s="3" t="s">
        <v>44</v>
      </c>
      <c r="G931" s="4" t="s">
        <v>4157</v>
      </c>
      <c r="H931" s="3"/>
    </row>
    <row r="932" ht="15.75" customHeight="1">
      <c r="A932" s="4" t="s">
        <v>6041</v>
      </c>
      <c r="B932" s="4" t="s">
        <v>6042</v>
      </c>
      <c r="C932" s="4" t="s">
        <v>2969</v>
      </c>
      <c r="D932" s="3">
        <v>25.032128</v>
      </c>
      <c r="E932" s="3">
        <v>121.511174</v>
      </c>
      <c r="F932" s="3" t="s">
        <v>44</v>
      </c>
      <c r="G932" s="4" t="s">
        <v>4157</v>
      </c>
      <c r="H932" s="3"/>
    </row>
    <row r="933" ht="15.75" customHeight="1">
      <c r="A933" s="4" t="s">
        <v>6043</v>
      </c>
      <c r="B933" s="4" t="s">
        <v>6044</v>
      </c>
      <c r="C933" s="4" t="s">
        <v>3043</v>
      </c>
      <c r="D933" s="3">
        <v>25.031985</v>
      </c>
      <c r="E933" s="3">
        <v>121.511253</v>
      </c>
      <c r="F933" s="3" t="s">
        <v>44</v>
      </c>
      <c r="G933" s="4" t="s">
        <v>4157</v>
      </c>
      <c r="H933" s="3"/>
    </row>
    <row r="934" ht="15.75" customHeight="1">
      <c r="A934" s="4" t="s">
        <v>6045</v>
      </c>
      <c r="B934" s="4" t="s">
        <v>6046</v>
      </c>
      <c r="C934" s="4" t="s">
        <v>3781</v>
      </c>
      <c r="D934" s="3">
        <v>25.032246</v>
      </c>
      <c r="E934" s="3">
        <v>121.510484</v>
      </c>
      <c r="F934" s="3" t="s">
        <v>44</v>
      </c>
      <c r="G934" s="4" t="s">
        <v>4157</v>
      </c>
      <c r="H934" s="3"/>
    </row>
    <row r="935" ht="15.75" customHeight="1">
      <c r="A935" s="4" t="s">
        <v>6047</v>
      </c>
      <c r="B935" s="4" t="s">
        <v>6048</v>
      </c>
      <c r="C935" s="4" t="s">
        <v>3773</v>
      </c>
      <c r="D935" s="3">
        <v>25.032167</v>
      </c>
      <c r="E935" s="3">
        <v>121.510465</v>
      </c>
      <c r="F935" s="3" t="s">
        <v>44</v>
      </c>
      <c r="G935" s="4" t="s">
        <v>4157</v>
      </c>
      <c r="H935" s="3"/>
    </row>
    <row r="936" ht="15.75" customHeight="1">
      <c r="A936" s="4" t="s">
        <v>6049</v>
      </c>
      <c r="B936" s="4" t="s">
        <v>6050</v>
      </c>
      <c r="C936" s="4" t="s">
        <v>3778</v>
      </c>
      <c r="D936" s="3">
        <v>25.032258</v>
      </c>
      <c r="E936" s="3">
        <v>121.510478</v>
      </c>
      <c r="F936" s="3" t="s">
        <v>44</v>
      </c>
      <c r="G936" s="4" t="s">
        <v>4157</v>
      </c>
      <c r="H936" s="3"/>
    </row>
    <row r="937" ht="15.75" customHeight="1">
      <c r="A937" s="4" t="s">
        <v>6051</v>
      </c>
      <c r="B937" s="4" t="s">
        <v>6052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4157</v>
      </c>
      <c r="H937" s="3"/>
    </row>
    <row r="938" ht="15.75" customHeight="1">
      <c r="A938" s="4" t="s">
        <v>6053</v>
      </c>
      <c r="B938" s="4" t="s">
        <v>6054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4157</v>
      </c>
      <c r="H938" s="3"/>
    </row>
    <row r="939" ht="15.75" customHeight="1">
      <c r="A939" s="4" t="s">
        <v>6055</v>
      </c>
      <c r="B939" s="4" t="s">
        <v>6056</v>
      </c>
      <c r="C939" s="4" t="s">
        <v>2962</v>
      </c>
      <c r="D939" s="3">
        <v>25.032343</v>
      </c>
      <c r="E939" s="3">
        <v>121.510542</v>
      </c>
      <c r="F939" s="3" t="s">
        <v>44</v>
      </c>
      <c r="G939" s="4" t="s">
        <v>4157</v>
      </c>
      <c r="H939" s="3"/>
    </row>
    <row r="940" ht="15.75" customHeight="1">
      <c r="A940" s="4" t="s">
        <v>6057</v>
      </c>
      <c r="B940" s="4" t="s">
        <v>6058</v>
      </c>
      <c r="C940" s="4" t="s">
        <v>348</v>
      </c>
      <c r="D940" s="3">
        <v>25.033096</v>
      </c>
      <c r="E940" s="3">
        <v>121.510122</v>
      </c>
      <c r="F940" s="3" t="s">
        <v>44</v>
      </c>
      <c r="G940" s="4" t="s">
        <v>4157</v>
      </c>
      <c r="H940" s="3"/>
    </row>
    <row r="941" ht="15.75" customHeight="1">
      <c r="A941" s="4" t="s">
        <v>6059</v>
      </c>
      <c r="B941" s="4" t="s">
        <v>6060</v>
      </c>
      <c r="C941" s="4" t="s">
        <v>340</v>
      </c>
      <c r="D941" s="3">
        <v>25.03326</v>
      </c>
      <c r="E941" s="3">
        <v>121.510182</v>
      </c>
      <c r="F941" s="3" t="s">
        <v>44</v>
      </c>
      <c r="G941" s="4" t="s">
        <v>4157</v>
      </c>
      <c r="H941" s="3"/>
    </row>
    <row r="942" ht="15.75" customHeight="1">
      <c r="A942" s="4" t="s">
        <v>6061</v>
      </c>
      <c r="B942" s="4" t="s">
        <v>6062</v>
      </c>
      <c r="C942" s="4" t="s">
        <v>3900</v>
      </c>
      <c r="D942" s="3">
        <v>25.031606</v>
      </c>
      <c r="E942" s="3">
        <v>121.510223</v>
      </c>
      <c r="F942" s="3" t="s">
        <v>44</v>
      </c>
      <c r="G942" s="4" t="s">
        <v>4157</v>
      </c>
      <c r="H942" s="3"/>
    </row>
    <row r="943" ht="15.75" customHeight="1">
      <c r="A943" s="4" t="s">
        <v>6063</v>
      </c>
      <c r="B943" s="4" t="s">
        <v>6064</v>
      </c>
      <c r="C943" s="4" t="s">
        <v>3892</v>
      </c>
      <c r="D943" s="3">
        <v>25.031491</v>
      </c>
      <c r="E943" s="3">
        <v>121.50993</v>
      </c>
      <c r="F943" s="3" t="s">
        <v>44</v>
      </c>
      <c r="G943" s="4" t="s">
        <v>4157</v>
      </c>
      <c r="H943" s="3"/>
    </row>
    <row r="944" ht="15.75" customHeight="1">
      <c r="A944" s="4" t="s">
        <v>6065</v>
      </c>
      <c r="B944" s="4" t="s">
        <v>6066</v>
      </c>
      <c r="C944" s="4" t="s">
        <v>3886</v>
      </c>
      <c r="D944" s="3">
        <v>25.032636</v>
      </c>
      <c r="E944" s="3">
        <v>121.508341</v>
      </c>
      <c r="F944" s="3" t="s">
        <v>56</v>
      </c>
      <c r="G944" s="4" t="s">
        <v>4157</v>
      </c>
      <c r="H944" s="3"/>
    </row>
    <row r="945" ht="15.75" customHeight="1">
      <c r="A945" s="4" t="s">
        <v>6067</v>
      </c>
      <c r="B945" s="4" t="s">
        <v>6068</v>
      </c>
      <c r="C945" s="4" t="s">
        <v>3886</v>
      </c>
      <c r="D945" s="3">
        <v>25.031742</v>
      </c>
      <c r="E945" s="3">
        <v>121.509999</v>
      </c>
      <c r="F945" s="3" t="s">
        <v>44</v>
      </c>
      <c r="G945" s="4" t="s">
        <v>4157</v>
      </c>
      <c r="H945" s="3"/>
    </row>
    <row r="946" ht="15.75" customHeight="1">
      <c r="A946" s="9" t="s">
        <v>6069</v>
      </c>
      <c r="B946" s="4" t="s">
        <v>6070</v>
      </c>
      <c r="C946" s="20" t="s">
        <v>53</v>
      </c>
      <c r="D946" s="3">
        <v>25.033172</v>
      </c>
      <c r="E946" s="3">
        <v>121.50854</v>
      </c>
      <c r="F946" s="3" t="s">
        <v>56</v>
      </c>
      <c r="G946" s="4" t="s">
        <v>4157</v>
      </c>
      <c r="H946" s="3"/>
    </row>
    <row r="947" ht="15.75" customHeight="1">
      <c r="A947" s="4" t="s">
        <v>6071</v>
      </c>
      <c r="B947" s="4" t="s">
        <v>6072</v>
      </c>
      <c r="C947" s="4" t="s">
        <v>329</v>
      </c>
      <c r="D947" s="3">
        <v>25.032877</v>
      </c>
      <c r="E947" s="3">
        <v>121.508432</v>
      </c>
      <c r="F947" s="3" t="s">
        <v>56</v>
      </c>
      <c r="G947" s="4" t="s">
        <v>4157</v>
      </c>
      <c r="H947" s="3"/>
    </row>
    <row r="948" ht="15.75" customHeight="1">
      <c r="A948" s="4" t="s">
        <v>6073</v>
      </c>
      <c r="B948" s="4" t="s">
        <v>6074</v>
      </c>
      <c r="C948" s="4" t="s">
        <v>3060</v>
      </c>
      <c r="D948" s="3">
        <v>25.031775</v>
      </c>
      <c r="E948" s="3">
        <v>121.51037</v>
      </c>
      <c r="F948" s="3" t="s">
        <v>44</v>
      </c>
      <c r="G948" s="4" t="s">
        <v>4157</v>
      </c>
      <c r="H948" s="3"/>
    </row>
    <row r="949" ht="15.75" customHeight="1">
      <c r="A949" s="4" t="s">
        <v>6075</v>
      </c>
      <c r="B949" s="4" t="s">
        <v>6076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4157</v>
      </c>
      <c r="H949" s="3"/>
    </row>
    <row r="950" ht="15.75" customHeight="1">
      <c r="A950" s="4" t="s">
        <v>6077</v>
      </c>
      <c r="B950" s="4" t="s">
        <v>6078</v>
      </c>
      <c r="C950" s="4" t="s">
        <v>3079</v>
      </c>
      <c r="D950" s="3">
        <v>25.032004</v>
      </c>
      <c r="E950" s="3">
        <v>121.511506</v>
      </c>
      <c r="F950" s="3" t="s">
        <v>44</v>
      </c>
      <c r="G950" s="4" t="s">
        <v>4157</v>
      </c>
      <c r="H950" s="3"/>
    </row>
    <row r="951" ht="15.75" customHeight="1">
      <c r="A951" s="4" t="s">
        <v>6079</v>
      </c>
      <c r="B951" s="4" t="s">
        <v>6080</v>
      </c>
      <c r="C951" s="4" t="s">
        <v>3924</v>
      </c>
      <c r="D951" s="3">
        <v>25.031734</v>
      </c>
      <c r="E951" s="3">
        <v>121.510343</v>
      </c>
      <c r="F951" s="3" t="s">
        <v>44</v>
      </c>
      <c r="G951" s="4" t="s">
        <v>4157</v>
      </c>
      <c r="H951" s="3"/>
    </row>
    <row r="952" ht="15.75" customHeight="1">
      <c r="A952" s="4" t="s">
        <v>6081</v>
      </c>
      <c r="B952" s="4" t="s">
        <v>6082</v>
      </c>
      <c r="C952" s="4" t="s">
        <v>760</v>
      </c>
      <c r="D952" s="3">
        <v>25.032168</v>
      </c>
      <c r="E952" s="3">
        <v>121.510425</v>
      </c>
      <c r="F952" s="3" t="s">
        <v>44</v>
      </c>
      <c r="G952" s="4" t="s">
        <v>4157</v>
      </c>
      <c r="H952" s="3"/>
    </row>
    <row r="953" ht="15.75" customHeight="1">
      <c r="A953" s="4" t="s">
        <v>6083</v>
      </c>
      <c r="B953" s="4" t="s">
        <v>6084</v>
      </c>
      <c r="C953" s="4" t="s">
        <v>359</v>
      </c>
      <c r="D953" s="3">
        <v>25.033103</v>
      </c>
      <c r="E953" s="3">
        <v>121.509871</v>
      </c>
      <c r="F953" s="3" t="s">
        <v>130</v>
      </c>
      <c r="G953" s="4" t="s">
        <v>4157</v>
      </c>
      <c r="H953" s="3"/>
    </row>
    <row r="954" ht="15.75" customHeight="1">
      <c r="A954" s="4" t="s">
        <v>6085</v>
      </c>
      <c r="B954" s="4" t="s">
        <v>6086</v>
      </c>
      <c r="C954" s="4" t="s">
        <v>110</v>
      </c>
      <c r="D954" s="3">
        <v>25.033081</v>
      </c>
      <c r="E954" s="3">
        <v>121.509086</v>
      </c>
      <c r="F954" s="3" t="s">
        <v>130</v>
      </c>
      <c r="G954" s="4" t="s">
        <v>4157</v>
      </c>
      <c r="H954" s="3"/>
    </row>
    <row r="955" ht="15.75" customHeight="1">
      <c r="A955" s="4" t="s">
        <v>6087</v>
      </c>
      <c r="B955" s="4" t="s">
        <v>6088</v>
      </c>
      <c r="C955" s="4" t="s">
        <v>110</v>
      </c>
      <c r="D955" s="3">
        <v>25.032873</v>
      </c>
      <c r="E955" s="3">
        <v>121.5107</v>
      </c>
      <c r="F955" s="3" t="s">
        <v>44</v>
      </c>
      <c r="G955" s="4" t="s">
        <v>4157</v>
      </c>
      <c r="H955" s="3"/>
    </row>
    <row r="956" ht="15.75" customHeight="1">
      <c r="A956" s="4" t="s">
        <v>6089</v>
      </c>
      <c r="B956" s="4" t="s">
        <v>6090</v>
      </c>
      <c r="C956" s="4" t="s">
        <v>3070</v>
      </c>
      <c r="D956" s="3">
        <v>25.032424</v>
      </c>
      <c r="E956" s="3">
        <v>121.511204</v>
      </c>
      <c r="F956" s="3" t="s">
        <v>44</v>
      </c>
      <c r="G956" s="4" t="s">
        <v>4157</v>
      </c>
      <c r="H956" s="3"/>
    </row>
    <row r="957" ht="15.75" customHeight="1">
      <c r="A957" s="4" t="s">
        <v>6091</v>
      </c>
      <c r="B957" s="4" t="s">
        <v>6092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4157</v>
      </c>
      <c r="H957" s="3"/>
    </row>
    <row r="958" ht="15.75" customHeight="1">
      <c r="A958" s="4" t="s">
        <v>6093</v>
      </c>
      <c r="B958" s="4" t="s">
        <v>6094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4157</v>
      </c>
      <c r="H958" s="3"/>
    </row>
    <row r="959" ht="15.75" customHeight="1">
      <c r="A959" s="4" t="s">
        <v>6095</v>
      </c>
      <c r="B959" s="4" t="s">
        <v>6096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4157</v>
      </c>
      <c r="H959" s="3"/>
    </row>
    <row r="960" ht="15.75" customHeight="1">
      <c r="A960" s="4" t="s">
        <v>6097</v>
      </c>
      <c r="B960" s="4" t="s">
        <v>6098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4157</v>
      </c>
      <c r="H960" s="3"/>
    </row>
    <row r="961" ht="15.75" customHeight="1">
      <c r="A961" s="4" t="s">
        <v>6099</v>
      </c>
      <c r="B961" s="4" t="s">
        <v>6100</v>
      </c>
      <c r="C961" s="4" t="s">
        <v>3068</v>
      </c>
      <c r="D961" s="3">
        <v>25.031497</v>
      </c>
      <c r="E961" s="3">
        <v>121.509844</v>
      </c>
      <c r="F961" s="3" t="s">
        <v>44</v>
      </c>
      <c r="G961" s="4" t="s">
        <v>4157</v>
      </c>
      <c r="H961" s="3"/>
    </row>
    <row r="962" ht="15.75" customHeight="1">
      <c r="A962" s="4" t="s">
        <v>6101</v>
      </c>
      <c r="B962" s="4" t="s">
        <v>6102</v>
      </c>
      <c r="C962" s="4" t="s">
        <v>3903</v>
      </c>
      <c r="D962" s="3">
        <v>25.03161</v>
      </c>
      <c r="E962" s="3">
        <v>121.50994</v>
      </c>
      <c r="F962" s="3" t="s">
        <v>44</v>
      </c>
      <c r="G962" s="4" t="s">
        <v>4157</v>
      </c>
      <c r="H962" s="3"/>
    </row>
    <row r="963" ht="15.75" customHeight="1">
      <c r="A963" s="4" t="s">
        <v>6103</v>
      </c>
      <c r="B963" s="4" t="s">
        <v>6104</v>
      </c>
      <c r="C963" s="4" t="s">
        <v>3903</v>
      </c>
      <c r="D963" s="3">
        <v>25.032394</v>
      </c>
      <c r="E963" s="3">
        <v>121.510529</v>
      </c>
      <c r="F963" s="3" t="s">
        <v>44</v>
      </c>
      <c r="G963" s="4" t="s">
        <v>4157</v>
      </c>
      <c r="H963" s="3"/>
    </row>
    <row r="964" ht="15.75" customHeight="1">
      <c r="A964" s="4" t="s">
        <v>6105</v>
      </c>
      <c r="B964" s="4" t="s">
        <v>6106</v>
      </c>
      <c r="C964" s="4" t="s">
        <v>3913</v>
      </c>
      <c r="D964" s="3">
        <v>25.031972</v>
      </c>
      <c r="E964" s="3">
        <v>121.509818</v>
      </c>
      <c r="F964" s="3" t="s">
        <v>44</v>
      </c>
      <c r="G964" s="4" t="s">
        <v>4157</v>
      </c>
      <c r="H964" s="3"/>
    </row>
    <row r="965" ht="15.75" customHeight="1">
      <c r="A965" s="4" t="s">
        <v>6107</v>
      </c>
      <c r="B965" s="4" t="s">
        <v>6108</v>
      </c>
      <c r="C965" s="4" t="s">
        <v>3784</v>
      </c>
      <c r="D965" s="3">
        <v>25.03218</v>
      </c>
      <c r="E965" s="3">
        <v>121.510469</v>
      </c>
      <c r="F965" s="3" t="s">
        <v>44</v>
      </c>
      <c r="G965" s="4" t="s">
        <v>4157</v>
      </c>
      <c r="H965" s="3"/>
    </row>
    <row r="966" ht="15.75" customHeight="1">
      <c r="A966" s="4" t="s">
        <v>6109</v>
      </c>
      <c r="B966" s="4" t="s">
        <v>6110</v>
      </c>
      <c r="C966" s="4" t="s">
        <v>3786</v>
      </c>
      <c r="D966" s="3">
        <v>25.032377</v>
      </c>
      <c r="E966" s="3">
        <v>121.510512</v>
      </c>
      <c r="F966" s="3" t="s">
        <v>44</v>
      </c>
      <c r="G966" s="4" t="s">
        <v>4157</v>
      </c>
      <c r="H966" s="3"/>
    </row>
    <row r="967" ht="15.75" customHeight="1">
      <c r="A967" s="4" t="s">
        <v>6111</v>
      </c>
      <c r="B967" s="4" t="s">
        <v>6112</v>
      </c>
      <c r="C967" s="4" t="s">
        <v>3803</v>
      </c>
      <c r="D967" s="3">
        <v>25.032174</v>
      </c>
      <c r="E967" s="3">
        <v>121.510473</v>
      </c>
      <c r="F967" s="3" t="s">
        <v>44</v>
      </c>
      <c r="G967" s="4" t="s">
        <v>4157</v>
      </c>
      <c r="H967" s="3"/>
    </row>
    <row r="968" ht="15.75" customHeight="1">
      <c r="A968" s="4" t="s">
        <v>6113</v>
      </c>
      <c r="B968" s="4" t="s">
        <v>6114</v>
      </c>
      <c r="C968" s="4" t="s">
        <v>3134</v>
      </c>
      <c r="D968" s="3">
        <v>25.031792</v>
      </c>
      <c r="E968" s="3">
        <v>121.511223</v>
      </c>
      <c r="F968" s="3" t="s">
        <v>44</v>
      </c>
      <c r="G968" s="4" t="s">
        <v>4157</v>
      </c>
      <c r="H968" s="3"/>
    </row>
    <row r="969" ht="15.75" customHeight="1">
      <c r="A969" s="4" t="s">
        <v>6115</v>
      </c>
      <c r="B969" s="4" t="s">
        <v>6116</v>
      </c>
      <c r="C969" s="4" t="s">
        <v>3801</v>
      </c>
      <c r="D969" s="3">
        <v>25.032118</v>
      </c>
      <c r="E969" s="3">
        <v>121.510458</v>
      </c>
      <c r="F969" s="3" t="s">
        <v>44</v>
      </c>
      <c r="G969" s="4" t="s">
        <v>4157</v>
      </c>
      <c r="H969" s="3"/>
    </row>
    <row r="970" ht="15.75" customHeight="1">
      <c r="A970" s="4" t="s">
        <v>6117</v>
      </c>
      <c r="B970" s="4" t="s">
        <v>6118</v>
      </c>
      <c r="C970" s="4" t="s">
        <v>3084</v>
      </c>
      <c r="D970" s="3">
        <v>25.031821</v>
      </c>
      <c r="E970" s="3">
        <v>121.511239</v>
      </c>
      <c r="F970" s="3" t="s">
        <v>44</v>
      </c>
      <c r="G970" s="4" t="s">
        <v>4157</v>
      </c>
      <c r="H970" s="3"/>
    </row>
    <row r="971" ht="15.75" customHeight="1">
      <c r="A971" s="4" t="s">
        <v>6119</v>
      </c>
      <c r="B971" s="4" t="s">
        <v>6120</v>
      </c>
      <c r="C971" s="4" t="s">
        <v>3117</v>
      </c>
      <c r="D971" s="3">
        <v>25.03169</v>
      </c>
      <c r="E971" s="3">
        <v>121.511326</v>
      </c>
      <c r="F971" s="3" t="s">
        <v>44</v>
      </c>
      <c r="G971" s="4" t="s">
        <v>4157</v>
      </c>
      <c r="H971" s="3"/>
    </row>
    <row r="972" ht="15.75" customHeight="1">
      <c r="A972" s="4" t="s">
        <v>6121</v>
      </c>
      <c r="B972" s="4" t="s">
        <v>6122</v>
      </c>
      <c r="C972" s="4" t="s">
        <v>128</v>
      </c>
      <c r="D972" s="3">
        <v>25.032441</v>
      </c>
      <c r="E972" s="3">
        <v>121.509902</v>
      </c>
      <c r="F972" s="3" t="s">
        <v>130</v>
      </c>
      <c r="G972" s="4" t="s">
        <v>4157</v>
      </c>
      <c r="H972" s="3"/>
    </row>
    <row r="973" ht="15.75" customHeight="1">
      <c r="A973" s="4" t="s">
        <v>6123</v>
      </c>
      <c r="B973" s="4" t="s">
        <v>6124</v>
      </c>
      <c r="C973" s="4" t="s">
        <v>3148</v>
      </c>
      <c r="D973" s="3">
        <v>25.031762</v>
      </c>
      <c r="E973" s="3">
        <v>121.510448</v>
      </c>
      <c r="F973" s="3" t="s">
        <v>44</v>
      </c>
      <c r="G973" s="4" t="s">
        <v>4157</v>
      </c>
      <c r="H973" s="3"/>
    </row>
    <row r="974" ht="15.75" customHeight="1">
      <c r="A974" s="4" t="s">
        <v>6125</v>
      </c>
      <c r="B974" s="4" t="s">
        <v>6126</v>
      </c>
      <c r="C974" s="4" t="s">
        <v>3086</v>
      </c>
      <c r="D974" s="3">
        <v>25.032208</v>
      </c>
      <c r="E974" s="3">
        <v>121.511212</v>
      </c>
      <c r="F974" s="3" t="s">
        <v>44</v>
      </c>
      <c r="G974" s="4" t="s">
        <v>4157</v>
      </c>
      <c r="H974" s="3"/>
    </row>
    <row r="975" ht="15.75" customHeight="1">
      <c r="A975" s="4" t="s">
        <v>6127</v>
      </c>
      <c r="B975" s="4" t="s">
        <v>6128</v>
      </c>
      <c r="C975" s="4" t="s">
        <v>137</v>
      </c>
      <c r="D975" s="3">
        <v>25.032894</v>
      </c>
      <c r="E975" s="3">
        <v>121.510602</v>
      </c>
      <c r="F975" s="3" t="s">
        <v>44</v>
      </c>
      <c r="G975" s="4" t="s">
        <v>4157</v>
      </c>
      <c r="H975" s="3"/>
    </row>
    <row r="976" ht="15.75" customHeight="1">
      <c r="A976" s="4" t="s">
        <v>6129</v>
      </c>
      <c r="B976" s="4" t="s">
        <v>6130</v>
      </c>
      <c r="C976" s="4" t="s">
        <v>3932</v>
      </c>
      <c r="D976" s="3">
        <v>25.032248</v>
      </c>
      <c r="E976" s="3">
        <v>121.510115</v>
      </c>
      <c r="F976" s="3" t="s">
        <v>44</v>
      </c>
      <c r="G976" s="4" t="s">
        <v>4157</v>
      </c>
      <c r="H976" s="3"/>
    </row>
    <row r="977" ht="15.75" customHeight="1">
      <c r="A977" s="4" t="s">
        <v>6131</v>
      </c>
      <c r="B977" s="4" t="s">
        <v>6132</v>
      </c>
      <c r="C977" s="4" t="s">
        <v>3125</v>
      </c>
      <c r="D977" s="3">
        <v>25.032371</v>
      </c>
      <c r="E977" s="3">
        <v>121.510542</v>
      </c>
      <c r="F977" s="3" t="s">
        <v>44</v>
      </c>
      <c r="G977" s="4" t="s">
        <v>4157</v>
      </c>
      <c r="H977" s="3"/>
    </row>
    <row r="978" ht="15.75" customHeight="1">
      <c r="A978" s="4" t="s">
        <v>6133</v>
      </c>
      <c r="B978" s="4" t="s">
        <v>6134</v>
      </c>
      <c r="C978" s="4" t="s">
        <v>121</v>
      </c>
      <c r="D978" s="3">
        <v>25.032763</v>
      </c>
      <c r="E978" s="3">
        <v>121.510687</v>
      </c>
      <c r="F978" s="3" t="s">
        <v>44</v>
      </c>
      <c r="G978" s="4" t="s">
        <v>4157</v>
      </c>
      <c r="H978" s="3"/>
    </row>
    <row r="979" ht="15.75" customHeight="1">
      <c r="A979" s="4" t="s">
        <v>6135</v>
      </c>
      <c r="B979" s="4" t="s">
        <v>6136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4157</v>
      </c>
      <c r="H979" s="3"/>
    </row>
    <row r="980" ht="15.75" customHeight="1">
      <c r="A980" s="4" t="s">
        <v>6137</v>
      </c>
      <c r="B980" s="4" t="s">
        <v>6138</v>
      </c>
      <c r="C980" s="4" t="s">
        <v>3940</v>
      </c>
      <c r="D980" s="3">
        <v>25.032028</v>
      </c>
      <c r="E980" s="3">
        <v>121.510015</v>
      </c>
      <c r="F980" s="3" t="s">
        <v>44</v>
      </c>
      <c r="G980" s="4" t="s">
        <v>4157</v>
      </c>
      <c r="H980" s="3"/>
    </row>
    <row r="981" ht="15.75" customHeight="1">
      <c r="A981" s="4" t="s">
        <v>6139</v>
      </c>
      <c r="B981" s="4" t="s">
        <v>6140</v>
      </c>
      <c r="C981" s="4" t="s">
        <v>141</v>
      </c>
      <c r="D981" s="3">
        <v>25.032517</v>
      </c>
      <c r="E981" s="3">
        <v>121.510972</v>
      </c>
      <c r="F981" s="3" t="s">
        <v>44</v>
      </c>
      <c r="G981" s="4" t="s">
        <v>4157</v>
      </c>
      <c r="H981" s="3"/>
    </row>
    <row r="982" ht="15.75" customHeight="1">
      <c r="A982" s="4" t="s">
        <v>6141</v>
      </c>
      <c r="B982" s="4" t="s">
        <v>6142</v>
      </c>
      <c r="C982" s="4" t="s">
        <v>134</v>
      </c>
      <c r="D982" s="3">
        <v>25.032688</v>
      </c>
      <c r="E982" s="3">
        <v>121.510706</v>
      </c>
      <c r="F982" s="3" t="s">
        <v>44</v>
      </c>
      <c r="G982" s="4" t="s">
        <v>4157</v>
      </c>
      <c r="H982" s="3"/>
    </row>
    <row r="983" ht="15.75" customHeight="1">
      <c r="A983" s="4" t="s">
        <v>6143</v>
      </c>
      <c r="B983" s="4" t="s">
        <v>6144</v>
      </c>
      <c r="C983" s="4" t="s">
        <v>3938</v>
      </c>
      <c r="D983" s="3">
        <v>25.032036</v>
      </c>
      <c r="E983" s="3">
        <v>121.509844</v>
      </c>
      <c r="F983" s="3" t="s">
        <v>44</v>
      </c>
      <c r="G983" s="4" t="s">
        <v>4157</v>
      </c>
      <c r="H983" s="3"/>
    </row>
    <row r="984" ht="15.75" customHeight="1">
      <c r="A984" s="4" t="s">
        <v>6145</v>
      </c>
      <c r="B984" s="4" t="s">
        <v>6146</v>
      </c>
      <c r="C984" s="4" t="s">
        <v>388</v>
      </c>
      <c r="D984" s="3">
        <v>25.033063</v>
      </c>
      <c r="E984" s="3">
        <v>121.509911</v>
      </c>
      <c r="F984" s="3" t="s">
        <v>130</v>
      </c>
      <c r="G984" s="4" t="s">
        <v>4157</v>
      </c>
      <c r="H984" s="3"/>
    </row>
    <row r="985" ht="15.75" customHeight="1">
      <c r="A985" s="4" t="s">
        <v>6147</v>
      </c>
      <c r="B985" s="4" t="s">
        <v>6148</v>
      </c>
      <c r="C985" s="4" t="s">
        <v>6149</v>
      </c>
      <c r="D985" s="3">
        <v>25.031434</v>
      </c>
      <c r="E985" s="3">
        <v>121.509926</v>
      </c>
      <c r="F985" s="3" t="s">
        <v>44</v>
      </c>
      <c r="G985" s="4" t="s">
        <v>4157</v>
      </c>
      <c r="H985" s="3"/>
    </row>
    <row r="986" ht="15.75" customHeight="1">
      <c r="A986" s="4" t="s">
        <v>6150</v>
      </c>
      <c r="B986" s="4" t="s">
        <v>6151</v>
      </c>
      <c r="C986" s="4" t="s">
        <v>3109</v>
      </c>
      <c r="D986" s="3">
        <v>25.032334</v>
      </c>
      <c r="E986" s="3">
        <v>121.510523</v>
      </c>
      <c r="F986" s="3" t="s">
        <v>44</v>
      </c>
      <c r="G986" s="4" t="s">
        <v>4157</v>
      </c>
      <c r="H986" s="3"/>
    </row>
    <row r="987" ht="15.75" customHeight="1">
      <c r="A987" s="4" t="s">
        <v>6152</v>
      </c>
      <c r="B987" s="4" t="s">
        <v>6153</v>
      </c>
      <c r="C987" s="4" t="s">
        <v>132</v>
      </c>
      <c r="D987" s="3">
        <v>25.032754</v>
      </c>
      <c r="E987" s="3">
        <v>121.51062</v>
      </c>
      <c r="F987" s="3" t="s">
        <v>44</v>
      </c>
      <c r="G987" s="4" t="s">
        <v>4157</v>
      </c>
      <c r="H987" s="3"/>
    </row>
    <row r="988" ht="15.75" customHeight="1">
      <c r="A988" s="4" t="s">
        <v>6154</v>
      </c>
      <c r="B988" s="4" t="s">
        <v>6155</v>
      </c>
      <c r="C988" s="4" t="s">
        <v>3807</v>
      </c>
      <c r="D988" s="3">
        <v>25.032161</v>
      </c>
      <c r="E988" s="3">
        <v>121.510468</v>
      </c>
      <c r="F988" s="3" t="s">
        <v>44</v>
      </c>
      <c r="G988" s="4" t="s">
        <v>4157</v>
      </c>
      <c r="H988" s="3"/>
    </row>
    <row r="989" ht="15.75" customHeight="1">
      <c r="A989" s="4" t="s">
        <v>6156</v>
      </c>
      <c r="B989" s="4" t="s">
        <v>6157</v>
      </c>
      <c r="C989" s="4" t="s">
        <v>3093</v>
      </c>
      <c r="D989" s="3">
        <v>25.032138</v>
      </c>
      <c r="E989" s="3">
        <v>121.510444</v>
      </c>
      <c r="F989" s="3" t="s">
        <v>44</v>
      </c>
      <c r="G989" s="4" t="s">
        <v>4157</v>
      </c>
      <c r="H989" s="3"/>
    </row>
    <row r="990" ht="15.75" customHeight="1">
      <c r="A990" s="4" t="s">
        <v>6158</v>
      </c>
      <c r="B990" s="4" t="s">
        <v>6159</v>
      </c>
      <c r="C990" s="4" t="s">
        <v>115</v>
      </c>
      <c r="D990" s="3">
        <v>25.032779</v>
      </c>
      <c r="E990" s="3">
        <v>121.510571</v>
      </c>
      <c r="F990" s="3" t="s">
        <v>44</v>
      </c>
      <c r="G990" s="4" t="s">
        <v>4157</v>
      </c>
      <c r="H990" s="3"/>
    </row>
    <row r="991" ht="15.75" customHeight="1">
      <c r="A991" s="4" t="s">
        <v>6160</v>
      </c>
      <c r="B991" s="4" t="s">
        <v>6161</v>
      </c>
      <c r="C991" s="4" t="s">
        <v>3799</v>
      </c>
      <c r="D991" s="3">
        <v>25.032201</v>
      </c>
      <c r="E991" s="3">
        <v>121.510491</v>
      </c>
      <c r="F991" s="3" t="s">
        <v>44</v>
      </c>
      <c r="G991" s="4" t="s">
        <v>4157</v>
      </c>
      <c r="H991" s="3"/>
    </row>
    <row r="992" ht="15.75" customHeight="1">
      <c r="A992" s="4" t="s">
        <v>6162</v>
      </c>
      <c r="B992" s="4" t="s">
        <v>6163</v>
      </c>
      <c r="C992" s="4" t="s">
        <v>3150</v>
      </c>
      <c r="D992" s="3">
        <v>25.031643</v>
      </c>
      <c r="E992" s="3">
        <v>121.510408</v>
      </c>
      <c r="F992" s="3" t="s">
        <v>44</v>
      </c>
      <c r="G992" s="4" t="s">
        <v>4157</v>
      </c>
      <c r="H992" s="3"/>
    </row>
    <row r="993" ht="15.75" customHeight="1">
      <c r="A993" s="4" t="s">
        <v>6164</v>
      </c>
      <c r="B993" s="4" t="s">
        <v>6165</v>
      </c>
      <c r="C993" s="4" t="s">
        <v>3096</v>
      </c>
      <c r="D993" s="3">
        <v>25.032765</v>
      </c>
      <c r="E993" s="3">
        <v>121.510225</v>
      </c>
      <c r="F993" s="3" t="s">
        <v>44</v>
      </c>
      <c r="G993" s="4" t="s">
        <v>4157</v>
      </c>
      <c r="H993" s="3"/>
    </row>
    <row r="994" ht="15.75" customHeight="1">
      <c r="A994" s="4" t="s">
        <v>6166</v>
      </c>
      <c r="B994" s="4" t="s">
        <v>6167</v>
      </c>
      <c r="C994" s="4" t="s">
        <v>3942</v>
      </c>
      <c r="D994" s="3">
        <v>25.032324</v>
      </c>
      <c r="E994" s="3">
        <v>121.510086</v>
      </c>
      <c r="F994" s="3" t="s">
        <v>44</v>
      </c>
      <c r="G994" s="4" t="s">
        <v>4157</v>
      </c>
      <c r="H994" s="3"/>
    </row>
    <row r="995" ht="15.75" customHeight="1">
      <c r="A995" s="4" t="s">
        <v>6168</v>
      </c>
      <c r="B995" s="4" t="s">
        <v>6169</v>
      </c>
      <c r="C995" s="4" t="s">
        <v>3111</v>
      </c>
      <c r="D995" s="3">
        <v>25.032604</v>
      </c>
      <c r="E995" s="3">
        <v>121.509604</v>
      </c>
      <c r="F995" s="3" t="s">
        <v>130</v>
      </c>
      <c r="G995" s="4" t="s">
        <v>4157</v>
      </c>
      <c r="H995" s="3"/>
    </row>
    <row r="996" ht="15.75" customHeight="1">
      <c r="A996" s="4" t="s">
        <v>6170</v>
      </c>
      <c r="B996" s="4" t="s">
        <v>6171</v>
      </c>
      <c r="C996" s="4" t="s">
        <v>3111</v>
      </c>
      <c r="D996" s="3">
        <v>25.03262</v>
      </c>
      <c r="E996" s="3">
        <v>121.510964</v>
      </c>
      <c r="F996" s="3" t="s">
        <v>44</v>
      </c>
      <c r="G996" s="4" t="s">
        <v>4157</v>
      </c>
      <c r="H996" s="3"/>
    </row>
    <row r="997" ht="15.75" customHeight="1">
      <c r="A997" s="4" t="s">
        <v>6172</v>
      </c>
      <c r="B997" s="4" t="s">
        <v>6173</v>
      </c>
      <c r="C997" s="4" t="s">
        <v>3111</v>
      </c>
      <c r="D997" s="3">
        <v>25.03213</v>
      </c>
      <c r="E997" s="3">
        <v>121.509778</v>
      </c>
      <c r="F997" s="3" t="s">
        <v>44</v>
      </c>
      <c r="G997" s="4" t="s">
        <v>4157</v>
      </c>
      <c r="H997" s="3"/>
    </row>
    <row r="998" ht="15.75" customHeight="1">
      <c r="A998" s="4" t="s">
        <v>6174</v>
      </c>
      <c r="B998" s="4" t="s">
        <v>6175</v>
      </c>
      <c r="C998" s="4" t="s">
        <v>3805</v>
      </c>
      <c r="D998" s="3">
        <v>25.032162</v>
      </c>
      <c r="E998" s="3">
        <v>121.510482</v>
      </c>
      <c r="F998" s="3" t="s">
        <v>44</v>
      </c>
      <c r="G998" s="4" t="s">
        <v>4157</v>
      </c>
      <c r="H998" s="3"/>
    </row>
    <row r="999" ht="15.75" customHeight="1">
      <c r="A999" s="4" t="s">
        <v>6176</v>
      </c>
      <c r="B999" s="4" t="s">
        <v>6177</v>
      </c>
      <c r="C999" s="4" t="s">
        <v>3795</v>
      </c>
      <c r="D999" s="3">
        <v>25.03215</v>
      </c>
      <c r="E999" s="3">
        <v>121.51048</v>
      </c>
      <c r="F999" s="3" t="s">
        <v>44</v>
      </c>
      <c r="G999" s="4" t="s">
        <v>4157</v>
      </c>
      <c r="H999" s="3"/>
    </row>
    <row r="1000" ht="15.75" customHeight="1">
      <c r="A1000" s="4" t="s">
        <v>6178</v>
      </c>
      <c r="B1000" s="4" t="s">
        <v>6179</v>
      </c>
      <c r="C1000" s="4" t="s">
        <v>3129</v>
      </c>
      <c r="D1000" s="3">
        <v>25.031986</v>
      </c>
      <c r="E1000" s="3">
        <v>121.510843</v>
      </c>
      <c r="F1000" s="3" t="s">
        <v>44</v>
      </c>
      <c r="G1000" s="4" t="s">
        <v>4157</v>
      </c>
      <c r="H1000" s="3"/>
    </row>
    <row r="1001" ht="15.75" customHeight="1">
      <c r="A1001" s="4" t="s">
        <v>6180</v>
      </c>
      <c r="B1001" s="4" t="s">
        <v>6181</v>
      </c>
      <c r="C1001" s="4" t="s">
        <v>3926</v>
      </c>
      <c r="D1001" s="3">
        <v>25.032278</v>
      </c>
      <c r="E1001" s="3">
        <v>121.510157</v>
      </c>
      <c r="F1001" s="3" t="s">
        <v>44</v>
      </c>
      <c r="G1001" s="4" t="s">
        <v>4157</v>
      </c>
      <c r="H1001" s="3"/>
    </row>
    <row r="1002" ht="15.75" customHeight="1">
      <c r="A1002" s="4" t="s">
        <v>6182</v>
      </c>
      <c r="B1002" s="4" t="s">
        <v>6183</v>
      </c>
      <c r="C1002" s="4" t="s">
        <v>3788</v>
      </c>
      <c r="D1002" s="3">
        <v>25.032176</v>
      </c>
      <c r="E1002" s="3">
        <v>121.510479</v>
      </c>
      <c r="F1002" s="3" t="s">
        <v>44</v>
      </c>
      <c r="G1002" s="4" t="s">
        <v>4157</v>
      </c>
      <c r="H1002" s="3"/>
    </row>
    <row r="1003" ht="15.75" customHeight="1">
      <c r="A1003" s="4" t="s">
        <v>6184</v>
      </c>
      <c r="B1003" s="4" t="s">
        <v>6185</v>
      </c>
      <c r="C1003" s="4" t="s">
        <v>356</v>
      </c>
      <c r="D1003" s="3">
        <v>25.032294</v>
      </c>
      <c r="E1003" s="3">
        <v>121.510489</v>
      </c>
      <c r="F1003" s="3" t="s">
        <v>44</v>
      </c>
      <c r="G1003" s="4" t="s">
        <v>4157</v>
      </c>
      <c r="H1003" s="3"/>
    </row>
    <row r="1004" ht="15.75" customHeight="1">
      <c r="A1004" s="4" t="s">
        <v>6186</v>
      </c>
      <c r="B1004" s="4" t="s">
        <v>6187</v>
      </c>
      <c r="C1004" s="4" t="s">
        <v>3106</v>
      </c>
      <c r="D1004" s="3">
        <v>25.031673</v>
      </c>
      <c r="E1004" s="3">
        <v>121.5113</v>
      </c>
      <c r="F1004" s="3" t="s">
        <v>44</v>
      </c>
      <c r="G1004" s="4" t="s">
        <v>4157</v>
      </c>
      <c r="H1004" s="3"/>
    </row>
    <row r="1005" ht="15.75" customHeight="1">
      <c r="A1005" s="4" t="s">
        <v>6188</v>
      </c>
      <c r="B1005" s="4" t="s">
        <v>6189</v>
      </c>
      <c r="C1005" s="4" t="s">
        <v>3793</v>
      </c>
      <c r="D1005" s="3">
        <v>25.032162</v>
      </c>
      <c r="E1005" s="3">
        <v>121.510464</v>
      </c>
      <c r="F1005" s="3" t="s">
        <v>44</v>
      </c>
      <c r="G1005" s="4" t="s">
        <v>4157</v>
      </c>
      <c r="H1005" s="3"/>
    </row>
    <row r="1006" ht="15.75" customHeight="1">
      <c r="A1006" s="4" t="s">
        <v>6190</v>
      </c>
      <c r="B1006" s="4" t="s">
        <v>6191</v>
      </c>
      <c r="C1006" s="4" t="s">
        <v>3928</v>
      </c>
      <c r="D1006" s="3">
        <v>25.031504</v>
      </c>
      <c r="E1006" s="3">
        <v>121.50969</v>
      </c>
      <c r="F1006" s="3" t="s">
        <v>44</v>
      </c>
      <c r="G1006" s="4" t="s">
        <v>4157</v>
      </c>
      <c r="H1006" s="3"/>
    </row>
    <row r="1007" ht="15.75" customHeight="1">
      <c r="A1007" s="4" t="s">
        <v>6192</v>
      </c>
      <c r="B1007" s="4" t="s">
        <v>6193</v>
      </c>
      <c r="C1007" s="4" t="s">
        <v>3101</v>
      </c>
      <c r="D1007" s="3">
        <v>25.03191</v>
      </c>
      <c r="E1007" s="3">
        <v>121.511284</v>
      </c>
      <c r="F1007" s="3" t="s">
        <v>44</v>
      </c>
      <c r="G1007" s="4" t="s">
        <v>4157</v>
      </c>
      <c r="H1007" s="3"/>
    </row>
    <row r="1008" ht="15.75" customHeight="1">
      <c r="A1008" s="4" t="s">
        <v>6194</v>
      </c>
      <c r="B1008" s="4" t="s">
        <v>6195</v>
      </c>
      <c r="C1008" s="4" t="s">
        <v>124</v>
      </c>
      <c r="D1008" s="3">
        <v>25.033146</v>
      </c>
      <c r="E1008" s="3">
        <v>121.510744</v>
      </c>
      <c r="F1008" s="3" t="s">
        <v>44</v>
      </c>
      <c r="G1008" s="4" t="s">
        <v>4157</v>
      </c>
      <c r="H1008" s="3"/>
    </row>
    <row r="1009" ht="15.75" customHeight="1">
      <c r="A1009" s="4" t="s">
        <v>6196</v>
      </c>
      <c r="B1009" s="4" t="s">
        <v>6197</v>
      </c>
      <c r="C1009" s="4" t="s">
        <v>151</v>
      </c>
      <c r="D1009" s="3">
        <v>25.032772</v>
      </c>
      <c r="E1009" s="3">
        <v>121.510611</v>
      </c>
      <c r="F1009" s="3" t="s">
        <v>44</v>
      </c>
      <c r="G1009" s="4" t="s">
        <v>4157</v>
      </c>
      <c r="H1009" s="3"/>
    </row>
    <row r="1010" ht="15.75" customHeight="1">
      <c r="A1010" s="4" t="s">
        <v>6198</v>
      </c>
      <c r="B1010" s="4" t="s">
        <v>6199</v>
      </c>
      <c r="C1010" s="4" t="s">
        <v>3820</v>
      </c>
      <c r="D1010" s="3">
        <v>25.032248</v>
      </c>
      <c r="E1010" s="3">
        <v>121.510493</v>
      </c>
      <c r="F1010" s="3" t="s">
        <v>44</v>
      </c>
      <c r="G1010" s="4" t="s">
        <v>4157</v>
      </c>
      <c r="H1010" s="3"/>
    </row>
    <row r="1011" ht="15.75" customHeight="1">
      <c r="A1011" s="4" t="s">
        <v>6200</v>
      </c>
      <c r="B1011" s="4" t="s">
        <v>6201</v>
      </c>
      <c r="C1011" s="4" t="s">
        <v>2965</v>
      </c>
      <c r="D1011" s="3">
        <v>25.031616</v>
      </c>
      <c r="E1011" s="3">
        <v>121.510457</v>
      </c>
      <c r="F1011" s="3" t="s">
        <v>44</v>
      </c>
      <c r="G1011" s="4" t="s">
        <v>4157</v>
      </c>
      <c r="H1011" s="3"/>
    </row>
    <row r="1012" ht="15.75" customHeight="1">
      <c r="A1012" s="4" t="s">
        <v>6202</v>
      </c>
      <c r="B1012" s="4" t="s">
        <v>6203</v>
      </c>
      <c r="C1012" s="4" t="s">
        <v>2965</v>
      </c>
      <c r="D1012" s="3">
        <v>25.03175</v>
      </c>
      <c r="E1012" s="3">
        <v>121.511295</v>
      </c>
      <c r="F1012" s="3" t="s">
        <v>44</v>
      </c>
      <c r="G1012" s="4" t="s">
        <v>4157</v>
      </c>
      <c r="H1012" s="3"/>
    </row>
    <row r="1013" ht="15.75" customHeight="1">
      <c r="A1013" s="4" t="s">
        <v>6204</v>
      </c>
      <c r="B1013" s="4" t="s">
        <v>6205</v>
      </c>
      <c r="C1013" s="4" t="s">
        <v>401</v>
      </c>
      <c r="D1013" s="3">
        <v>25.032974</v>
      </c>
      <c r="E1013" s="3">
        <v>121.510068</v>
      </c>
      <c r="F1013" s="3" t="s">
        <v>44</v>
      </c>
      <c r="G1013" s="4" t="s">
        <v>4157</v>
      </c>
      <c r="H1013" s="3"/>
    </row>
    <row r="1014" ht="15.75" customHeight="1">
      <c r="A1014" s="4" t="s">
        <v>6206</v>
      </c>
      <c r="B1014" s="4" t="s">
        <v>6207</v>
      </c>
      <c r="C1014" s="4" t="s">
        <v>3889</v>
      </c>
      <c r="D1014" s="3">
        <v>25.032572</v>
      </c>
      <c r="E1014" s="3">
        <v>121.510664</v>
      </c>
      <c r="F1014" s="3" t="s">
        <v>44</v>
      </c>
      <c r="G1014" s="4" t="s">
        <v>4157</v>
      </c>
      <c r="H1014" s="3"/>
    </row>
    <row r="1015" ht="15.75" customHeight="1">
      <c r="A1015" s="4" t="s">
        <v>6208</v>
      </c>
      <c r="B1015" s="4" t="s">
        <v>6209</v>
      </c>
      <c r="C1015" s="4" t="s">
        <v>3137</v>
      </c>
      <c r="D1015" s="3">
        <v>25.032362</v>
      </c>
      <c r="E1015" s="3">
        <v>121.510532</v>
      </c>
      <c r="F1015" s="3" t="s">
        <v>44</v>
      </c>
      <c r="G1015" s="4" t="s">
        <v>4157</v>
      </c>
      <c r="H1015" s="3"/>
    </row>
    <row r="1016" ht="15.75" customHeight="1">
      <c r="A1016" s="4" t="s">
        <v>6210</v>
      </c>
      <c r="B1016" s="4" t="s">
        <v>6211</v>
      </c>
      <c r="C1016" s="4" t="s">
        <v>155</v>
      </c>
      <c r="D1016" s="3">
        <v>25.032688</v>
      </c>
      <c r="E1016" s="3">
        <v>121.510986</v>
      </c>
      <c r="F1016" s="3" t="s">
        <v>44</v>
      </c>
      <c r="G1016" s="4" t="s">
        <v>4157</v>
      </c>
      <c r="H1016" s="3"/>
    </row>
    <row r="1017" ht="15.75" customHeight="1">
      <c r="A1017" s="4" t="s">
        <v>6212</v>
      </c>
      <c r="B1017" s="4" t="s">
        <v>6213</v>
      </c>
      <c r="C1017" s="4" t="s">
        <v>781</v>
      </c>
      <c r="D1017" s="3">
        <v>25.031423</v>
      </c>
      <c r="E1017" s="3">
        <v>121.509952</v>
      </c>
      <c r="F1017" s="3" t="s">
        <v>44</v>
      </c>
      <c r="G1017" s="4" t="s">
        <v>4157</v>
      </c>
      <c r="H1017" s="3"/>
    </row>
    <row r="1018" ht="15.75" customHeight="1">
      <c r="A1018" s="4" t="s">
        <v>6214</v>
      </c>
      <c r="B1018" s="4" t="s">
        <v>6215</v>
      </c>
      <c r="C1018" s="4" t="s">
        <v>421</v>
      </c>
      <c r="D1018" s="3">
        <v>25.033017</v>
      </c>
      <c r="E1018" s="3">
        <v>121.510165</v>
      </c>
      <c r="F1018" s="3" t="s">
        <v>44</v>
      </c>
      <c r="G1018" s="4" t="s">
        <v>4157</v>
      </c>
      <c r="H1018" s="3"/>
    </row>
    <row r="1019" ht="15.75" customHeight="1">
      <c r="A1019" s="4" t="s">
        <v>6216</v>
      </c>
      <c r="B1019" s="4" t="s">
        <v>6217</v>
      </c>
      <c r="C1019" s="4" t="s">
        <v>3951</v>
      </c>
      <c r="D1019" s="3">
        <v>25.031745</v>
      </c>
      <c r="E1019" s="3">
        <v>121.509863</v>
      </c>
      <c r="F1019" s="3" t="s">
        <v>44</v>
      </c>
      <c r="G1019" s="4" t="s">
        <v>4157</v>
      </c>
      <c r="H1019" s="3"/>
    </row>
    <row r="1020" ht="15.75" customHeight="1">
      <c r="A1020" s="4" t="s">
        <v>6218</v>
      </c>
      <c r="B1020" s="4" t="s">
        <v>6219</v>
      </c>
      <c r="C1020" s="4" t="s">
        <v>3114</v>
      </c>
      <c r="D1020" s="3">
        <v>25.032189</v>
      </c>
      <c r="E1020" s="3">
        <v>121.510545</v>
      </c>
      <c r="F1020" s="3" t="s">
        <v>44</v>
      </c>
      <c r="G1020" s="4" t="s">
        <v>4157</v>
      </c>
      <c r="H1020" s="3"/>
    </row>
    <row r="1021" ht="15.75" customHeight="1">
      <c r="A1021" s="4" t="s">
        <v>6220</v>
      </c>
      <c r="B1021" s="4" t="s">
        <v>6221</v>
      </c>
      <c r="C1021" s="4" t="s">
        <v>3961</v>
      </c>
      <c r="D1021" s="3">
        <v>25.031505</v>
      </c>
      <c r="E1021" s="3">
        <v>121.509992</v>
      </c>
      <c r="F1021" s="3" t="s">
        <v>44</v>
      </c>
      <c r="G1021" s="4" t="s">
        <v>4157</v>
      </c>
      <c r="H1021" s="3"/>
    </row>
    <row r="1022" ht="15.75" customHeight="1">
      <c r="A1022" s="4" t="s">
        <v>6222</v>
      </c>
      <c r="B1022" s="4" t="s">
        <v>6223</v>
      </c>
      <c r="C1022" s="4" t="s">
        <v>3936</v>
      </c>
      <c r="D1022" s="3">
        <v>25.032902</v>
      </c>
      <c r="E1022" s="3">
        <v>121.508894</v>
      </c>
      <c r="F1022" s="3" t="s">
        <v>56</v>
      </c>
      <c r="G1022" s="4" t="s">
        <v>4157</v>
      </c>
      <c r="H1022" s="3"/>
    </row>
    <row r="1023" ht="15.75" customHeight="1">
      <c r="A1023" s="4" t="s">
        <v>6224</v>
      </c>
      <c r="B1023" s="4" t="s">
        <v>6225</v>
      </c>
      <c r="C1023" s="4" t="s">
        <v>3120</v>
      </c>
      <c r="D1023" s="3">
        <v>25.032483</v>
      </c>
      <c r="E1023" s="3">
        <v>121.51091</v>
      </c>
      <c r="F1023" s="3" t="s">
        <v>44</v>
      </c>
      <c r="G1023" s="4" t="s">
        <v>4157</v>
      </c>
      <c r="H1023" s="3"/>
    </row>
    <row r="1024" ht="15.75" customHeight="1">
      <c r="A1024" s="4" t="s">
        <v>6226</v>
      </c>
      <c r="B1024" s="4" t="s">
        <v>6227</v>
      </c>
      <c r="C1024" s="4" t="s">
        <v>3120</v>
      </c>
      <c r="D1024" s="3">
        <v>25.03234</v>
      </c>
      <c r="E1024" s="3">
        <v>121.510532</v>
      </c>
      <c r="F1024" s="3" t="s">
        <v>44</v>
      </c>
      <c r="G1024" s="4" t="s">
        <v>4157</v>
      </c>
      <c r="H1024" s="3"/>
    </row>
    <row r="1025" ht="15.75" customHeight="1">
      <c r="A1025" s="4" t="s">
        <v>6228</v>
      </c>
      <c r="B1025" s="4" t="s">
        <v>6229</v>
      </c>
      <c r="C1025" s="4" t="s">
        <v>3823</v>
      </c>
      <c r="D1025" s="3">
        <v>25.032138</v>
      </c>
      <c r="E1025" s="3">
        <v>121.510453</v>
      </c>
      <c r="F1025" s="3" t="s">
        <v>44</v>
      </c>
      <c r="G1025" s="4" t="s">
        <v>4157</v>
      </c>
      <c r="H1025" s="3"/>
    </row>
    <row r="1026" ht="15.75" customHeight="1">
      <c r="A1026" s="4" t="s">
        <v>6230</v>
      </c>
      <c r="B1026" s="4" t="s">
        <v>6231</v>
      </c>
      <c r="C1026" s="4" t="s">
        <v>3187</v>
      </c>
      <c r="D1026" s="3">
        <v>25.031618</v>
      </c>
      <c r="E1026" s="3">
        <v>121.510349</v>
      </c>
      <c r="F1026" s="3" t="s">
        <v>44</v>
      </c>
      <c r="G1026" s="4" t="s">
        <v>4157</v>
      </c>
      <c r="H1026" s="3"/>
    </row>
    <row r="1027" ht="15.75" customHeight="1">
      <c r="A1027" s="4" t="s">
        <v>6232</v>
      </c>
      <c r="B1027" s="4" t="s">
        <v>6233</v>
      </c>
      <c r="C1027" s="4" t="s">
        <v>3185</v>
      </c>
      <c r="D1027" s="3">
        <v>25.03237</v>
      </c>
      <c r="E1027" s="3">
        <v>121.511114</v>
      </c>
      <c r="F1027" s="3" t="s">
        <v>44</v>
      </c>
      <c r="G1027" s="4" t="s">
        <v>4157</v>
      </c>
      <c r="H1027" s="3"/>
    </row>
    <row r="1028" ht="15.75" customHeight="1">
      <c r="A1028" s="4" t="s">
        <v>6234</v>
      </c>
      <c r="B1028" s="4" t="s">
        <v>6235</v>
      </c>
      <c r="C1028" s="4" t="s">
        <v>417</v>
      </c>
      <c r="D1028" s="3">
        <v>25.031445</v>
      </c>
      <c r="E1028" s="3">
        <v>121.509774</v>
      </c>
      <c r="F1028" s="3" t="s">
        <v>44</v>
      </c>
      <c r="G1028" s="4" t="s">
        <v>4157</v>
      </c>
      <c r="H1028" s="3"/>
    </row>
    <row r="1029" ht="15.75" customHeight="1">
      <c r="A1029" s="4" t="s">
        <v>6236</v>
      </c>
      <c r="B1029" s="4" t="s">
        <v>6237</v>
      </c>
      <c r="C1029" s="4" t="s">
        <v>395</v>
      </c>
      <c r="D1029" s="3">
        <v>25.032788</v>
      </c>
      <c r="E1029" s="3">
        <v>121.510598</v>
      </c>
      <c r="F1029" s="3" t="s">
        <v>44</v>
      </c>
      <c r="G1029" s="4" t="s">
        <v>4157</v>
      </c>
      <c r="H1029" s="3"/>
    </row>
    <row r="1030" ht="15.75" customHeight="1">
      <c r="A1030" s="4" t="s">
        <v>6238</v>
      </c>
      <c r="B1030" s="4" t="s">
        <v>6239</v>
      </c>
      <c r="C1030" s="4" t="s">
        <v>3166</v>
      </c>
      <c r="D1030" s="3">
        <v>25.031896</v>
      </c>
      <c r="E1030" s="3">
        <v>121.511256</v>
      </c>
      <c r="F1030" s="3" t="s">
        <v>44</v>
      </c>
      <c r="G1030" s="4" t="s">
        <v>4157</v>
      </c>
      <c r="H1030" s="3"/>
    </row>
    <row r="1031" ht="15.75" customHeight="1">
      <c r="A1031" s="4" t="s">
        <v>6240</v>
      </c>
      <c r="B1031" s="4" t="s">
        <v>6241</v>
      </c>
      <c r="C1031" s="4" t="s">
        <v>424</v>
      </c>
      <c r="D1031" s="3">
        <v>25.032965</v>
      </c>
      <c r="E1031" s="3">
        <v>121.510151</v>
      </c>
      <c r="F1031" s="3" t="s">
        <v>44</v>
      </c>
      <c r="G1031" s="4" t="s">
        <v>4157</v>
      </c>
      <c r="H1031" s="3"/>
    </row>
    <row r="1032" ht="15.75" customHeight="1">
      <c r="A1032" s="4" t="s">
        <v>6242</v>
      </c>
      <c r="B1032" s="4" t="s">
        <v>6243</v>
      </c>
      <c r="C1032" s="4" t="s">
        <v>3958</v>
      </c>
      <c r="D1032" s="3">
        <v>25.032001</v>
      </c>
      <c r="E1032" s="3">
        <v>121.510296</v>
      </c>
      <c r="F1032" s="3" t="s">
        <v>44</v>
      </c>
      <c r="G1032" s="4" t="s">
        <v>4157</v>
      </c>
      <c r="H1032" s="3"/>
    </row>
    <row r="1033" ht="15.75" customHeight="1">
      <c r="A1033" s="4" t="s">
        <v>6244</v>
      </c>
      <c r="B1033" s="4" t="s">
        <v>6245</v>
      </c>
      <c r="C1033" s="4" t="s">
        <v>3816</v>
      </c>
      <c r="D1033" s="3">
        <v>25.033131</v>
      </c>
      <c r="E1033" s="3">
        <v>121.509111</v>
      </c>
      <c r="F1033" s="3" t="s">
        <v>130</v>
      </c>
      <c r="G1033" s="4" t="s">
        <v>4157</v>
      </c>
      <c r="H1033" s="3"/>
    </row>
    <row r="1034" ht="15.75" customHeight="1">
      <c r="A1034" s="4" t="s">
        <v>6246</v>
      </c>
      <c r="B1034" s="4" t="s">
        <v>6247</v>
      </c>
      <c r="C1034" s="4" t="s">
        <v>3816</v>
      </c>
      <c r="D1034" s="3">
        <v>25.032032</v>
      </c>
      <c r="E1034" s="3">
        <v>121.510373</v>
      </c>
      <c r="F1034" s="3" t="s">
        <v>44</v>
      </c>
      <c r="G1034" s="4" t="s">
        <v>4157</v>
      </c>
      <c r="H1034" s="3"/>
    </row>
    <row r="1035" ht="15.75" customHeight="1">
      <c r="A1035" s="4" t="s">
        <v>6248</v>
      </c>
      <c r="B1035" s="4" t="s">
        <v>6249</v>
      </c>
      <c r="C1035" s="4" t="s">
        <v>3827</v>
      </c>
      <c r="D1035" s="3">
        <v>25.032168</v>
      </c>
      <c r="E1035" s="3">
        <v>121.510462</v>
      </c>
      <c r="F1035" s="3" t="s">
        <v>44</v>
      </c>
      <c r="G1035" s="4" t="s">
        <v>4157</v>
      </c>
      <c r="H1035" s="3"/>
    </row>
    <row r="1036" ht="15.75" customHeight="1">
      <c r="A1036" s="4" t="s">
        <v>6250</v>
      </c>
      <c r="B1036" s="4" t="s">
        <v>6251</v>
      </c>
      <c r="C1036" s="4" t="s">
        <v>3171</v>
      </c>
      <c r="D1036" s="3">
        <v>25.032267</v>
      </c>
      <c r="E1036" s="3">
        <v>121.510558</v>
      </c>
      <c r="F1036" s="3" t="s">
        <v>44</v>
      </c>
      <c r="G1036" s="4" t="s">
        <v>4157</v>
      </c>
      <c r="H1036" s="3"/>
    </row>
    <row r="1037" ht="15.75" customHeight="1">
      <c r="A1037" s="4" t="s">
        <v>6252</v>
      </c>
      <c r="B1037" s="4" t="s">
        <v>6253</v>
      </c>
      <c r="C1037" s="4" t="s">
        <v>3974</v>
      </c>
      <c r="D1037" s="3">
        <v>25.032095</v>
      </c>
      <c r="E1037" s="3">
        <v>121.510209</v>
      </c>
      <c r="F1037" s="3" t="s">
        <v>44</v>
      </c>
      <c r="G1037" s="4" t="s">
        <v>4157</v>
      </c>
      <c r="H1037" s="3"/>
    </row>
    <row r="1038" ht="15.75" customHeight="1">
      <c r="A1038" s="4" t="s">
        <v>6254</v>
      </c>
      <c r="B1038" s="4" t="s">
        <v>6255</v>
      </c>
      <c r="C1038" s="4" t="s">
        <v>462</v>
      </c>
      <c r="D1038" s="3">
        <v>25.033099</v>
      </c>
      <c r="E1038" s="3">
        <v>121.510013</v>
      </c>
      <c r="F1038" s="3" t="s">
        <v>44</v>
      </c>
      <c r="G1038" s="4" t="s">
        <v>4157</v>
      </c>
      <c r="H1038" s="3"/>
    </row>
    <row r="1039" ht="15.75" customHeight="1">
      <c r="A1039" s="4" t="s">
        <v>6256</v>
      </c>
      <c r="B1039" s="4" t="s">
        <v>6257</v>
      </c>
      <c r="C1039" s="4" t="s">
        <v>3831</v>
      </c>
      <c r="D1039" s="3">
        <v>25.032182</v>
      </c>
      <c r="E1039" s="3">
        <v>121.510456</v>
      </c>
      <c r="F1039" s="3" t="s">
        <v>44</v>
      </c>
      <c r="G1039" s="4" t="s">
        <v>4157</v>
      </c>
      <c r="H1039" s="3"/>
    </row>
    <row r="1040" ht="15.75" customHeight="1">
      <c r="A1040" s="4" t="s">
        <v>6258</v>
      </c>
      <c r="B1040" s="4" t="s">
        <v>6259</v>
      </c>
      <c r="C1040" s="4" t="s">
        <v>3968</v>
      </c>
      <c r="D1040" s="3">
        <v>25.031854</v>
      </c>
      <c r="E1040" s="3">
        <v>121.510108</v>
      </c>
      <c r="F1040" s="3" t="s">
        <v>44</v>
      </c>
      <c r="G1040" s="4" t="s">
        <v>4157</v>
      </c>
      <c r="H1040" s="3"/>
    </row>
    <row r="1041" ht="15.75" customHeight="1">
      <c r="A1041" s="4" t="s">
        <v>6260</v>
      </c>
      <c r="B1041" s="4" t="s">
        <v>6261</v>
      </c>
      <c r="C1041" s="4" t="s">
        <v>397</v>
      </c>
      <c r="D1041" s="3">
        <v>25.03287</v>
      </c>
      <c r="E1041" s="3">
        <v>121.510158</v>
      </c>
      <c r="F1041" s="3" t="s">
        <v>44</v>
      </c>
      <c r="G1041" s="4" t="s">
        <v>4157</v>
      </c>
      <c r="H1041" s="3"/>
    </row>
    <row r="1042" ht="15.75" customHeight="1">
      <c r="A1042" s="4" t="s">
        <v>6262</v>
      </c>
      <c r="B1042" s="4" t="s">
        <v>6263</v>
      </c>
      <c r="C1042" s="4" t="s">
        <v>3835</v>
      </c>
      <c r="D1042" s="3">
        <v>25.032117</v>
      </c>
      <c r="E1042" s="3">
        <v>121.510445</v>
      </c>
      <c r="F1042" s="3" t="s">
        <v>44</v>
      </c>
      <c r="G1042" s="4" t="s">
        <v>4157</v>
      </c>
      <c r="H1042" s="3"/>
    </row>
    <row r="1043" ht="15.75" customHeight="1">
      <c r="A1043" s="4" t="s">
        <v>6264</v>
      </c>
      <c r="B1043" s="4" t="s">
        <v>6265</v>
      </c>
      <c r="C1043" s="4" t="s">
        <v>159</v>
      </c>
      <c r="D1043" s="3">
        <v>25.032618</v>
      </c>
      <c r="E1043" s="3">
        <v>121.510613</v>
      </c>
      <c r="F1043" s="3" t="s">
        <v>44</v>
      </c>
      <c r="G1043" s="4" t="s">
        <v>4157</v>
      </c>
      <c r="H1043" s="3"/>
    </row>
    <row r="1044" ht="15.75" customHeight="1">
      <c r="A1044" s="4" t="s">
        <v>6266</v>
      </c>
      <c r="B1044" s="4" t="s">
        <v>6267</v>
      </c>
      <c r="C1044" s="4" t="s">
        <v>3240</v>
      </c>
      <c r="D1044" s="3">
        <v>25.031788</v>
      </c>
      <c r="E1044" s="3">
        <v>121.511369</v>
      </c>
      <c r="F1044" s="3" t="s">
        <v>44</v>
      </c>
      <c r="G1044" s="4" t="s">
        <v>4157</v>
      </c>
      <c r="H1044" s="3"/>
    </row>
    <row r="1045" ht="15.75" customHeight="1">
      <c r="A1045" s="4" t="s">
        <v>6268</v>
      </c>
      <c r="B1045" s="4" t="s">
        <v>6269</v>
      </c>
      <c r="C1045" s="4" t="s">
        <v>412</v>
      </c>
      <c r="D1045" s="3">
        <v>25.03257</v>
      </c>
      <c r="E1045" s="3">
        <v>121.509915</v>
      </c>
      <c r="F1045" s="3" t="s">
        <v>130</v>
      </c>
      <c r="G1045" s="4" t="s">
        <v>4157</v>
      </c>
      <c r="H1045" s="3"/>
    </row>
    <row r="1046" ht="15.75" customHeight="1">
      <c r="A1046" s="4" t="s">
        <v>6270</v>
      </c>
      <c r="B1046" s="4" t="s">
        <v>6271</v>
      </c>
      <c r="C1046" s="4" t="s">
        <v>3963</v>
      </c>
      <c r="D1046" s="3">
        <v>25.03186</v>
      </c>
      <c r="E1046" s="3">
        <v>121.50988</v>
      </c>
      <c r="F1046" s="3" t="s">
        <v>44</v>
      </c>
      <c r="G1046" s="4" t="s">
        <v>4157</v>
      </c>
      <c r="H1046" s="3"/>
    </row>
    <row r="1047" ht="15.75" customHeight="1">
      <c r="A1047" s="4" t="s">
        <v>6272</v>
      </c>
      <c r="B1047" s="4" t="s">
        <v>6273</v>
      </c>
      <c r="C1047" s="4" t="s">
        <v>3833</v>
      </c>
      <c r="D1047" s="3">
        <v>25.032184</v>
      </c>
      <c r="E1047" s="3">
        <v>121.510424</v>
      </c>
      <c r="F1047" s="3" t="s">
        <v>44</v>
      </c>
      <c r="G1047" s="4" t="s">
        <v>4157</v>
      </c>
      <c r="H1047" s="3"/>
    </row>
    <row r="1048" ht="15.75" customHeight="1">
      <c r="A1048" s="4" t="s">
        <v>6274</v>
      </c>
      <c r="B1048" s="4" t="s">
        <v>6275</v>
      </c>
      <c r="C1048" s="4" t="s">
        <v>3235</v>
      </c>
      <c r="D1048" s="3">
        <v>25.031583</v>
      </c>
      <c r="E1048" s="3">
        <v>121.510274</v>
      </c>
      <c r="F1048" s="3" t="s">
        <v>44</v>
      </c>
      <c r="G1048" s="4" t="s">
        <v>4157</v>
      </c>
      <c r="H1048" s="3"/>
    </row>
    <row r="1049" ht="15.75" customHeight="1">
      <c r="A1049" s="4" t="s">
        <v>6276</v>
      </c>
      <c r="B1049" s="4" t="s">
        <v>6277</v>
      </c>
      <c r="C1049" s="4" t="s">
        <v>162</v>
      </c>
      <c r="D1049" s="3">
        <v>25.032611</v>
      </c>
      <c r="E1049" s="3">
        <v>121.510494</v>
      </c>
      <c r="F1049" s="3" t="s">
        <v>44</v>
      </c>
      <c r="G1049" s="4" t="s">
        <v>4157</v>
      </c>
      <c r="H1049" s="3"/>
    </row>
    <row r="1050" ht="15.75" customHeight="1">
      <c r="A1050" s="4" t="s">
        <v>6278</v>
      </c>
      <c r="B1050" s="4" t="s">
        <v>6279</v>
      </c>
      <c r="C1050" s="4" t="s">
        <v>144</v>
      </c>
      <c r="D1050" s="3">
        <v>25.032491</v>
      </c>
      <c r="E1050" s="3">
        <v>121.510553</v>
      </c>
      <c r="F1050" s="3" t="s">
        <v>44</v>
      </c>
      <c r="G1050" s="4" t="s">
        <v>4157</v>
      </c>
      <c r="H1050" s="3"/>
    </row>
    <row r="1051" ht="15.75" customHeight="1">
      <c r="A1051" s="4" t="s">
        <v>6280</v>
      </c>
      <c r="B1051" s="4" t="s">
        <v>6281</v>
      </c>
      <c r="C1051" s="4" t="s">
        <v>3174</v>
      </c>
      <c r="D1051" s="3">
        <v>25.031769</v>
      </c>
      <c r="E1051" s="3">
        <v>121.51127</v>
      </c>
      <c r="F1051" s="3" t="s">
        <v>44</v>
      </c>
      <c r="G1051" s="4" t="s">
        <v>4157</v>
      </c>
      <c r="H1051" s="3"/>
    </row>
    <row r="1052" ht="15.75" customHeight="1">
      <c r="A1052" s="4" t="s">
        <v>6282</v>
      </c>
      <c r="B1052" s="4" t="s">
        <v>6283</v>
      </c>
      <c r="C1052" s="4" t="s">
        <v>3238</v>
      </c>
      <c r="D1052" s="3">
        <v>25.031694</v>
      </c>
      <c r="E1052" s="3">
        <v>121.510381</v>
      </c>
      <c r="F1052" s="3" t="s">
        <v>44</v>
      </c>
      <c r="G1052" s="4" t="s">
        <v>4157</v>
      </c>
      <c r="H1052" s="3"/>
    </row>
    <row r="1053" ht="15.75" customHeight="1">
      <c r="A1053" s="4" t="s">
        <v>6284</v>
      </c>
      <c r="B1053" s="4" t="s">
        <v>6285</v>
      </c>
      <c r="C1053" s="4" t="s">
        <v>2828</v>
      </c>
      <c r="D1053" s="3">
        <v>25.032962</v>
      </c>
      <c r="E1053" s="3">
        <v>121.509836</v>
      </c>
      <c r="F1053" s="3" t="s">
        <v>130</v>
      </c>
      <c r="G1053" s="4" t="s">
        <v>4157</v>
      </c>
      <c r="H1053" s="3"/>
    </row>
    <row r="1054" ht="15.75" customHeight="1">
      <c r="A1054" s="4" t="s">
        <v>6286</v>
      </c>
      <c r="B1054" s="4" t="s">
        <v>6287</v>
      </c>
      <c r="C1054" s="4" t="s">
        <v>3978</v>
      </c>
      <c r="D1054" s="3">
        <v>25.032187</v>
      </c>
      <c r="E1054" s="3">
        <v>121.509829</v>
      </c>
      <c r="F1054" s="3" t="s">
        <v>44</v>
      </c>
      <c r="G1054" s="4" t="s">
        <v>4157</v>
      </c>
      <c r="H1054" s="3"/>
    </row>
    <row r="1055" ht="15.75" customHeight="1">
      <c r="A1055" s="4" t="s">
        <v>6288</v>
      </c>
      <c r="B1055" s="4" t="s">
        <v>6289</v>
      </c>
      <c r="C1055" s="4" t="s">
        <v>3196</v>
      </c>
      <c r="D1055" s="3">
        <v>25.032157</v>
      </c>
      <c r="E1055" s="3">
        <v>121.511238</v>
      </c>
      <c r="F1055" s="3" t="s">
        <v>44</v>
      </c>
      <c r="G1055" s="4" t="s">
        <v>4157</v>
      </c>
      <c r="H1055" s="3"/>
    </row>
    <row r="1056" ht="15.75" customHeight="1">
      <c r="A1056" s="4" t="s">
        <v>6290</v>
      </c>
      <c r="B1056" s="4" t="s">
        <v>6291</v>
      </c>
      <c r="C1056" s="4" t="s">
        <v>468</v>
      </c>
      <c r="D1056" s="3">
        <v>25.033141</v>
      </c>
      <c r="E1056" s="3">
        <v>121.510036</v>
      </c>
      <c r="F1056" s="3" t="s">
        <v>44</v>
      </c>
      <c r="G1056" s="4" t="s">
        <v>4157</v>
      </c>
      <c r="H1056" s="3"/>
    </row>
    <row r="1057" ht="15.75" customHeight="1">
      <c r="A1057" s="4" t="s">
        <v>6292</v>
      </c>
      <c r="B1057" s="4" t="s">
        <v>6293</v>
      </c>
      <c r="C1057" s="4" t="s">
        <v>3164</v>
      </c>
      <c r="D1057" s="3">
        <v>25.031589</v>
      </c>
      <c r="E1057" s="3">
        <v>121.510313</v>
      </c>
      <c r="F1057" s="3" t="s">
        <v>44</v>
      </c>
      <c r="G1057" s="4" t="s">
        <v>4157</v>
      </c>
      <c r="H1057" s="3"/>
    </row>
    <row r="1058" ht="15.75" customHeight="1">
      <c r="A1058" s="4" t="s">
        <v>6294</v>
      </c>
      <c r="B1058" s="4" t="s">
        <v>6295</v>
      </c>
      <c r="C1058" s="4" t="s">
        <v>3921</v>
      </c>
      <c r="D1058" s="3">
        <v>25.032262</v>
      </c>
      <c r="E1058" s="3">
        <v>121.510029</v>
      </c>
      <c r="F1058" s="3" t="s">
        <v>44</v>
      </c>
      <c r="G1058" s="4" t="s">
        <v>4157</v>
      </c>
      <c r="H1058" s="3"/>
    </row>
    <row r="1059" ht="15.75" customHeight="1">
      <c r="A1059" s="4" t="s">
        <v>6296</v>
      </c>
      <c r="B1059" s="4" t="s">
        <v>6297</v>
      </c>
      <c r="C1059" s="4" t="s">
        <v>350</v>
      </c>
      <c r="D1059" s="3">
        <v>25.032838</v>
      </c>
      <c r="E1059" s="3">
        <v>121.509374</v>
      </c>
      <c r="F1059" s="3" t="s">
        <v>130</v>
      </c>
      <c r="G1059" s="4" t="s">
        <v>4157</v>
      </c>
      <c r="H1059" s="3"/>
    </row>
    <row r="1060" ht="15.75" customHeight="1">
      <c r="A1060" s="4" t="s">
        <v>6298</v>
      </c>
      <c r="B1060" s="4" t="s">
        <v>6299</v>
      </c>
      <c r="C1060" s="4" t="s">
        <v>3209</v>
      </c>
      <c r="D1060" s="3">
        <v>25.032899</v>
      </c>
      <c r="E1060" s="3">
        <v>121.509369</v>
      </c>
      <c r="F1060" s="3" t="s">
        <v>130</v>
      </c>
      <c r="G1060" s="4" t="s">
        <v>4157</v>
      </c>
      <c r="H1060" s="3"/>
    </row>
    <row r="1061" ht="15.75" customHeight="1">
      <c r="A1061" s="4" t="s">
        <v>6300</v>
      </c>
      <c r="B1061" s="4" t="s">
        <v>6301</v>
      </c>
      <c r="C1061" s="4" t="s">
        <v>6302</v>
      </c>
      <c r="D1061" s="3">
        <v>25.031699</v>
      </c>
      <c r="E1061" s="3">
        <v>121.511303</v>
      </c>
      <c r="F1061" s="3" t="s">
        <v>44</v>
      </c>
      <c r="G1061" s="4" t="s">
        <v>4157</v>
      </c>
      <c r="H1061" s="3"/>
    </row>
    <row r="1062" ht="15.75" customHeight="1">
      <c r="A1062" s="4" t="s">
        <v>6303</v>
      </c>
      <c r="B1062" s="4" t="s">
        <v>6304</v>
      </c>
      <c r="C1062" s="4" t="s">
        <v>147</v>
      </c>
      <c r="D1062" s="3">
        <v>25.032521</v>
      </c>
      <c r="E1062" s="3">
        <v>121.511023</v>
      </c>
      <c r="F1062" s="3" t="s">
        <v>44</v>
      </c>
      <c r="G1062" s="4" t="s">
        <v>4157</v>
      </c>
      <c r="H1062" s="3"/>
    </row>
    <row r="1063" ht="15.75" customHeight="1">
      <c r="A1063" s="4" t="s">
        <v>6305</v>
      </c>
      <c r="B1063" s="4" t="s">
        <v>6306</v>
      </c>
      <c r="C1063" s="4" t="s">
        <v>3198</v>
      </c>
      <c r="D1063" s="3">
        <v>25.032059</v>
      </c>
      <c r="E1063" s="3">
        <v>121.511238</v>
      </c>
      <c r="F1063" s="3" t="s">
        <v>44</v>
      </c>
      <c r="G1063" s="4" t="s">
        <v>4157</v>
      </c>
      <c r="H1063" s="3"/>
    </row>
    <row r="1064" ht="15.75" customHeight="1">
      <c r="A1064" s="4" t="s">
        <v>6307</v>
      </c>
      <c r="B1064" s="4" t="s">
        <v>6308</v>
      </c>
      <c r="C1064" s="4" t="s">
        <v>787</v>
      </c>
      <c r="D1064" s="3">
        <v>25.031426</v>
      </c>
      <c r="E1064" s="3">
        <v>121.509805</v>
      </c>
      <c r="F1064" s="3" t="s">
        <v>44</v>
      </c>
      <c r="G1064" s="4" t="s">
        <v>4157</v>
      </c>
      <c r="H1064" s="3"/>
    </row>
    <row r="1065" ht="15.75" customHeight="1">
      <c r="A1065" s="4" t="s">
        <v>6309</v>
      </c>
      <c r="B1065" s="4" t="s">
        <v>6310</v>
      </c>
      <c r="C1065" s="4" t="s">
        <v>3997</v>
      </c>
      <c r="D1065" s="3">
        <v>25.032186</v>
      </c>
      <c r="E1065" s="3">
        <v>121.510141</v>
      </c>
      <c r="F1065" s="3" t="s">
        <v>44</v>
      </c>
      <c r="G1065" s="4" t="s">
        <v>4157</v>
      </c>
      <c r="H1065" s="3"/>
    </row>
    <row r="1066" ht="15.75" customHeight="1">
      <c r="A1066" s="4" t="s">
        <v>6311</v>
      </c>
      <c r="B1066" s="4" t="s">
        <v>6312</v>
      </c>
      <c r="C1066" s="4" t="s">
        <v>3204</v>
      </c>
      <c r="D1066" s="3">
        <v>25.033139</v>
      </c>
      <c r="E1066" s="3">
        <v>121.508753</v>
      </c>
      <c r="F1066" s="3" t="s">
        <v>56</v>
      </c>
      <c r="G1066" s="4" t="s">
        <v>4157</v>
      </c>
      <c r="H1066" s="3"/>
    </row>
    <row r="1067" ht="15.75" customHeight="1">
      <c r="A1067" s="4" t="s">
        <v>6313</v>
      </c>
      <c r="B1067" s="4" t="s">
        <v>6314</v>
      </c>
      <c r="C1067" s="4" t="s">
        <v>3204</v>
      </c>
      <c r="D1067" s="3">
        <v>25.031682</v>
      </c>
      <c r="E1067" s="3">
        <v>121.511339</v>
      </c>
      <c r="F1067" s="3" t="s">
        <v>44</v>
      </c>
      <c r="G1067" s="4" t="s">
        <v>4157</v>
      </c>
      <c r="H1067" s="3"/>
    </row>
    <row r="1068" ht="15.75" customHeight="1">
      <c r="A1068" s="4" t="s">
        <v>6315</v>
      </c>
      <c r="B1068" s="4" t="s">
        <v>6316</v>
      </c>
      <c r="C1068" s="4" t="s">
        <v>3227</v>
      </c>
      <c r="D1068" s="3">
        <v>25.031898</v>
      </c>
      <c r="E1068" s="3">
        <v>121.51029</v>
      </c>
      <c r="F1068" s="3" t="s">
        <v>44</v>
      </c>
      <c r="G1068" s="4" t="s">
        <v>4157</v>
      </c>
      <c r="H1068" s="3"/>
    </row>
    <row r="1069" ht="15.75" customHeight="1">
      <c r="A1069" s="4" t="s">
        <v>6317</v>
      </c>
      <c r="B1069" s="4" t="s">
        <v>6318</v>
      </c>
      <c r="C1069" s="4" t="s">
        <v>3227</v>
      </c>
      <c r="D1069" s="3">
        <v>25.031537</v>
      </c>
      <c r="E1069" s="3">
        <v>121.510112</v>
      </c>
      <c r="F1069" s="3" t="s">
        <v>44</v>
      </c>
      <c r="G1069" s="4" t="s">
        <v>4157</v>
      </c>
      <c r="H1069" s="3"/>
    </row>
    <row r="1070" ht="15.75" customHeight="1">
      <c r="A1070" s="4" t="s">
        <v>6319</v>
      </c>
      <c r="B1070" s="4" t="s">
        <v>6320</v>
      </c>
      <c r="C1070" s="4" t="s">
        <v>3845</v>
      </c>
      <c r="D1070" s="3">
        <v>25.032088</v>
      </c>
      <c r="E1070" s="3">
        <v>121.510462</v>
      </c>
      <c r="F1070" s="3" t="s">
        <v>44</v>
      </c>
      <c r="G1070" s="4" t="s">
        <v>4157</v>
      </c>
      <c r="H1070" s="3"/>
    </row>
    <row r="1071" ht="15.75" customHeight="1">
      <c r="A1071" s="4" t="s">
        <v>6321</v>
      </c>
      <c r="B1071" s="4" t="s">
        <v>6322</v>
      </c>
      <c r="C1071" s="4" t="s">
        <v>3989</v>
      </c>
      <c r="D1071" s="3">
        <v>25.031964</v>
      </c>
      <c r="E1071" s="3">
        <v>121.509951</v>
      </c>
      <c r="F1071" s="3" t="s">
        <v>44</v>
      </c>
      <c r="G1071" s="4" t="s">
        <v>4157</v>
      </c>
      <c r="H1071" s="3"/>
    </row>
    <row r="1072" ht="15.75" customHeight="1">
      <c r="A1072" s="4" t="s">
        <v>6323</v>
      </c>
      <c r="B1072" s="4" t="s">
        <v>6324</v>
      </c>
      <c r="C1072" s="4" t="s">
        <v>3216</v>
      </c>
      <c r="D1072" s="3">
        <v>25.031744</v>
      </c>
      <c r="E1072" s="3">
        <v>121.51042</v>
      </c>
      <c r="F1072" s="3" t="s">
        <v>44</v>
      </c>
      <c r="G1072" s="4" t="s">
        <v>4157</v>
      </c>
      <c r="H1072" s="3"/>
    </row>
    <row r="1073" ht="15.75" customHeight="1">
      <c r="A1073" s="4" t="s">
        <v>6325</v>
      </c>
      <c r="B1073" s="4" t="s">
        <v>6326</v>
      </c>
      <c r="C1073" s="4" t="s">
        <v>3169</v>
      </c>
      <c r="D1073" s="3">
        <v>25.032231</v>
      </c>
      <c r="E1073" s="3">
        <v>121.510527</v>
      </c>
      <c r="F1073" s="3" t="s">
        <v>44</v>
      </c>
      <c r="G1073" s="4" t="s">
        <v>4157</v>
      </c>
      <c r="H1073" s="3"/>
    </row>
    <row r="1074" ht="15.75" customHeight="1">
      <c r="A1074" s="4" t="s">
        <v>6327</v>
      </c>
      <c r="B1074" s="4" t="s">
        <v>6328</v>
      </c>
      <c r="C1074" s="4" t="s">
        <v>3984</v>
      </c>
      <c r="D1074" s="3">
        <v>25.032152</v>
      </c>
      <c r="E1074" s="3">
        <v>121.51008</v>
      </c>
      <c r="F1074" s="3" t="s">
        <v>44</v>
      </c>
      <c r="G1074" s="4" t="s">
        <v>4157</v>
      </c>
      <c r="H1074" s="3"/>
    </row>
    <row r="1075" ht="15.75" customHeight="1">
      <c r="A1075" s="4" t="s">
        <v>6329</v>
      </c>
      <c r="B1075" s="4" t="s">
        <v>6330</v>
      </c>
      <c r="C1075" s="4" t="s">
        <v>3841</v>
      </c>
      <c r="D1075" s="3">
        <v>25.032112</v>
      </c>
      <c r="E1075" s="3">
        <v>121.51047</v>
      </c>
      <c r="F1075" s="3" t="s">
        <v>44</v>
      </c>
      <c r="G1075" s="4" t="s">
        <v>4157</v>
      </c>
      <c r="H1075" s="3"/>
    </row>
    <row r="1076" ht="15.75" customHeight="1">
      <c r="A1076" s="4" t="s">
        <v>6331</v>
      </c>
      <c r="B1076" s="4" t="s">
        <v>6332</v>
      </c>
      <c r="C1076" s="4" t="s">
        <v>3222</v>
      </c>
      <c r="D1076" s="3">
        <v>25.032404</v>
      </c>
      <c r="E1076" s="3">
        <v>121.511089</v>
      </c>
      <c r="F1076" s="3" t="s">
        <v>44</v>
      </c>
      <c r="G1076" s="4" t="s">
        <v>4157</v>
      </c>
      <c r="H1076" s="3"/>
    </row>
    <row r="1077" ht="15.75" customHeight="1">
      <c r="A1077" s="4" t="s">
        <v>6333</v>
      </c>
      <c r="B1077" s="4" t="s">
        <v>6334</v>
      </c>
      <c r="C1077" s="4" t="s">
        <v>464</v>
      </c>
      <c r="D1077" s="3">
        <v>25.033213</v>
      </c>
      <c r="E1077" s="3">
        <v>121.510063</v>
      </c>
      <c r="F1077" s="3" t="s">
        <v>44</v>
      </c>
      <c r="G1077" s="4" t="s">
        <v>4157</v>
      </c>
      <c r="H1077" s="3"/>
    </row>
    <row r="1078" ht="15.75" customHeight="1">
      <c r="A1078" s="4" t="s">
        <v>6335</v>
      </c>
      <c r="B1078" s="4" t="s">
        <v>6336</v>
      </c>
      <c r="C1078" s="4" t="s">
        <v>464</v>
      </c>
      <c r="D1078" s="3">
        <v>25.032092</v>
      </c>
      <c r="E1078" s="3">
        <v>121.508198</v>
      </c>
      <c r="F1078" s="3" t="s">
        <v>56</v>
      </c>
      <c r="G1078" s="4" t="s">
        <v>4157</v>
      </c>
      <c r="H1078" s="3"/>
    </row>
    <row r="1079" ht="15.75" customHeight="1">
      <c r="A1079" s="4" t="s">
        <v>6337</v>
      </c>
      <c r="B1079" s="4" t="s">
        <v>6338</v>
      </c>
      <c r="C1079" s="4" t="s">
        <v>3211</v>
      </c>
      <c r="D1079" s="3">
        <v>25.032118</v>
      </c>
      <c r="E1079" s="3">
        <v>121.511248</v>
      </c>
      <c r="F1079" s="3" t="s">
        <v>44</v>
      </c>
      <c r="G1079" s="4" t="s">
        <v>4157</v>
      </c>
      <c r="H1079" s="3"/>
    </row>
    <row r="1080" ht="15.75" customHeight="1">
      <c r="A1080" s="4" t="s">
        <v>6339</v>
      </c>
      <c r="B1080" s="4" t="s">
        <v>6340</v>
      </c>
      <c r="C1080" s="4" t="s">
        <v>3194</v>
      </c>
      <c r="D1080" s="3">
        <v>25.03188</v>
      </c>
      <c r="E1080" s="3">
        <v>121.511211</v>
      </c>
      <c r="F1080" s="3" t="s">
        <v>44</v>
      </c>
      <c r="G1080" s="4" t="s">
        <v>4157</v>
      </c>
      <c r="H1080" s="3"/>
    </row>
    <row r="1081" ht="15.75" customHeight="1">
      <c r="A1081" s="4" t="s">
        <v>6341</v>
      </c>
      <c r="B1081" s="4" t="s">
        <v>6342</v>
      </c>
      <c r="C1081" s="4" t="s">
        <v>3214</v>
      </c>
      <c r="D1081" s="3">
        <v>25.031723</v>
      </c>
      <c r="E1081" s="3">
        <v>121.511273</v>
      </c>
      <c r="F1081" s="3" t="s">
        <v>44</v>
      </c>
      <c r="G1081" s="4" t="s">
        <v>4157</v>
      </c>
      <c r="H1081" s="3"/>
    </row>
    <row r="1082" ht="15.75" customHeight="1">
      <c r="A1082" s="4" t="s">
        <v>6343</v>
      </c>
      <c r="B1082" s="4" t="s">
        <v>6344</v>
      </c>
      <c r="C1082" s="4" t="s">
        <v>792</v>
      </c>
      <c r="D1082" s="3">
        <v>25.031533</v>
      </c>
      <c r="E1082" s="3">
        <v>121.51038</v>
      </c>
      <c r="F1082" s="3" t="s">
        <v>44</v>
      </c>
      <c r="G1082" s="4" t="s">
        <v>4157</v>
      </c>
      <c r="H1082" s="3"/>
    </row>
    <row r="1083" ht="15.75" customHeight="1">
      <c r="A1083" s="4" t="s">
        <v>6345</v>
      </c>
      <c r="B1083" s="4" t="s">
        <v>6346</v>
      </c>
      <c r="C1083" s="4" t="s">
        <v>3200</v>
      </c>
      <c r="D1083" s="3">
        <v>25.031536</v>
      </c>
      <c r="E1083" s="3">
        <v>121.510426</v>
      </c>
      <c r="F1083" s="3" t="s">
        <v>44</v>
      </c>
      <c r="G1083" s="4" t="s">
        <v>4157</v>
      </c>
      <c r="H1083" s="3"/>
    </row>
    <row r="1084" ht="15.75" customHeight="1">
      <c r="A1084" s="4" t="s">
        <v>6347</v>
      </c>
      <c r="B1084" s="4" t="s">
        <v>6348</v>
      </c>
      <c r="C1084" s="4" t="s">
        <v>3074</v>
      </c>
      <c r="D1084" s="3">
        <v>25.031917</v>
      </c>
      <c r="E1084" s="3">
        <v>121.5116</v>
      </c>
      <c r="F1084" s="3" t="s">
        <v>44</v>
      </c>
      <c r="G1084" s="4" t="s">
        <v>4157</v>
      </c>
      <c r="H1084" s="3"/>
    </row>
    <row r="1085" ht="15.75" customHeight="1">
      <c r="A1085" s="4" t="s">
        <v>6349</v>
      </c>
      <c r="B1085" s="4" t="s">
        <v>6350</v>
      </c>
      <c r="C1085" s="4" t="s">
        <v>3224</v>
      </c>
      <c r="D1085" s="3">
        <v>25.032342</v>
      </c>
      <c r="E1085" s="3">
        <v>121.511487</v>
      </c>
      <c r="F1085" s="3" t="s">
        <v>44</v>
      </c>
      <c r="G1085" s="4" t="s">
        <v>4157</v>
      </c>
      <c r="H1085" s="3"/>
    </row>
    <row r="1086" ht="15.75" customHeight="1">
      <c r="A1086" s="4" t="s">
        <v>6351</v>
      </c>
      <c r="B1086" s="4" t="s">
        <v>6352</v>
      </c>
      <c r="C1086" s="4" t="s">
        <v>166</v>
      </c>
      <c r="D1086" s="3">
        <v>25.032963</v>
      </c>
      <c r="E1086" s="3">
        <v>121.510501</v>
      </c>
      <c r="F1086" s="3" t="s">
        <v>44</v>
      </c>
      <c r="G1086" s="4" t="s">
        <v>4157</v>
      </c>
      <c r="H1086" s="3"/>
    </row>
    <row r="1087" ht="15.75" customHeight="1">
      <c r="A1087" s="4" t="s">
        <v>6353</v>
      </c>
      <c r="B1087" s="4" t="s">
        <v>6354</v>
      </c>
      <c r="C1087" s="4" t="s">
        <v>442</v>
      </c>
      <c r="D1087" s="3">
        <v>25.032991</v>
      </c>
      <c r="E1087" s="3">
        <v>121.510429</v>
      </c>
      <c r="F1087" s="3" t="s">
        <v>44</v>
      </c>
      <c r="G1087" s="4" t="s">
        <v>4157</v>
      </c>
      <c r="H1087" s="3"/>
    </row>
    <row r="1088" ht="15.75" customHeight="1">
      <c r="A1088" s="4" t="s">
        <v>6355</v>
      </c>
      <c r="B1088" s="4" t="s">
        <v>6356</v>
      </c>
      <c r="C1088" s="4" t="s">
        <v>3995</v>
      </c>
      <c r="D1088" s="3">
        <v>25.031515</v>
      </c>
      <c r="E1088" s="3">
        <v>121.509951</v>
      </c>
      <c r="F1088" s="3" t="s">
        <v>44</v>
      </c>
      <c r="G1088" s="4" t="s">
        <v>4157</v>
      </c>
      <c r="H1088" s="3"/>
    </row>
    <row r="1089" ht="15.75" customHeight="1">
      <c r="A1089" s="4" t="s">
        <v>6357</v>
      </c>
      <c r="B1089" s="4" t="s">
        <v>6358</v>
      </c>
      <c r="C1089" s="4" t="s">
        <v>3883</v>
      </c>
      <c r="D1089" s="3">
        <v>25.031628</v>
      </c>
      <c r="E1089" s="3">
        <v>121.509842</v>
      </c>
      <c r="F1089" s="3" t="s">
        <v>44</v>
      </c>
      <c r="G1089" s="4" t="s">
        <v>4157</v>
      </c>
      <c r="H1089" s="3"/>
    </row>
    <row r="1090" ht="15.75" customHeight="1">
      <c r="A1090" s="4" t="s">
        <v>6359</v>
      </c>
      <c r="B1090" s="4" t="s">
        <v>6360</v>
      </c>
      <c r="C1090" s="4" t="s">
        <v>4003</v>
      </c>
      <c r="D1090" s="3">
        <v>25.031656</v>
      </c>
      <c r="E1090" s="3">
        <v>121.509906</v>
      </c>
      <c r="F1090" s="3" t="s">
        <v>44</v>
      </c>
      <c r="G1090" s="4" t="s">
        <v>4157</v>
      </c>
      <c r="H1090" s="3"/>
    </row>
    <row r="1091" ht="15.75" customHeight="1">
      <c r="A1091" s="4" t="s">
        <v>6361</v>
      </c>
      <c r="B1091" s="4" t="s">
        <v>6362</v>
      </c>
      <c r="C1091" s="4" t="s">
        <v>3255</v>
      </c>
      <c r="D1091" s="3">
        <v>25.031591</v>
      </c>
      <c r="E1091" s="3">
        <v>121.510332</v>
      </c>
      <c r="F1091" s="3" t="s">
        <v>44</v>
      </c>
      <c r="G1091" s="4" t="s">
        <v>4157</v>
      </c>
      <c r="H1091" s="3"/>
    </row>
    <row r="1092" ht="15.75" customHeight="1">
      <c r="A1092" s="4" t="s">
        <v>6363</v>
      </c>
      <c r="B1092" s="4" t="s">
        <v>6364</v>
      </c>
      <c r="C1092" s="4" t="s">
        <v>3252</v>
      </c>
      <c r="D1092" s="3">
        <v>25.032335</v>
      </c>
      <c r="E1092" s="3">
        <v>121.510522</v>
      </c>
      <c r="F1092" s="3" t="s">
        <v>44</v>
      </c>
      <c r="G1092" s="4" t="s">
        <v>4157</v>
      </c>
      <c r="H1092" s="3"/>
    </row>
    <row r="1093" ht="15.75" customHeight="1">
      <c r="A1093" s="4" t="s">
        <v>6365</v>
      </c>
      <c r="B1093" s="4" t="s">
        <v>6366</v>
      </c>
      <c r="C1093" s="4" t="s">
        <v>789</v>
      </c>
      <c r="D1093" s="3">
        <v>25.03142</v>
      </c>
      <c r="E1093" s="3">
        <v>121.509901</v>
      </c>
      <c r="F1093" s="3" t="s">
        <v>44</v>
      </c>
      <c r="G1093" s="4" t="s">
        <v>4157</v>
      </c>
      <c r="H1093" s="3"/>
    </row>
    <row r="1094" ht="15.75" customHeight="1">
      <c r="A1094" s="4" t="s">
        <v>6367</v>
      </c>
      <c r="B1094" s="4" t="s">
        <v>6368</v>
      </c>
      <c r="C1094" s="4" t="s">
        <v>446</v>
      </c>
      <c r="D1094" s="3">
        <v>25.032584</v>
      </c>
      <c r="E1094" s="3">
        <v>121.509926</v>
      </c>
      <c r="F1094" s="3" t="s">
        <v>130</v>
      </c>
      <c r="G1094" s="4" t="s">
        <v>4157</v>
      </c>
      <c r="H1094" s="3"/>
    </row>
    <row r="1095" ht="15.75" customHeight="1">
      <c r="A1095" s="4" t="s">
        <v>6369</v>
      </c>
      <c r="B1095" s="4" t="s">
        <v>6370</v>
      </c>
      <c r="C1095" s="4" t="s">
        <v>439</v>
      </c>
      <c r="D1095" s="3">
        <v>25.033005</v>
      </c>
      <c r="E1095" s="3">
        <v>121.510474</v>
      </c>
      <c r="F1095" s="3" t="s">
        <v>44</v>
      </c>
      <c r="G1095" s="4" t="s">
        <v>4157</v>
      </c>
      <c r="H1095" s="3"/>
    </row>
    <row r="1096" ht="15.75" customHeight="1">
      <c r="A1096" s="4" t="s">
        <v>6371</v>
      </c>
      <c r="B1096" s="4" t="s">
        <v>6372</v>
      </c>
      <c r="C1096" s="4" t="s">
        <v>3250</v>
      </c>
      <c r="D1096" s="3">
        <v>25.031637</v>
      </c>
      <c r="E1096" s="3">
        <v>121.510387</v>
      </c>
      <c r="F1096" s="3" t="s">
        <v>44</v>
      </c>
      <c r="G1096" s="4" t="s">
        <v>4157</v>
      </c>
      <c r="H1096" s="3"/>
    </row>
    <row r="1097" ht="15.75" customHeight="1">
      <c r="A1097" s="4" t="s">
        <v>6373</v>
      </c>
      <c r="B1097" s="4" t="s">
        <v>6374</v>
      </c>
      <c r="C1097" s="4" t="s">
        <v>3851</v>
      </c>
      <c r="D1097" s="3">
        <v>25.032165</v>
      </c>
      <c r="E1097" s="3">
        <v>121.510457</v>
      </c>
      <c r="F1097" s="3" t="s">
        <v>44</v>
      </c>
      <c r="G1097" s="4" t="s">
        <v>4157</v>
      </c>
      <c r="H1097" s="3"/>
    </row>
    <row r="1098" ht="15.75" customHeight="1">
      <c r="A1098" s="4" t="s">
        <v>6375</v>
      </c>
      <c r="B1098" s="4" t="s">
        <v>6376</v>
      </c>
      <c r="C1098" s="4" t="s">
        <v>794</v>
      </c>
      <c r="D1098" s="3">
        <v>25.031514</v>
      </c>
      <c r="E1098" s="3">
        <v>121.509766</v>
      </c>
      <c r="F1098" s="3" t="s">
        <v>44</v>
      </c>
      <c r="G1098" s="4" t="s">
        <v>4157</v>
      </c>
      <c r="H1098" s="3"/>
    </row>
    <row r="1099" ht="15.75" customHeight="1">
      <c r="A1099" s="4" t="s">
        <v>6377</v>
      </c>
      <c r="B1099" s="4" t="s">
        <v>6378</v>
      </c>
      <c r="C1099" s="4" t="s">
        <v>3247</v>
      </c>
      <c r="D1099" s="3">
        <v>25.031995</v>
      </c>
      <c r="E1099" s="3">
        <v>121.511324</v>
      </c>
      <c r="F1099" s="3" t="s">
        <v>44</v>
      </c>
      <c r="G1099" s="4" t="s">
        <v>4157</v>
      </c>
      <c r="H1099" s="3"/>
    </row>
    <row r="1100" ht="15.75" customHeight="1">
      <c r="A1100" s="4" t="s">
        <v>6379</v>
      </c>
      <c r="B1100" s="4" t="s">
        <v>6380</v>
      </c>
      <c r="C1100" s="4" t="s">
        <v>799</v>
      </c>
      <c r="D1100" s="3">
        <v>25.032197</v>
      </c>
      <c r="E1100" s="3">
        <v>121.508113</v>
      </c>
      <c r="F1100" s="3" t="s">
        <v>56</v>
      </c>
      <c r="G1100" s="4" t="s">
        <v>4157</v>
      </c>
      <c r="H1100" s="3"/>
    </row>
    <row r="1101" ht="15.75" customHeight="1">
      <c r="A1101" s="4" t="s">
        <v>6381</v>
      </c>
      <c r="B1101" s="4" t="s">
        <v>6382</v>
      </c>
      <c r="C1101" s="4" t="s">
        <v>362</v>
      </c>
      <c r="D1101" s="3">
        <v>25.03285</v>
      </c>
      <c r="E1101" s="3">
        <v>121.509247</v>
      </c>
      <c r="F1101" s="3" t="s">
        <v>130</v>
      </c>
      <c r="G1101" s="4" t="s">
        <v>4157</v>
      </c>
      <c r="H1101" s="3"/>
    </row>
    <row r="1102" ht="15.75" customHeight="1">
      <c r="A1102" s="4" t="s">
        <v>6383</v>
      </c>
      <c r="B1102" s="4" t="s">
        <v>6384</v>
      </c>
      <c r="C1102" s="4" t="s">
        <v>3849</v>
      </c>
      <c r="D1102" s="3">
        <v>25.032155</v>
      </c>
      <c r="E1102" s="3">
        <v>121.510449</v>
      </c>
      <c r="F1102" s="3" t="s">
        <v>44</v>
      </c>
      <c r="G1102" s="4" t="s">
        <v>4157</v>
      </c>
      <c r="H1102" s="3"/>
    </row>
    <row r="1103" ht="15.75" customHeight="1">
      <c r="A1103" s="4" t="s">
        <v>6385</v>
      </c>
      <c r="B1103" s="4" t="s">
        <v>6386</v>
      </c>
      <c r="C1103" s="4" t="s">
        <v>2987</v>
      </c>
      <c r="D1103" s="3">
        <v>25.031554</v>
      </c>
      <c r="E1103" s="3">
        <v>121.510266</v>
      </c>
      <c r="F1103" s="3" t="s">
        <v>44</v>
      </c>
      <c r="G1103" s="4" t="s">
        <v>4157</v>
      </c>
      <c r="H1103" s="3"/>
    </row>
    <row r="1104" ht="15.75" customHeight="1">
      <c r="A1104" s="4" t="s">
        <v>6387</v>
      </c>
      <c r="B1104" s="4" t="s">
        <v>6388</v>
      </c>
      <c r="C1104" s="4" t="s">
        <v>3435</v>
      </c>
      <c r="D1104" s="3">
        <v>25.031576</v>
      </c>
      <c r="E1104" s="3">
        <v>121.50909</v>
      </c>
      <c r="F1104" s="3" t="s">
        <v>156</v>
      </c>
      <c r="G1104" s="4" t="s">
        <v>4157</v>
      </c>
      <c r="H1104" s="3"/>
    </row>
    <row r="1105" ht="15.75" customHeight="1">
      <c r="A1105" s="4" t="s">
        <v>6389</v>
      </c>
      <c r="B1105" s="4" t="s">
        <v>6390</v>
      </c>
      <c r="C1105" s="4" t="s">
        <v>3438</v>
      </c>
      <c r="D1105" s="3">
        <v>25.031455</v>
      </c>
      <c r="E1105" s="3">
        <v>121.50902</v>
      </c>
      <c r="F1105" s="3" t="s">
        <v>156</v>
      </c>
      <c r="G1105" s="4" t="s">
        <v>4157</v>
      </c>
      <c r="H1105" s="3"/>
    </row>
    <row r="1106" ht="15.75" customHeight="1">
      <c r="A1106" s="4" t="s">
        <v>6391</v>
      </c>
      <c r="B1106" s="4" t="s">
        <v>6392</v>
      </c>
      <c r="C1106" s="4" t="s">
        <v>3443</v>
      </c>
      <c r="D1106" s="3">
        <v>25.031463</v>
      </c>
      <c r="E1106" s="3">
        <v>121.509113</v>
      </c>
      <c r="F1106" s="3" t="s">
        <v>156</v>
      </c>
      <c r="G1106" s="4" t="s">
        <v>4157</v>
      </c>
      <c r="H1106" s="3"/>
    </row>
    <row r="1107" ht="15.75" customHeight="1">
      <c r="A1107" s="4" t="s">
        <v>6393</v>
      </c>
      <c r="B1107" s="4" t="s">
        <v>6394</v>
      </c>
      <c r="C1107" s="4" t="s">
        <v>3452</v>
      </c>
      <c r="D1107" s="3">
        <v>25.031334</v>
      </c>
      <c r="E1107" s="3">
        <v>121.509191</v>
      </c>
      <c r="F1107" s="3" t="s">
        <v>156</v>
      </c>
      <c r="G1107" s="4" t="s">
        <v>4157</v>
      </c>
      <c r="H1107" s="3"/>
    </row>
    <row r="1108" ht="15.75" customHeight="1">
      <c r="A1108" s="4" t="s">
        <v>6395</v>
      </c>
      <c r="B1108" s="4" t="s">
        <v>6396</v>
      </c>
      <c r="C1108" s="4" t="s">
        <v>3471</v>
      </c>
      <c r="D1108" s="3">
        <v>25.031596</v>
      </c>
      <c r="E1108" s="3">
        <v>121.509274</v>
      </c>
      <c r="F1108" s="3" t="s">
        <v>156</v>
      </c>
      <c r="G1108" s="4" t="s">
        <v>4157</v>
      </c>
      <c r="H1108" s="3"/>
    </row>
    <row r="1109" ht="15.75" customHeight="1">
      <c r="A1109" s="4" t="s">
        <v>6397</v>
      </c>
      <c r="B1109" s="4" t="s">
        <v>6398</v>
      </c>
      <c r="C1109" s="4" t="s">
        <v>3478</v>
      </c>
      <c r="D1109" s="3">
        <v>25.031459</v>
      </c>
      <c r="E1109" s="3">
        <v>121.509245</v>
      </c>
      <c r="F1109" s="3" t="s">
        <v>156</v>
      </c>
      <c r="G1109" s="4" t="s">
        <v>4157</v>
      </c>
      <c r="H1109" s="3"/>
    </row>
    <row r="1110" ht="15.75" customHeight="1">
      <c r="A1110" s="4" t="s">
        <v>6399</v>
      </c>
      <c r="B1110" s="4" t="s">
        <v>6400</v>
      </c>
      <c r="C1110" s="4" t="s">
        <v>3487</v>
      </c>
      <c r="D1110" s="3">
        <v>25.031405</v>
      </c>
      <c r="E1110" s="3">
        <v>121.509234</v>
      </c>
      <c r="F1110" s="3" t="s">
        <v>156</v>
      </c>
      <c r="G1110" s="4" t="s">
        <v>4157</v>
      </c>
      <c r="H1110" s="3"/>
    </row>
    <row r="1111" ht="15.75" customHeight="1">
      <c r="A1111" s="4" t="s">
        <v>6401</v>
      </c>
      <c r="B1111" s="4" t="s">
        <v>6402</v>
      </c>
      <c r="C1111" s="4" t="s">
        <v>3494</v>
      </c>
      <c r="D1111" s="3">
        <v>25.031379</v>
      </c>
      <c r="E1111" s="3">
        <v>121.50914</v>
      </c>
      <c r="F1111" s="3" t="s">
        <v>156</v>
      </c>
      <c r="G1111" s="4" t="s">
        <v>4157</v>
      </c>
      <c r="H1111" s="3"/>
    </row>
    <row r="1112" ht="15.75" customHeight="1">
      <c r="A1112" s="4" t="s">
        <v>6403</v>
      </c>
      <c r="B1112" s="4" t="s">
        <v>6404</v>
      </c>
      <c r="C1112" s="4" t="s">
        <v>3501</v>
      </c>
      <c r="D1112" s="3">
        <v>25.031358</v>
      </c>
      <c r="E1112" s="3">
        <v>121.508961</v>
      </c>
      <c r="F1112" s="3" t="s">
        <v>156</v>
      </c>
      <c r="G1112" s="4" t="s">
        <v>4157</v>
      </c>
      <c r="H1112" s="3"/>
    </row>
    <row r="1113" ht="15.75" customHeight="1">
      <c r="A1113" s="4" t="s">
        <v>6405</v>
      </c>
      <c r="B1113" s="4" t="s">
        <v>6406</v>
      </c>
      <c r="C1113" s="4" t="s">
        <v>3522</v>
      </c>
      <c r="D1113" s="3">
        <v>25.031442</v>
      </c>
      <c r="E1113" s="3">
        <v>121.509342</v>
      </c>
      <c r="F1113" s="3" t="s">
        <v>156</v>
      </c>
      <c r="G1113" s="4" t="s">
        <v>4157</v>
      </c>
      <c r="H1113" s="3"/>
    </row>
    <row r="1114" ht="15.75" customHeight="1">
      <c r="A1114" s="4" t="s">
        <v>6407</v>
      </c>
      <c r="B1114" s="4" t="s">
        <v>6408</v>
      </c>
      <c r="C1114" s="4" t="s">
        <v>3534</v>
      </c>
      <c r="D1114" s="3">
        <v>25.031429</v>
      </c>
      <c r="E1114" s="3">
        <v>121.508978</v>
      </c>
      <c r="F1114" s="3" t="s">
        <v>156</v>
      </c>
      <c r="G1114" s="4" t="s">
        <v>4157</v>
      </c>
      <c r="H1114" s="3"/>
    </row>
    <row r="1115" ht="15.75" customHeight="1">
      <c r="A1115" s="4" t="s">
        <v>6409</v>
      </c>
      <c r="B1115" s="4" t="s">
        <v>6410</v>
      </c>
      <c r="C1115" s="4" t="s">
        <v>6411</v>
      </c>
      <c r="D1115" s="3">
        <v>25.031416</v>
      </c>
      <c r="E1115" s="3">
        <v>121.509042</v>
      </c>
      <c r="F1115" s="3" t="s">
        <v>156</v>
      </c>
      <c r="G1115" s="4" t="s">
        <v>4157</v>
      </c>
      <c r="H1115" s="3"/>
    </row>
    <row r="1116" ht="15.75" customHeight="1">
      <c r="A1116" s="4" t="s">
        <v>6412</v>
      </c>
      <c r="B1116" s="4" t="s">
        <v>6413</v>
      </c>
      <c r="C1116" s="4" t="s">
        <v>3551</v>
      </c>
      <c r="D1116" s="3">
        <v>25.031287</v>
      </c>
      <c r="E1116" s="3">
        <v>121.509256</v>
      </c>
      <c r="F1116" s="3" t="s">
        <v>156</v>
      </c>
      <c r="G1116" s="4" t="s">
        <v>4157</v>
      </c>
      <c r="H1116" s="3"/>
    </row>
    <row r="1117" ht="15.75" customHeight="1">
      <c r="A1117" s="7" t="s">
        <v>6414</v>
      </c>
      <c r="B1117" s="4" t="s">
        <v>6415</v>
      </c>
      <c r="C1117" s="7" t="s">
        <v>6414</v>
      </c>
      <c r="D1117" s="3">
        <v>25.031385</v>
      </c>
      <c r="E1117" s="3">
        <v>121.509446</v>
      </c>
      <c r="F1117" s="3" t="s">
        <v>156</v>
      </c>
      <c r="G1117" s="4" t="s">
        <v>4157</v>
      </c>
      <c r="H1117" s="3"/>
    </row>
    <row r="1118" ht="15.75" customHeight="1">
      <c r="A1118" s="4" t="s">
        <v>6416</v>
      </c>
      <c r="B1118" s="4" t="s">
        <v>6417</v>
      </c>
      <c r="C1118" s="4" t="s">
        <v>3567</v>
      </c>
      <c r="D1118" s="3">
        <v>25.031474</v>
      </c>
      <c r="E1118" s="3">
        <v>121.508992</v>
      </c>
      <c r="F1118" s="3" t="s">
        <v>156</v>
      </c>
      <c r="G1118" s="4" t="s">
        <v>4157</v>
      </c>
      <c r="H1118" s="3"/>
    </row>
    <row r="1119" ht="15.75" customHeight="1">
      <c r="A1119" s="7" t="s">
        <v>6418</v>
      </c>
      <c r="B1119" s="4" t="s">
        <v>6419</v>
      </c>
      <c r="C1119" s="9" t="s">
        <v>3541</v>
      </c>
      <c r="D1119" s="3">
        <v>25.03146</v>
      </c>
      <c r="E1119" s="3">
        <v>121.509155</v>
      </c>
      <c r="F1119" s="3" t="s">
        <v>156</v>
      </c>
      <c r="G1119" s="4" t="s">
        <v>4157</v>
      </c>
      <c r="H1119" s="3"/>
    </row>
    <row r="1120" ht="15.75" customHeight="1">
      <c r="A1120" s="4" t="s">
        <v>6420</v>
      </c>
      <c r="B1120" s="4" t="s">
        <v>6421</v>
      </c>
      <c r="C1120" s="4" t="s">
        <v>3592</v>
      </c>
      <c r="D1120" s="3">
        <v>25.031521</v>
      </c>
      <c r="E1120" s="3">
        <v>121.508999</v>
      </c>
      <c r="F1120" s="3" t="s">
        <v>156</v>
      </c>
      <c r="G1120" s="4" t="s">
        <v>4157</v>
      </c>
      <c r="H1120" s="3"/>
    </row>
    <row r="1121" ht="15.75" customHeight="1">
      <c r="A1121" s="4" t="s">
        <v>6422</v>
      </c>
      <c r="B1121" s="4" t="s">
        <v>6423</v>
      </c>
      <c r="C1121" s="4" t="s">
        <v>3594</v>
      </c>
      <c r="D1121" s="3">
        <v>25.031389</v>
      </c>
      <c r="E1121" s="3">
        <v>121.509201</v>
      </c>
      <c r="F1121" s="3" t="s">
        <v>156</v>
      </c>
      <c r="G1121" s="4" t="s">
        <v>4157</v>
      </c>
      <c r="H1121" s="3"/>
    </row>
    <row r="1122" ht="15.75" customHeight="1">
      <c r="A1122" s="4" t="s">
        <v>6424</v>
      </c>
      <c r="B1122" s="4" t="s">
        <v>6425</v>
      </c>
      <c r="C1122" s="4" t="s">
        <v>2052</v>
      </c>
      <c r="D1122" s="3">
        <v>25.03151</v>
      </c>
      <c r="E1122" s="3">
        <v>121.509224</v>
      </c>
      <c r="F1122" s="3" t="s">
        <v>156</v>
      </c>
      <c r="G1122" s="4" t="s">
        <v>4157</v>
      </c>
      <c r="H1122" s="3"/>
    </row>
    <row r="1123" ht="15.75" customHeight="1">
      <c r="A1123" s="4" t="s">
        <v>6426</v>
      </c>
      <c r="B1123" s="4" t="s">
        <v>6427</v>
      </c>
      <c r="C1123" s="4" t="s">
        <v>3602</v>
      </c>
      <c r="D1123" s="3">
        <v>25.031267</v>
      </c>
      <c r="E1123" s="3">
        <v>121.509082</v>
      </c>
      <c r="F1123" s="3" t="s">
        <v>156</v>
      </c>
      <c r="G1123" s="4" t="s">
        <v>4157</v>
      </c>
      <c r="H1123" s="3"/>
    </row>
    <row r="1124" ht="15.75" customHeight="1">
      <c r="A1124" s="4" t="s">
        <v>6428</v>
      </c>
      <c r="B1124" s="4" t="s">
        <v>6429</v>
      </c>
      <c r="C1124" s="4" t="s">
        <v>3604</v>
      </c>
      <c r="D1124" s="3">
        <v>25.031357</v>
      </c>
      <c r="E1124" s="3">
        <v>121.509045</v>
      </c>
      <c r="F1124" s="3" t="s">
        <v>156</v>
      </c>
      <c r="G1124" s="4" t="s">
        <v>4157</v>
      </c>
      <c r="H1124" s="3"/>
    </row>
    <row r="1125" ht="15.75" customHeight="1">
      <c r="A1125" s="4" t="s">
        <v>6430</v>
      </c>
      <c r="B1125" s="4" t="s">
        <v>6431</v>
      </c>
      <c r="C1125" s="4" t="s">
        <v>3571</v>
      </c>
      <c r="D1125" s="3">
        <v>25.031428</v>
      </c>
      <c r="E1125" s="3">
        <v>121.509274</v>
      </c>
      <c r="F1125" s="3" t="s">
        <v>156</v>
      </c>
      <c r="G1125" s="4" t="s">
        <v>4157</v>
      </c>
      <c r="H1125" s="3"/>
    </row>
    <row r="1126" ht="15.75" customHeight="1">
      <c r="A1126" s="4" t="s">
        <v>6432</v>
      </c>
      <c r="B1126" s="4" t="s">
        <v>6433</v>
      </c>
      <c r="C1126" s="4" t="s">
        <v>3617</v>
      </c>
      <c r="D1126" s="3">
        <v>25.031415</v>
      </c>
      <c r="E1126" s="3">
        <v>121.509187</v>
      </c>
      <c r="F1126" s="3" t="s">
        <v>156</v>
      </c>
      <c r="G1126" s="4" t="s">
        <v>4157</v>
      </c>
      <c r="H1126" s="3"/>
    </row>
    <row r="1127" ht="15.75" customHeight="1">
      <c r="A1127" s="4" t="s">
        <v>6434</v>
      </c>
      <c r="B1127" s="4" t="s">
        <v>6435</v>
      </c>
      <c r="C1127" s="4" t="s">
        <v>3621</v>
      </c>
      <c r="D1127" s="3">
        <v>25.031478</v>
      </c>
      <c r="E1127" s="3">
        <v>121.509352</v>
      </c>
      <c r="F1127" s="3" t="s">
        <v>156</v>
      </c>
      <c r="G1127" s="4" t="s">
        <v>4157</v>
      </c>
      <c r="H1127" s="3"/>
    </row>
    <row r="1128" ht="15.75" customHeight="1">
      <c r="A1128" s="4" t="s">
        <v>6436</v>
      </c>
      <c r="B1128" s="4" t="s">
        <v>6437</v>
      </c>
      <c r="C1128" s="4" t="s">
        <v>3623</v>
      </c>
      <c r="D1128" s="3">
        <v>25.031296</v>
      </c>
      <c r="E1128" s="3">
        <v>121.509225</v>
      </c>
      <c r="F1128" s="3" t="s">
        <v>156</v>
      </c>
      <c r="G1128" s="4" t="s">
        <v>4157</v>
      </c>
      <c r="H1128" s="3"/>
    </row>
    <row r="1129" ht="15.75" customHeight="1">
      <c r="A1129" s="4" t="s">
        <v>6438</v>
      </c>
      <c r="B1129" s="4" t="s">
        <v>6439</v>
      </c>
      <c r="C1129" s="4" t="s">
        <v>3625</v>
      </c>
      <c r="D1129" s="3">
        <v>25.031468</v>
      </c>
      <c r="E1129" s="3">
        <v>121.509468</v>
      </c>
      <c r="F1129" s="3" t="s">
        <v>156</v>
      </c>
      <c r="G1129" s="4" t="s">
        <v>4157</v>
      </c>
      <c r="H1129" s="3"/>
    </row>
    <row r="1130" ht="15.75" customHeight="1">
      <c r="A1130" s="4" t="s">
        <v>6440</v>
      </c>
      <c r="B1130" s="4" t="s">
        <v>6441</v>
      </c>
      <c r="C1130" s="4" t="s">
        <v>3627</v>
      </c>
      <c r="D1130" s="3">
        <v>25.031368</v>
      </c>
      <c r="E1130" s="3">
        <v>121.509254</v>
      </c>
      <c r="F1130" s="3" t="s">
        <v>156</v>
      </c>
      <c r="G1130" s="4" t="s">
        <v>4157</v>
      </c>
      <c r="H1130" s="3"/>
    </row>
    <row r="1131" ht="15.75" customHeight="1">
      <c r="A1131" s="4" t="s">
        <v>6442</v>
      </c>
      <c r="B1131" s="4" t="s">
        <v>6443</v>
      </c>
      <c r="C1131" s="4" t="s">
        <v>3629</v>
      </c>
      <c r="D1131" s="3">
        <v>25.031329</v>
      </c>
      <c r="E1131" s="3">
        <v>121.509242</v>
      </c>
      <c r="F1131" s="3" t="s">
        <v>156</v>
      </c>
      <c r="G1131" s="4" t="s">
        <v>4157</v>
      </c>
      <c r="H1131" s="3"/>
    </row>
    <row r="1132" ht="15.75" customHeight="1">
      <c r="A1132" s="4" t="s">
        <v>6444</v>
      </c>
      <c r="B1132" s="4" t="s">
        <v>6445</v>
      </c>
      <c r="C1132" s="4" t="s">
        <v>3631</v>
      </c>
      <c r="D1132" s="3">
        <v>25.031337</v>
      </c>
      <c r="E1132" s="3">
        <v>121.509315</v>
      </c>
      <c r="F1132" s="3" t="s">
        <v>156</v>
      </c>
      <c r="G1132" s="4" t="s">
        <v>4157</v>
      </c>
      <c r="H1132" s="3"/>
    </row>
    <row r="1133" ht="15.75" customHeight="1">
      <c r="A1133" s="4" t="s">
        <v>6446</v>
      </c>
      <c r="B1133" s="4" t="s">
        <v>6447</v>
      </c>
      <c r="C1133" s="4" t="s">
        <v>3633</v>
      </c>
      <c r="D1133" s="3">
        <v>25.031482</v>
      </c>
      <c r="E1133" s="3">
        <v>121.509136</v>
      </c>
      <c r="F1133" s="3" t="s">
        <v>156</v>
      </c>
      <c r="G1133" s="4" t="s">
        <v>4157</v>
      </c>
      <c r="H1133" s="3"/>
    </row>
    <row r="1134" ht="15.75" customHeight="1">
      <c r="A1134" s="4" t="s">
        <v>6448</v>
      </c>
      <c r="B1134" s="4" t="s">
        <v>6449</v>
      </c>
      <c r="C1134" s="4" t="s">
        <v>3635</v>
      </c>
      <c r="D1134" s="3">
        <v>25.031622</v>
      </c>
      <c r="E1134" s="3">
        <v>121.509091</v>
      </c>
      <c r="F1134" s="3" t="s">
        <v>156</v>
      </c>
      <c r="G1134" s="4" t="s">
        <v>4157</v>
      </c>
      <c r="H1134" s="3"/>
    </row>
    <row r="1135" ht="15.75" customHeight="1">
      <c r="A1135" s="4" t="s">
        <v>6450</v>
      </c>
      <c r="B1135" s="4" t="s">
        <v>6451</v>
      </c>
      <c r="C1135" s="4" t="s">
        <v>3637</v>
      </c>
      <c r="D1135" s="3">
        <v>25.0313</v>
      </c>
      <c r="E1135" s="3">
        <v>121.509087</v>
      </c>
      <c r="F1135" s="3" t="s">
        <v>156</v>
      </c>
      <c r="G1135" s="4" t="s">
        <v>4157</v>
      </c>
      <c r="H1135" s="3"/>
    </row>
    <row r="1136" ht="15.75" customHeight="1">
      <c r="A1136" s="4" t="s">
        <v>6452</v>
      </c>
      <c r="B1136" s="4" t="s">
        <v>6453</v>
      </c>
      <c r="C1136" s="4" t="s">
        <v>3640</v>
      </c>
      <c r="D1136" s="3">
        <v>25.031292</v>
      </c>
      <c r="E1136" s="3">
        <v>121.50914</v>
      </c>
      <c r="F1136" s="3" t="s">
        <v>156</v>
      </c>
      <c r="G1136" s="4" t="s">
        <v>4157</v>
      </c>
      <c r="H1136" s="3"/>
    </row>
    <row r="1137" ht="15.75" customHeight="1">
      <c r="A1137" s="4" t="s">
        <v>6454</v>
      </c>
      <c r="B1137" s="4" t="s">
        <v>6455</v>
      </c>
      <c r="C1137" s="4" t="s">
        <v>3644</v>
      </c>
      <c r="D1137" s="3">
        <v>25.031393</v>
      </c>
      <c r="E1137" s="3">
        <v>121.509045</v>
      </c>
      <c r="F1137" s="3" t="s">
        <v>156</v>
      </c>
      <c r="G1137" s="4" t="s">
        <v>4157</v>
      </c>
      <c r="H1137" s="3"/>
    </row>
    <row r="1138" ht="15.75" customHeight="1">
      <c r="A1138" s="4" t="s">
        <v>6456</v>
      </c>
      <c r="B1138" s="4" t="s">
        <v>6457</v>
      </c>
      <c r="C1138" s="4" t="s">
        <v>3646</v>
      </c>
      <c r="D1138" s="3">
        <v>25.03146</v>
      </c>
      <c r="E1138" s="3">
        <v>121.50921</v>
      </c>
      <c r="F1138" s="3" t="s">
        <v>156</v>
      </c>
      <c r="G1138" s="4" t="s">
        <v>4157</v>
      </c>
      <c r="H1138" s="3"/>
    </row>
    <row r="1139" ht="15.75" customHeight="1">
      <c r="A1139" s="4" t="s">
        <v>6458</v>
      </c>
      <c r="B1139" s="4" t="s">
        <v>6459</v>
      </c>
      <c r="C1139" s="4" t="s">
        <v>3650</v>
      </c>
      <c r="D1139" s="3">
        <v>25.031283</v>
      </c>
      <c r="E1139" s="3">
        <v>121.509017</v>
      </c>
      <c r="F1139" s="3" t="s">
        <v>156</v>
      </c>
      <c r="G1139" s="4" t="s">
        <v>4157</v>
      </c>
      <c r="H1139" s="3"/>
    </row>
    <row r="1140" ht="15.75" customHeight="1">
      <c r="A1140" s="4" t="s">
        <v>6460</v>
      </c>
      <c r="B1140" s="4" t="s">
        <v>6461</v>
      </c>
      <c r="C1140" s="4" t="s">
        <v>3457</v>
      </c>
      <c r="D1140" s="3">
        <v>25.031597</v>
      </c>
      <c r="E1140" s="3">
        <v>121.509176</v>
      </c>
      <c r="F1140" s="3" t="s">
        <v>156</v>
      </c>
      <c r="G1140" s="4" t="s">
        <v>4157</v>
      </c>
      <c r="H1140" s="3"/>
    </row>
    <row r="1141" ht="15.75" customHeight="1">
      <c r="A1141" s="4" t="s">
        <v>6462</v>
      </c>
      <c r="B1141" s="4" t="s">
        <v>6463</v>
      </c>
      <c r="C1141" s="4" t="s">
        <v>3459</v>
      </c>
      <c r="D1141" s="3">
        <v>25.03134</v>
      </c>
      <c r="E1141" s="3">
        <v>121.509465</v>
      </c>
      <c r="F1141" s="3" t="s">
        <v>156</v>
      </c>
      <c r="G1141" s="4" t="s">
        <v>4157</v>
      </c>
      <c r="H1141" s="3"/>
    </row>
    <row r="1142" ht="15.75" customHeight="1">
      <c r="A1142" s="4" t="s">
        <v>6464</v>
      </c>
      <c r="B1142" s="4" t="s">
        <v>6465</v>
      </c>
      <c r="C1142" s="4" t="s">
        <v>223</v>
      </c>
      <c r="D1142" s="3">
        <v>25.031377</v>
      </c>
      <c r="E1142" s="3">
        <v>121.508833</v>
      </c>
      <c r="F1142" s="3" t="s">
        <v>156</v>
      </c>
      <c r="G1142" s="4" t="s">
        <v>4157</v>
      </c>
      <c r="H1142" s="3"/>
    </row>
    <row r="1143" ht="15.75" customHeight="1">
      <c r="A1143" s="4" t="s">
        <v>6466</v>
      </c>
      <c r="B1143" s="4" t="s">
        <v>6467</v>
      </c>
      <c r="C1143" s="4" t="s">
        <v>233</v>
      </c>
      <c r="D1143" s="3">
        <v>25.031298</v>
      </c>
      <c r="E1143" s="3">
        <v>121.508821</v>
      </c>
      <c r="F1143" s="3" t="s">
        <v>156</v>
      </c>
      <c r="G1143" s="4" t="s">
        <v>4157</v>
      </c>
      <c r="H1143" s="3"/>
    </row>
    <row r="1144" ht="15.75" customHeight="1">
      <c r="A1144" s="4" t="s">
        <v>6468</v>
      </c>
      <c r="B1144" s="4" t="s">
        <v>6469</v>
      </c>
      <c r="C1144" s="4" t="s">
        <v>246</v>
      </c>
      <c r="D1144" s="3">
        <v>25.031292</v>
      </c>
      <c r="E1144" s="3">
        <v>121.508882</v>
      </c>
      <c r="F1144" s="3" t="s">
        <v>156</v>
      </c>
      <c r="G1144" s="4" t="s">
        <v>4157</v>
      </c>
      <c r="H1144" s="3"/>
    </row>
    <row r="1145" ht="15.75" customHeight="1">
      <c r="A1145" s="4" t="s">
        <v>6470</v>
      </c>
      <c r="B1145" s="4" t="s">
        <v>6471</v>
      </c>
      <c r="C1145" s="4" t="s">
        <v>250</v>
      </c>
      <c r="D1145" s="3">
        <v>25.03129</v>
      </c>
      <c r="E1145" s="3">
        <v>121.508834</v>
      </c>
      <c r="F1145" s="3" t="s">
        <v>156</v>
      </c>
      <c r="G1145" s="4" t="s">
        <v>4157</v>
      </c>
      <c r="H1145" s="3"/>
    </row>
    <row r="1146" ht="15.75" customHeight="1">
      <c r="A1146" s="4" t="s">
        <v>6472</v>
      </c>
      <c r="B1146" s="4" t="s">
        <v>6473</v>
      </c>
      <c r="C1146" s="4" t="s">
        <v>255</v>
      </c>
      <c r="D1146" s="3">
        <v>25.031331</v>
      </c>
      <c r="E1146" s="3">
        <v>121.508963</v>
      </c>
      <c r="F1146" s="3" t="s">
        <v>156</v>
      </c>
      <c r="G1146" s="4" t="s">
        <v>4157</v>
      </c>
      <c r="H1146" s="3"/>
    </row>
    <row r="1147" ht="15.75" customHeight="1">
      <c r="A1147" s="4" t="s">
        <v>6474</v>
      </c>
      <c r="B1147" s="4" t="s">
        <v>6475</v>
      </c>
      <c r="C1147" s="4" t="s">
        <v>631</v>
      </c>
      <c r="D1147" s="3">
        <v>25.031345</v>
      </c>
      <c r="E1147" s="3">
        <v>121.508799</v>
      </c>
      <c r="F1147" s="3" t="s">
        <v>156</v>
      </c>
      <c r="G1147" s="4" t="s">
        <v>4157</v>
      </c>
      <c r="H1147" s="3"/>
    </row>
    <row r="1148" ht="15.75" customHeight="1">
      <c r="A1148" s="4" t="s">
        <v>6476</v>
      </c>
      <c r="B1148" s="4" t="s">
        <v>6477</v>
      </c>
      <c r="C1148" s="4" t="s">
        <v>265</v>
      </c>
      <c r="D1148" s="3">
        <v>25.031296</v>
      </c>
      <c r="E1148" s="3">
        <v>121.508945</v>
      </c>
      <c r="F1148" s="3" t="s">
        <v>156</v>
      </c>
      <c r="G1148" s="4" t="s">
        <v>4157</v>
      </c>
      <c r="H1148" s="3"/>
    </row>
    <row r="1149" ht="15.75" customHeight="1">
      <c r="A1149" s="4" t="s">
        <v>6478</v>
      </c>
      <c r="B1149" s="4" t="s">
        <v>6479</v>
      </c>
      <c r="C1149" s="4" t="s">
        <v>275</v>
      </c>
      <c r="D1149" s="3">
        <v>25.031368</v>
      </c>
      <c r="E1149" s="3">
        <v>121.508911</v>
      </c>
      <c r="F1149" s="3" t="s">
        <v>156</v>
      </c>
      <c r="G1149" s="4" t="s">
        <v>4157</v>
      </c>
      <c r="H1149" s="3"/>
    </row>
    <row r="1150" ht="15.75" customHeight="1">
      <c r="A1150" s="4" t="s">
        <v>6480</v>
      </c>
      <c r="B1150" s="4" t="s">
        <v>6481</v>
      </c>
      <c r="C1150" s="4" t="s">
        <v>279</v>
      </c>
      <c r="D1150" s="3">
        <v>25.031395</v>
      </c>
      <c r="E1150" s="3">
        <v>121.508893</v>
      </c>
      <c r="F1150" s="3" t="s">
        <v>156</v>
      </c>
      <c r="G1150" s="4" t="s">
        <v>4157</v>
      </c>
      <c r="H1150" s="3"/>
    </row>
    <row r="1151" ht="15.75" customHeight="1">
      <c r="A1151" s="4" t="s">
        <v>6482</v>
      </c>
      <c r="B1151" s="4" t="s">
        <v>6483</v>
      </c>
      <c r="C1151" s="4" t="s">
        <v>309</v>
      </c>
      <c r="D1151" s="3">
        <v>25.031272</v>
      </c>
      <c r="E1151" s="3">
        <v>121.508918</v>
      </c>
      <c r="F1151" s="3" t="s">
        <v>156</v>
      </c>
      <c r="G1151" s="4" t="s">
        <v>4157</v>
      </c>
      <c r="H1151" s="3"/>
    </row>
    <row r="1152" ht="15.75" customHeight="1">
      <c r="A1152" s="4" t="s">
        <v>6484</v>
      </c>
      <c r="B1152" s="4" t="s">
        <v>6485</v>
      </c>
      <c r="C1152" s="4" t="s">
        <v>313</v>
      </c>
      <c r="D1152" s="3">
        <v>25.031307</v>
      </c>
      <c r="E1152" s="3">
        <v>121.508872</v>
      </c>
      <c r="F1152" s="3" t="s">
        <v>156</v>
      </c>
      <c r="G1152" s="4" t="s">
        <v>4157</v>
      </c>
      <c r="H1152" s="3"/>
    </row>
    <row r="1153" ht="15.75" customHeight="1">
      <c r="A1153" s="4" t="s">
        <v>6486</v>
      </c>
      <c r="B1153" s="4" t="s">
        <v>6487</v>
      </c>
      <c r="C1153" s="4" t="s">
        <v>317</v>
      </c>
      <c r="D1153" s="3">
        <v>25.031273</v>
      </c>
      <c r="E1153" s="3">
        <v>121.508867</v>
      </c>
      <c r="F1153" s="3" t="s">
        <v>156</v>
      </c>
      <c r="G1153" s="4" t="s">
        <v>4157</v>
      </c>
      <c r="H1153" s="3"/>
    </row>
    <row r="1154" ht="15.75" customHeight="1">
      <c r="A1154" s="4" t="s">
        <v>6488</v>
      </c>
      <c r="B1154" s="4" t="s">
        <v>6489</v>
      </c>
      <c r="C1154" s="4" t="s">
        <v>321</v>
      </c>
      <c r="D1154" s="3">
        <v>25.031308</v>
      </c>
      <c r="E1154" s="3">
        <v>121.508916</v>
      </c>
      <c r="F1154" s="3" t="s">
        <v>156</v>
      </c>
      <c r="G1154" s="4" t="s">
        <v>4157</v>
      </c>
      <c r="H1154" s="3"/>
    </row>
    <row r="1155" ht="15.75" customHeight="1">
      <c r="A1155" s="4" t="s">
        <v>6490</v>
      </c>
      <c r="B1155" s="4" t="s">
        <v>6491</v>
      </c>
      <c r="C1155" s="4" t="s">
        <v>325</v>
      </c>
      <c r="D1155" s="3">
        <v>25.031282</v>
      </c>
      <c r="E1155" s="3">
        <v>121.508841</v>
      </c>
      <c r="F1155" s="3" t="s">
        <v>156</v>
      </c>
      <c r="G1155" s="4" t="s">
        <v>4157</v>
      </c>
      <c r="H1155" s="3"/>
    </row>
    <row r="1156" ht="15.75" customHeight="1">
      <c r="A1156" s="4" t="s">
        <v>6492</v>
      </c>
      <c r="B1156" s="4" t="s">
        <v>6493</v>
      </c>
      <c r="C1156" s="4" t="s">
        <v>6494</v>
      </c>
      <c r="D1156" s="3">
        <v>25.031299</v>
      </c>
      <c r="E1156" s="3">
        <v>121.508816</v>
      </c>
      <c r="F1156" s="3" t="s">
        <v>156</v>
      </c>
      <c r="G1156" s="4" t="s">
        <v>4157</v>
      </c>
      <c r="H1156" s="3"/>
    </row>
    <row r="1157" ht="15.75" customHeight="1">
      <c r="A1157" s="4" t="s">
        <v>6495</v>
      </c>
      <c r="B1157" s="4" t="s">
        <v>6496</v>
      </c>
      <c r="C1157" s="4" t="s">
        <v>830</v>
      </c>
      <c r="D1157" s="3">
        <v>25.030932</v>
      </c>
      <c r="E1157" s="3">
        <v>121.509252</v>
      </c>
      <c r="F1157" s="3" t="s">
        <v>156</v>
      </c>
      <c r="G1157" s="4" t="s">
        <v>4157</v>
      </c>
      <c r="H1157" s="3"/>
    </row>
    <row r="1158" ht="15.75" customHeight="1">
      <c r="A1158" s="4" t="s">
        <v>6497</v>
      </c>
      <c r="B1158" s="4" t="s">
        <v>6498</v>
      </c>
      <c r="C1158" s="4" t="s">
        <v>835</v>
      </c>
      <c r="D1158" s="3">
        <v>25.031007</v>
      </c>
      <c r="E1158" s="3">
        <v>121.508901</v>
      </c>
      <c r="F1158" s="3" t="s">
        <v>156</v>
      </c>
      <c r="G1158" s="4" t="s">
        <v>4157</v>
      </c>
      <c r="H1158" s="3"/>
    </row>
    <row r="1159" ht="15.75" customHeight="1">
      <c r="A1159" s="4" t="s">
        <v>6499</v>
      </c>
      <c r="B1159" s="4" t="s">
        <v>6500</v>
      </c>
      <c r="C1159" s="4" t="s">
        <v>839</v>
      </c>
      <c r="D1159" s="3">
        <v>25.031169</v>
      </c>
      <c r="E1159" s="3">
        <v>121.509053</v>
      </c>
      <c r="F1159" s="3" t="s">
        <v>156</v>
      </c>
      <c r="G1159" s="4" t="s">
        <v>4157</v>
      </c>
      <c r="H1159" s="3"/>
    </row>
    <row r="1160" ht="15.75" customHeight="1">
      <c r="A1160" s="4" t="s">
        <v>6501</v>
      </c>
      <c r="B1160" s="4" t="s">
        <v>6502</v>
      </c>
      <c r="C1160" s="4" t="s">
        <v>848</v>
      </c>
      <c r="D1160" s="3">
        <v>25.03069</v>
      </c>
      <c r="E1160" s="3">
        <v>121.509238</v>
      </c>
      <c r="F1160" s="3" t="s">
        <v>156</v>
      </c>
      <c r="G1160" s="4" t="s">
        <v>4157</v>
      </c>
      <c r="H1160" s="3"/>
    </row>
    <row r="1161" ht="15.75" customHeight="1">
      <c r="A1161" s="4" t="s">
        <v>6503</v>
      </c>
      <c r="B1161" s="4" t="s">
        <v>6504</v>
      </c>
      <c r="C1161" s="4" t="s">
        <v>852</v>
      </c>
      <c r="D1161" s="3">
        <v>25.031101</v>
      </c>
      <c r="E1161" s="3">
        <v>121.508884</v>
      </c>
      <c r="F1161" s="3" t="s">
        <v>156</v>
      </c>
      <c r="G1161" s="4" t="s">
        <v>4157</v>
      </c>
      <c r="H1161" s="3"/>
    </row>
    <row r="1162" ht="15.75" customHeight="1">
      <c r="A1162" s="4" t="s">
        <v>6505</v>
      </c>
      <c r="B1162" s="4" t="s">
        <v>6506</v>
      </c>
      <c r="C1162" s="4" t="s">
        <v>864</v>
      </c>
      <c r="D1162" s="3">
        <v>25.03112</v>
      </c>
      <c r="E1162" s="3">
        <v>121.509212</v>
      </c>
      <c r="F1162" s="3" t="s">
        <v>156</v>
      </c>
      <c r="G1162" s="4" t="s">
        <v>4157</v>
      </c>
      <c r="H1162" s="3"/>
    </row>
    <row r="1163" ht="15.75" customHeight="1">
      <c r="A1163" s="7" t="s">
        <v>6507</v>
      </c>
      <c r="B1163" s="4" t="s">
        <v>6508</v>
      </c>
      <c r="C1163" s="4" t="s">
        <v>6509</v>
      </c>
      <c r="D1163" s="3">
        <v>25.031098</v>
      </c>
      <c r="E1163" s="3">
        <v>121.508973</v>
      </c>
      <c r="F1163" s="3" t="s">
        <v>156</v>
      </c>
      <c r="G1163" s="4" t="s">
        <v>4157</v>
      </c>
      <c r="H1163" s="3"/>
    </row>
    <row r="1164" ht="15.75" customHeight="1">
      <c r="A1164" s="4" t="s">
        <v>6510</v>
      </c>
      <c r="B1164" s="4" t="s">
        <v>6511</v>
      </c>
      <c r="C1164" s="4" t="s">
        <v>868</v>
      </c>
      <c r="D1164" s="3">
        <v>25.031113</v>
      </c>
      <c r="E1164" s="3">
        <v>121.509217</v>
      </c>
      <c r="F1164" s="3" t="s">
        <v>156</v>
      </c>
      <c r="G1164" s="4" t="s">
        <v>4157</v>
      </c>
      <c r="H1164" s="3"/>
    </row>
    <row r="1165" ht="15.75" customHeight="1">
      <c r="A1165" s="4" t="s">
        <v>6512</v>
      </c>
      <c r="B1165" s="4" t="s">
        <v>6513</v>
      </c>
      <c r="C1165" s="4" t="s">
        <v>871</v>
      </c>
      <c r="D1165" s="3">
        <v>25.031094</v>
      </c>
      <c r="E1165" s="3">
        <v>121.509232</v>
      </c>
      <c r="F1165" s="3" t="s">
        <v>156</v>
      </c>
      <c r="G1165" s="4" t="s">
        <v>4157</v>
      </c>
      <c r="H1165" s="3"/>
    </row>
    <row r="1166" ht="15.75" customHeight="1">
      <c r="A1166" s="4" t="s">
        <v>6514</v>
      </c>
      <c r="B1166" s="4" t="s">
        <v>6515</v>
      </c>
      <c r="C1166" s="4" t="s">
        <v>876</v>
      </c>
      <c r="D1166" s="3">
        <v>25.03121</v>
      </c>
      <c r="E1166" s="3">
        <v>121.508891</v>
      </c>
      <c r="F1166" s="3" t="s">
        <v>156</v>
      </c>
      <c r="G1166" s="4" t="s">
        <v>4157</v>
      </c>
      <c r="H1166" s="3"/>
    </row>
    <row r="1167" ht="15.75" customHeight="1">
      <c r="A1167" s="4" t="s">
        <v>6516</v>
      </c>
      <c r="B1167" s="4" t="s">
        <v>6517</v>
      </c>
      <c r="C1167" s="4" t="s">
        <v>878</v>
      </c>
      <c r="D1167" s="3">
        <v>25.031073</v>
      </c>
      <c r="E1167" s="3">
        <v>121.509215</v>
      </c>
      <c r="F1167" s="3" t="s">
        <v>156</v>
      </c>
      <c r="G1167" s="4" t="s">
        <v>4157</v>
      </c>
      <c r="H1167" s="3"/>
    </row>
    <row r="1168" ht="15.75" customHeight="1">
      <c r="A1168" s="4" t="s">
        <v>6518</v>
      </c>
      <c r="B1168" s="4" t="s">
        <v>6519</v>
      </c>
      <c r="C1168" s="4" t="s">
        <v>880</v>
      </c>
      <c r="D1168" s="3">
        <v>25.031026</v>
      </c>
      <c r="E1168" s="3">
        <v>121.509229</v>
      </c>
      <c r="F1168" s="3" t="s">
        <v>156</v>
      </c>
      <c r="G1168" s="4" t="s">
        <v>4157</v>
      </c>
      <c r="H1168" s="3"/>
    </row>
    <row r="1169" ht="15.75" customHeight="1">
      <c r="A1169" s="4" t="s">
        <v>6520</v>
      </c>
      <c r="B1169" s="4" t="s">
        <v>6521</v>
      </c>
      <c r="C1169" s="4" t="s">
        <v>882</v>
      </c>
      <c r="D1169" s="3">
        <v>25.03126</v>
      </c>
      <c r="E1169" s="3">
        <v>121.509112</v>
      </c>
      <c r="F1169" s="3" t="s">
        <v>156</v>
      </c>
      <c r="G1169" s="4" t="s">
        <v>4157</v>
      </c>
      <c r="H1169" s="3"/>
    </row>
    <row r="1170" ht="15.75" customHeight="1">
      <c r="A1170" s="4" t="s">
        <v>6522</v>
      </c>
      <c r="B1170" s="4" t="s">
        <v>6523</v>
      </c>
      <c r="C1170" s="4" t="s">
        <v>884</v>
      </c>
      <c r="D1170" s="3">
        <v>25.03105</v>
      </c>
      <c r="E1170" s="3">
        <v>121.508916</v>
      </c>
      <c r="F1170" s="3" t="s">
        <v>156</v>
      </c>
      <c r="G1170" s="4" t="s">
        <v>4157</v>
      </c>
      <c r="H1170" s="3"/>
    </row>
    <row r="1171" ht="15.75" customHeight="1">
      <c r="A1171" s="4" t="s">
        <v>6524</v>
      </c>
      <c r="B1171" s="4" t="s">
        <v>6525</v>
      </c>
      <c r="C1171" s="4" t="s">
        <v>6526</v>
      </c>
      <c r="D1171" s="3">
        <v>25.03095</v>
      </c>
      <c r="E1171" s="3">
        <v>121.508712</v>
      </c>
      <c r="F1171" s="3" t="s">
        <v>156</v>
      </c>
      <c r="G1171" s="4" t="s">
        <v>4157</v>
      </c>
      <c r="H1171" s="3"/>
    </row>
    <row r="1172" ht="15.75" customHeight="1">
      <c r="A1172" s="4" t="s">
        <v>6527</v>
      </c>
      <c r="B1172" s="4" t="s">
        <v>6528</v>
      </c>
      <c r="C1172" s="4" t="s">
        <v>889</v>
      </c>
      <c r="D1172" s="3">
        <v>25.031054</v>
      </c>
      <c r="E1172" s="3">
        <v>121.509234</v>
      </c>
      <c r="F1172" s="3" t="s">
        <v>156</v>
      </c>
      <c r="G1172" s="4" t="s">
        <v>4157</v>
      </c>
      <c r="H1172" s="3"/>
    </row>
    <row r="1173" ht="15.75" customHeight="1">
      <c r="A1173" s="4" t="s">
        <v>6529</v>
      </c>
      <c r="B1173" s="4" t="s">
        <v>6530</v>
      </c>
      <c r="C1173" s="4" t="s">
        <v>891</v>
      </c>
      <c r="D1173" s="3">
        <v>25.031174</v>
      </c>
      <c r="E1173" s="3">
        <v>121.508987</v>
      </c>
      <c r="F1173" s="3" t="s">
        <v>156</v>
      </c>
      <c r="G1173" s="4" t="s">
        <v>4157</v>
      </c>
      <c r="H1173" s="3"/>
    </row>
    <row r="1174" ht="15.75" customHeight="1">
      <c r="A1174" s="4" t="s">
        <v>6531</v>
      </c>
      <c r="B1174" s="4" t="s">
        <v>6532</v>
      </c>
      <c r="C1174" s="4" t="s">
        <v>902</v>
      </c>
      <c r="D1174" s="3">
        <v>25.031241</v>
      </c>
      <c r="E1174" s="3">
        <v>121.508496</v>
      </c>
      <c r="F1174" s="3" t="s">
        <v>156</v>
      </c>
      <c r="G1174" s="4" t="s">
        <v>4157</v>
      </c>
      <c r="H1174" s="3"/>
    </row>
    <row r="1175" ht="15.75" customHeight="1">
      <c r="A1175" s="4" t="s">
        <v>6533</v>
      </c>
      <c r="B1175" s="4" t="s">
        <v>6534</v>
      </c>
      <c r="C1175" s="4" t="s">
        <v>917</v>
      </c>
      <c r="D1175" s="3">
        <v>25.031425</v>
      </c>
      <c r="E1175" s="3">
        <v>121.508604</v>
      </c>
      <c r="F1175" s="3" t="s">
        <v>156</v>
      </c>
      <c r="G1175" s="4" t="s">
        <v>4157</v>
      </c>
      <c r="H1175" s="3"/>
    </row>
    <row r="1176" ht="15.75" customHeight="1">
      <c r="A1176" s="4" t="s">
        <v>6535</v>
      </c>
      <c r="B1176" s="4" t="s">
        <v>6536</v>
      </c>
      <c r="C1176" s="4" t="s">
        <v>942</v>
      </c>
      <c r="D1176" s="3">
        <v>25.031275</v>
      </c>
      <c r="E1176" s="3">
        <v>121.508453</v>
      </c>
      <c r="F1176" s="3" t="s">
        <v>156</v>
      </c>
      <c r="G1176" s="4" t="s">
        <v>4157</v>
      </c>
      <c r="H1176" s="3"/>
    </row>
    <row r="1177" ht="15.75" customHeight="1">
      <c r="A1177" s="4" t="s">
        <v>6537</v>
      </c>
      <c r="B1177" s="4" t="s">
        <v>6538</v>
      </c>
      <c r="C1177" s="4" t="s">
        <v>944</v>
      </c>
      <c r="D1177" s="3">
        <v>25.031132</v>
      </c>
      <c r="E1177" s="3">
        <v>121.508503</v>
      </c>
      <c r="F1177" s="3" t="s">
        <v>156</v>
      </c>
      <c r="G1177" s="4" t="s">
        <v>4157</v>
      </c>
      <c r="H1177" s="3"/>
    </row>
    <row r="1178" ht="15.75" customHeight="1">
      <c r="A1178" s="4" t="s">
        <v>6539</v>
      </c>
      <c r="B1178" s="4" t="s">
        <v>6540</v>
      </c>
      <c r="C1178" s="4" t="s">
        <v>946</v>
      </c>
      <c r="D1178" s="3">
        <v>25.031208</v>
      </c>
      <c r="E1178" s="3">
        <v>121.508401</v>
      </c>
      <c r="F1178" s="3" t="s">
        <v>156</v>
      </c>
      <c r="G1178" s="4" t="s">
        <v>4157</v>
      </c>
      <c r="H1178" s="3"/>
    </row>
    <row r="1179" ht="15.75" customHeight="1">
      <c r="A1179" s="4" t="s">
        <v>6541</v>
      </c>
      <c r="B1179" s="4" t="s">
        <v>6542</v>
      </c>
      <c r="C1179" s="4" t="s">
        <v>948</v>
      </c>
      <c r="D1179" s="3">
        <v>25.03132</v>
      </c>
      <c r="E1179" s="3">
        <v>121.508496</v>
      </c>
      <c r="F1179" s="3" t="s">
        <v>156</v>
      </c>
      <c r="G1179" s="4" t="s">
        <v>4157</v>
      </c>
      <c r="H1179" s="3"/>
    </row>
    <row r="1180" ht="15.75" customHeight="1">
      <c r="A1180" s="4" t="s">
        <v>6543</v>
      </c>
      <c r="B1180" s="4" t="s">
        <v>6544</v>
      </c>
      <c r="C1180" s="4" t="s">
        <v>951</v>
      </c>
      <c r="D1180" s="3">
        <v>25.03127</v>
      </c>
      <c r="E1180" s="3">
        <v>121.508416</v>
      </c>
      <c r="F1180" s="3" t="s">
        <v>156</v>
      </c>
      <c r="G1180" s="4" t="s">
        <v>4157</v>
      </c>
      <c r="H1180" s="3"/>
    </row>
    <row r="1181" ht="15.75" customHeight="1">
      <c r="A1181" s="4" t="s">
        <v>6545</v>
      </c>
      <c r="B1181" s="4" t="s">
        <v>6546</v>
      </c>
      <c r="C1181" s="4" t="s">
        <v>971</v>
      </c>
      <c r="D1181" s="3">
        <v>25.031328</v>
      </c>
      <c r="E1181" s="3">
        <v>121.508349</v>
      </c>
      <c r="F1181" s="3" t="s">
        <v>156</v>
      </c>
      <c r="G1181" s="4" t="s">
        <v>4157</v>
      </c>
      <c r="H1181" s="3"/>
    </row>
    <row r="1182" ht="15.75" customHeight="1">
      <c r="A1182" s="4" t="s">
        <v>6547</v>
      </c>
      <c r="B1182" s="4" t="s">
        <v>6548</v>
      </c>
      <c r="C1182" s="4" t="s">
        <v>974</v>
      </c>
      <c r="D1182" s="3">
        <v>25.031289</v>
      </c>
      <c r="E1182" s="3">
        <v>121.508384</v>
      </c>
      <c r="F1182" s="3" t="s">
        <v>156</v>
      </c>
      <c r="G1182" s="4" t="s">
        <v>4157</v>
      </c>
      <c r="H1182" s="3"/>
    </row>
    <row r="1183" ht="15.75" customHeight="1">
      <c r="A1183" s="4" t="s">
        <v>6549</v>
      </c>
      <c r="B1183" s="4" t="s">
        <v>6550</v>
      </c>
      <c r="C1183" s="4" t="s">
        <v>976</v>
      </c>
      <c r="D1183" s="3">
        <v>25.031294</v>
      </c>
      <c r="E1183" s="3">
        <v>121.508339</v>
      </c>
      <c r="F1183" s="3" t="s">
        <v>156</v>
      </c>
      <c r="G1183" s="4" t="s">
        <v>4157</v>
      </c>
      <c r="H1183" s="3"/>
    </row>
    <row r="1184" ht="15.75" customHeight="1">
      <c r="A1184" s="4" t="s">
        <v>6551</v>
      </c>
      <c r="B1184" s="4" t="s">
        <v>6552</v>
      </c>
      <c r="C1184" s="4" t="s">
        <v>886</v>
      </c>
      <c r="D1184" s="3">
        <v>25.031325</v>
      </c>
      <c r="E1184" s="3">
        <v>121.508707</v>
      </c>
      <c r="F1184" s="3" t="s">
        <v>156</v>
      </c>
      <c r="G1184" s="4" t="s">
        <v>4157</v>
      </c>
      <c r="H1184" s="3"/>
    </row>
    <row r="1185" ht="15.75" customHeight="1">
      <c r="A1185" s="4" t="s">
        <v>6553</v>
      </c>
      <c r="B1185" s="4" t="s">
        <v>6554</v>
      </c>
      <c r="C1185" s="4" t="s">
        <v>980</v>
      </c>
      <c r="D1185" s="3">
        <v>25.031489</v>
      </c>
      <c r="E1185" s="3">
        <v>121.508406</v>
      </c>
      <c r="F1185" s="3" t="s">
        <v>156</v>
      </c>
      <c r="G1185" s="4" t="s">
        <v>4157</v>
      </c>
      <c r="H1185" s="3"/>
    </row>
    <row r="1186" ht="15.75" customHeight="1">
      <c r="A1186" s="4" t="s">
        <v>6555</v>
      </c>
      <c r="B1186" s="4" t="s">
        <v>6556</v>
      </c>
      <c r="C1186" s="4" t="s">
        <v>983</v>
      </c>
      <c r="D1186" s="3">
        <v>25.031179</v>
      </c>
      <c r="E1186" s="3">
        <v>121.508523</v>
      </c>
      <c r="F1186" s="3" t="s">
        <v>156</v>
      </c>
      <c r="G1186" s="4" t="s">
        <v>4157</v>
      </c>
      <c r="H1186" s="3"/>
    </row>
    <row r="1187" ht="15.75" customHeight="1">
      <c r="A1187" s="4" t="s">
        <v>6557</v>
      </c>
      <c r="B1187" s="4" t="s">
        <v>6558</v>
      </c>
      <c r="C1187" s="4" t="s">
        <v>987</v>
      </c>
      <c r="D1187" s="3">
        <v>25.031322</v>
      </c>
      <c r="E1187" s="3">
        <v>121.508562</v>
      </c>
      <c r="F1187" s="3" t="s">
        <v>156</v>
      </c>
      <c r="G1187" s="4" t="s">
        <v>4157</v>
      </c>
      <c r="H1187" s="3"/>
    </row>
    <row r="1188" ht="15.75" customHeight="1">
      <c r="A1188" s="4" t="s">
        <v>6559</v>
      </c>
      <c r="B1188" s="4" t="s">
        <v>6560</v>
      </c>
      <c r="C1188" s="4" t="s">
        <v>6561</v>
      </c>
      <c r="D1188" s="3">
        <v>25.031444</v>
      </c>
      <c r="E1188" s="3">
        <v>121.508587</v>
      </c>
      <c r="F1188" s="3" t="s">
        <v>156</v>
      </c>
      <c r="G1188" s="4" t="s">
        <v>4157</v>
      </c>
      <c r="H1188" s="3"/>
    </row>
    <row r="1189" ht="15.75" customHeight="1">
      <c r="A1189" s="4" t="s">
        <v>6562</v>
      </c>
      <c r="B1189" s="4" t="s">
        <v>6563</v>
      </c>
      <c r="C1189" s="4" t="s">
        <v>994</v>
      </c>
      <c r="D1189" s="3">
        <v>25.031333</v>
      </c>
      <c r="E1189" s="3">
        <v>121.508592</v>
      </c>
      <c r="F1189" s="3" t="s">
        <v>156</v>
      </c>
      <c r="G1189" s="4" t="s">
        <v>4157</v>
      </c>
      <c r="H1189" s="3"/>
    </row>
    <row r="1190" ht="15.75" customHeight="1">
      <c r="A1190" s="4" t="s">
        <v>6564</v>
      </c>
      <c r="B1190" s="4" t="s">
        <v>6565</v>
      </c>
      <c r="C1190" s="4" t="s">
        <v>997</v>
      </c>
      <c r="D1190" s="3">
        <v>25.031169</v>
      </c>
      <c r="E1190" s="3">
        <v>121.508467</v>
      </c>
      <c r="F1190" s="3" t="s">
        <v>156</v>
      </c>
      <c r="G1190" s="4" t="s">
        <v>4157</v>
      </c>
      <c r="H1190" s="3"/>
    </row>
    <row r="1191" ht="15.75" customHeight="1">
      <c r="A1191" s="4" t="s">
        <v>6566</v>
      </c>
      <c r="B1191" s="4" t="s">
        <v>6567</v>
      </c>
      <c r="C1191" s="4" t="s">
        <v>999</v>
      </c>
      <c r="D1191" s="3">
        <v>25.031336</v>
      </c>
      <c r="E1191" s="3">
        <v>121.508614</v>
      </c>
      <c r="F1191" s="3" t="s">
        <v>156</v>
      </c>
      <c r="G1191" s="4" t="s">
        <v>4157</v>
      </c>
      <c r="H1191" s="3"/>
    </row>
    <row r="1192" ht="15.75" customHeight="1">
      <c r="A1192" s="4" t="s">
        <v>6568</v>
      </c>
      <c r="B1192" s="4" t="s">
        <v>6569</v>
      </c>
      <c r="C1192" s="4" t="s">
        <v>1001</v>
      </c>
      <c r="D1192" s="3">
        <v>25.031267</v>
      </c>
      <c r="E1192" s="3">
        <v>121.508695</v>
      </c>
      <c r="F1192" s="3" t="s">
        <v>156</v>
      </c>
      <c r="G1192" s="4" t="s">
        <v>4157</v>
      </c>
      <c r="H1192" s="3"/>
    </row>
    <row r="1193" ht="15.75" customHeight="1">
      <c r="A1193" s="4" t="s">
        <v>6570</v>
      </c>
      <c r="B1193" s="4" t="s">
        <v>6571</v>
      </c>
      <c r="C1193" s="4" t="s">
        <v>1003</v>
      </c>
      <c r="D1193" s="3">
        <v>25.031294</v>
      </c>
      <c r="E1193" s="3">
        <v>121.508653</v>
      </c>
      <c r="F1193" s="3" t="s">
        <v>156</v>
      </c>
      <c r="G1193" s="4" t="s">
        <v>4157</v>
      </c>
      <c r="H1193" s="3"/>
    </row>
    <row r="1194" ht="15.75" customHeight="1">
      <c r="A1194" s="4" t="s">
        <v>6572</v>
      </c>
      <c r="B1194" s="4" t="s">
        <v>6573</v>
      </c>
      <c r="C1194" s="4" t="s">
        <v>1006</v>
      </c>
      <c r="D1194" s="3">
        <v>25.031319</v>
      </c>
      <c r="E1194" s="3">
        <v>121.508434</v>
      </c>
      <c r="F1194" s="3" t="s">
        <v>156</v>
      </c>
      <c r="G1194" s="4" t="s">
        <v>4157</v>
      </c>
      <c r="H1194" s="3"/>
    </row>
    <row r="1195" ht="15.75" customHeight="1">
      <c r="A1195" s="4" t="s">
        <v>6574</v>
      </c>
      <c r="B1195" s="4" t="s">
        <v>6575</v>
      </c>
      <c r="C1195" s="4" t="s">
        <v>1010</v>
      </c>
      <c r="D1195" s="3">
        <v>25.031363</v>
      </c>
      <c r="E1195" s="3">
        <v>121.508358</v>
      </c>
      <c r="F1195" s="3" t="s">
        <v>156</v>
      </c>
      <c r="G1195" s="4" t="s">
        <v>4157</v>
      </c>
      <c r="H1195" s="3"/>
    </row>
    <row r="1196" ht="15.75" customHeight="1">
      <c r="A1196" s="7" t="s">
        <v>6576</v>
      </c>
      <c r="B1196" s="4" t="s">
        <v>6577</v>
      </c>
      <c r="C1196" s="9" t="s">
        <v>968</v>
      </c>
      <c r="D1196" s="3">
        <v>25.031406</v>
      </c>
      <c r="E1196" s="3">
        <v>121.508627</v>
      </c>
      <c r="F1196" s="3" t="s">
        <v>156</v>
      </c>
      <c r="G1196" s="4" t="s">
        <v>4157</v>
      </c>
      <c r="H1196" s="3"/>
    </row>
    <row r="1197" ht="15.75" customHeight="1">
      <c r="A1197" s="7" t="s">
        <v>6578</v>
      </c>
      <c r="B1197" s="4" t="s">
        <v>6579</v>
      </c>
      <c r="C1197" s="9" t="s">
        <v>388</v>
      </c>
      <c r="D1197" s="3">
        <v>25.031658</v>
      </c>
      <c r="E1197" s="3">
        <v>121.508059</v>
      </c>
      <c r="F1197" s="3" t="s">
        <v>156</v>
      </c>
      <c r="G1197" s="4" t="s">
        <v>4157</v>
      </c>
      <c r="H1197" s="3"/>
    </row>
    <row r="1198" ht="15.75" customHeight="1">
      <c r="A1198" s="4" t="s">
        <v>6580</v>
      </c>
      <c r="B1198" s="4" t="s">
        <v>6581</v>
      </c>
      <c r="C1198" s="4" t="s">
        <v>1275</v>
      </c>
      <c r="D1198" s="3">
        <v>25.03137</v>
      </c>
      <c r="E1198" s="3">
        <v>121.508041</v>
      </c>
      <c r="F1198" s="3" t="s">
        <v>156</v>
      </c>
      <c r="G1198" s="4" t="s">
        <v>4157</v>
      </c>
      <c r="H1198" s="3"/>
    </row>
    <row r="1199" ht="15.75" customHeight="1">
      <c r="A1199" s="4" t="s">
        <v>6582</v>
      </c>
      <c r="B1199" s="4" t="s">
        <v>6583</v>
      </c>
      <c r="C1199" s="4" t="s">
        <v>1278</v>
      </c>
      <c r="D1199" s="3">
        <v>25.031484</v>
      </c>
      <c r="E1199" s="3">
        <v>121.508291</v>
      </c>
      <c r="F1199" s="3" t="s">
        <v>156</v>
      </c>
      <c r="G1199" s="4" t="s">
        <v>4157</v>
      </c>
      <c r="H1199" s="3"/>
    </row>
    <row r="1200" ht="15.75" customHeight="1">
      <c r="A1200" s="4" t="s">
        <v>6584</v>
      </c>
      <c r="B1200" s="4" t="s">
        <v>6585</v>
      </c>
      <c r="C1200" s="4" t="s">
        <v>1282</v>
      </c>
      <c r="D1200" s="3">
        <v>25.031421</v>
      </c>
      <c r="E1200" s="3">
        <v>121.508194</v>
      </c>
      <c r="F1200" s="3" t="s">
        <v>156</v>
      </c>
      <c r="G1200" s="4" t="s">
        <v>4157</v>
      </c>
      <c r="H1200" s="3"/>
    </row>
    <row r="1201" ht="15.75" customHeight="1">
      <c r="A1201" s="4" t="s">
        <v>6586</v>
      </c>
      <c r="B1201" s="4" t="s">
        <v>6587</v>
      </c>
      <c r="C1201" s="4" t="s">
        <v>1286</v>
      </c>
      <c r="D1201" s="3">
        <v>25.031464</v>
      </c>
      <c r="E1201" s="3">
        <v>121.508119</v>
      </c>
      <c r="F1201" s="3" t="s">
        <v>156</v>
      </c>
      <c r="G1201" s="4" t="s">
        <v>4157</v>
      </c>
      <c r="H1201" s="3"/>
    </row>
    <row r="1202" ht="15.75" customHeight="1">
      <c r="A1202" s="4" t="s">
        <v>6588</v>
      </c>
      <c r="B1202" s="4" t="s">
        <v>6589</v>
      </c>
      <c r="C1202" s="4" t="s">
        <v>1294</v>
      </c>
      <c r="D1202" s="3">
        <v>25.031507</v>
      </c>
      <c r="E1202" s="3">
        <v>121.5082</v>
      </c>
      <c r="F1202" s="3" t="s">
        <v>156</v>
      </c>
      <c r="G1202" s="4" t="s">
        <v>4157</v>
      </c>
      <c r="H1202" s="3"/>
    </row>
    <row r="1203" ht="15.75" customHeight="1">
      <c r="A1203" s="4" t="s">
        <v>6590</v>
      </c>
      <c r="B1203" s="4" t="s">
        <v>6591</v>
      </c>
      <c r="C1203" s="4" t="s">
        <v>1297</v>
      </c>
      <c r="D1203" s="3">
        <v>25.031516</v>
      </c>
      <c r="E1203" s="3">
        <v>121.508095</v>
      </c>
      <c r="F1203" s="3" t="s">
        <v>156</v>
      </c>
      <c r="G1203" s="4" t="s">
        <v>4157</v>
      </c>
      <c r="H1203" s="3"/>
    </row>
    <row r="1204" ht="15.75" customHeight="1">
      <c r="A1204" s="4" t="s">
        <v>6592</v>
      </c>
      <c r="B1204" s="4" t="s">
        <v>6593</v>
      </c>
      <c r="C1204" s="4" t="s">
        <v>1312</v>
      </c>
      <c r="D1204" s="3">
        <v>25.031491</v>
      </c>
      <c r="E1204" s="3">
        <v>121.508257</v>
      </c>
      <c r="F1204" s="3" t="s">
        <v>156</v>
      </c>
      <c r="G1204" s="4" t="s">
        <v>4157</v>
      </c>
      <c r="H1204" s="3"/>
    </row>
    <row r="1205" ht="15.75" customHeight="1">
      <c r="A1205" s="4" t="s">
        <v>6594</v>
      </c>
      <c r="B1205" s="4" t="s">
        <v>6595</v>
      </c>
      <c r="C1205" s="4" t="s">
        <v>1317</v>
      </c>
      <c r="D1205" s="3">
        <v>25.031446</v>
      </c>
      <c r="E1205" s="3">
        <v>121.508097</v>
      </c>
      <c r="F1205" s="3" t="s">
        <v>156</v>
      </c>
      <c r="G1205" s="4" t="s">
        <v>4157</v>
      </c>
      <c r="H1205" s="3"/>
    </row>
    <row r="1206" ht="15.75" customHeight="1">
      <c r="A1206" s="4" t="s">
        <v>6596</v>
      </c>
      <c r="B1206" s="4" t="s">
        <v>6597</v>
      </c>
      <c r="C1206" s="4" t="s">
        <v>1328</v>
      </c>
      <c r="D1206" s="3">
        <v>25.031458</v>
      </c>
      <c r="E1206" s="3">
        <v>121.508269</v>
      </c>
      <c r="F1206" s="3" t="s">
        <v>156</v>
      </c>
      <c r="G1206" s="4" t="s">
        <v>4157</v>
      </c>
      <c r="H1206" s="3"/>
    </row>
    <row r="1207" ht="15.75" customHeight="1">
      <c r="A1207" s="4" t="s">
        <v>6598</v>
      </c>
      <c r="B1207" s="4" t="s">
        <v>6599</v>
      </c>
      <c r="C1207" s="4" t="s">
        <v>6600</v>
      </c>
      <c r="D1207" s="3">
        <v>25.031525</v>
      </c>
      <c r="E1207" s="3">
        <v>121.508225</v>
      </c>
      <c r="F1207" s="3" t="s">
        <v>156</v>
      </c>
      <c r="G1207" s="4" t="s">
        <v>4157</v>
      </c>
      <c r="H1207" s="3"/>
    </row>
    <row r="1208" ht="15.75" customHeight="1">
      <c r="A1208" s="4" t="s">
        <v>6601</v>
      </c>
      <c r="B1208" s="4" t="s">
        <v>6602</v>
      </c>
      <c r="C1208" s="4" t="s">
        <v>1344</v>
      </c>
      <c r="D1208" s="3">
        <v>25.031478</v>
      </c>
      <c r="E1208" s="3">
        <v>121.508143</v>
      </c>
      <c r="F1208" s="3" t="s">
        <v>156</v>
      </c>
      <c r="G1208" s="4" t="s">
        <v>4157</v>
      </c>
      <c r="H1208" s="3"/>
    </row>
    <row r="1209" ht="15.75" customHeight="1">
      <c r="A1209" s="4" t="s">
        <v>6603</v>
      </c>
      <c r="B1209" s="4" t="s">
        <v>6604</v>
      </c>
      <c r="C1209" s="4" t="s">
        <v>1352</v>
      </c>
      <c r="D1209" s="3">
        <v>25.0315</v>
      </c>
      <c r="E1209" s="3">
        <v>121.508171</v>
      </c>
      <c r="F1209" s="3" t="s">
        <v>156</v>
      </c>
      <c r="G1209" s="4" t="s">
        <v>4157</v>
      </c>
      <c r="H1209" s="3"/>
    </row>
    <row r="1210" ht="15.75" customHeight="1">
      <c r="A1210" s="4" t="s">
        <v>6605</v>
      </c>
      <c r="B1210" s="4" t="s">
        <v>6606</v>
      </c>
      <c r="C1210" s="4" t="s">
        <v>1360</v>
      </c>
      <c r="D1210" s="3">
        <v>25.031478</v>
      </c>
      <c r="E1210" s="3">
        <v>121.508089</v>
      </c>
      <c r="F1210" s="3" t="s">
        <v>156</v>
      </c>
      <c r="G1210" s="4" t="s">
        <v>4157</v>
      </c>
      <c r="H1210" s="3"/>
    </row>
    <row r="1211" ht="15.75" customHeight="1">
      <c r="A1211" s="4" t="s">
        <v>6607</v>
      </c>
      <c r="B1211" s="4" t="s">
        <v>6608</v>
      </c>
      <c r="C1211" s="4" t="s">
        <v>6609</v>
      </c>
      <c r="D1211" s="3">
        <v>25.031545</v>
      </c>
      <c r="E1211" s="3">
        <v>121.508148</v>
      </c>
      <c r="F1211" s="3" t="s">
        <v>156</v>
      </c>
      <c r="G1211" s="4" t="s">
        <v>4157</v>
      </c>
      <c r="H1211" s="3"/>
    </row>
    <row r="1212" ht="15.75" customHeight="1">
      <c r="A1212" s="4" t="s">
        <v>6610</v>
      </c>
      <c r="B1212" s="4" t="s">
        <v>6611</v>
      </c>
      <c r="C1212" s="4" t="s">
        <v>1365</v>
      </c>
      <c r="D1212" s="3">
        <v>25.031407</v>
      </c>
      <c r="E1212" s="3">
        <v>121.508139</v>
      </c>
      <c r="F1212" s="3" t="s">
        <v>156</v>
      </c>
      <c r="G1212" s="4" t="s">
        <v>4157</v>
      </c>
      <c r="H1212" s="3"/>
    </row>
    <row r="1213" ht="15.75" customHeight="1">
      <c r="A1213" s="4" t="s">
        <v>6612</v>
      </c>
      <c r="B1213" s="4" t="s">
        <v>6613</v>
      </c>
      <c r="C1213" s="4" t="s">
        <v>1367</v>
      </c>
      <c r="D1213" s="3">
        <v>25.031484</v>
      </c>
      <c r="E1213" s="3">
        <v>121.508232</v>
      </c>
      <c r="F1213" s="3" t="s">
        <v>156</v>
      </c>
      <c r="G1213" s="4" t="s">
        <v>4157</v>
      </c>
      <c r="H1213" s="3"/>
    </row>
    <row r="1214" ht="15.75" customHeight="1">
      <c r="A1214" s="4" t="s">
        <v>6614</v>
      </c>
      <c r="B1214" s="4" t="s">
        <v>6615</v>
      </c>
      <c r="C1214" s="4" t="s">
        <v>1370</v>
      </c>
      <c r="D1214" s="3">
        <v>25.031426</v>
      </c>
      <c r="E1214" s="3">
        <v>121.508124</v>
      </c>
      <c r="F1214" s="3" t="s">
        <v>156</v>
      </c>
      <c r="G1214" s="4" t="s">
        <v>4157</v>
      </c>
      <c r="H1214" s="3"/>
    </row>
    <row r="1215" ht="15.75" customHeight="1">
      <c r="A1215" s="4" t="s">
        <v>6616</v>
      </c>
      <c r="B1215" s="4" t="s">
        <v>6617</v>
      </c>
      <c r="C1215" s="4" t="s">
        <v>6618</v>
      </c>
      <c r="D1215" s="3">
        <v>25.031404</v>
      </c>
      <c r="E1215" s="3">
        <v>121.508161</v>
      </c>
      <c r="F1215" s="3" t="s">
        <v>156</v>
      </c>
      <c r="G1215" s="4" t="s">
        <v>4157</v>
      </c>
      <c r="H1215" s="3"/>
    </row>
    <row r="1216" ht="15.75" customHeight="1">
      <c r="A1216" s="4" t="s">
        <v>6619</v>
      </c>
      <c r="B1216" s="4" t="s">
        <v>6620</v>
      </c>
      <c r="C1216" s="4" t="s">
        <v>1377</v>
      </c>
      <c r="D1216" s="3">
        <v>25.031536</v>
      </c>
      <c r="E1216" s="3">
        <v>121.50817</v>
      </c>
      <c r="F1216" s="3" t="s">
        <v>156</v>
      </c>
      <c r="G1216" s="4" t="s">
        <v>4157</v>
      </c>
      <c r="H1216" s="3"/>
    </row>
    <row r="1217" ht="15.75" customHeight="1">
      <c r="A1217" s="4" t="s">
        <v>6621</v>
      </c>
      <c r="B1217" s="4" t="s">
        <v>6622</v>
      </c>
      <c r="C1217" s="4" t="s">
        <v>1380</v>
      </c>
      <c r="D1217" s="3">
        <v>25.031576</v>
      </c>
      <c r="E1217" s="3">
        <v>121.508255</v>
      </c>
      <c r="F1217" s="3" t="s">
        <v>156</v>
      </c>
      <c r="G1217" s="4" t="s">
        <v>4157</v>
      </c>
      <c r="H1217" s="3"/>
    </row>
    <row r="1218" ht="15.75" customHeight="1">
      <c r="A1218" s="4" t="s">
        <v>6623</v>
      </c>
      <c r="B1218" s="4" t="s">
        <v>6624</v>
      </c>
      <c r="C1218" s="4" t="s">
        <v>1383</v>
      </c>
      <c r="D1218" s="3">
        <v>25.031437</v>
      </c>
      <c r="E1218" s="3">
        <v>121.508158</v>
      </c>
      <c r="F1218" s="3" t="s">
        <v>156</v>
      </c>
      <c r="G1218" s="4" t="s">
        <v>4157</v>
      </c>
      <c r="H1218" s="3"/>
    </row>
    <row r="1219" ht="15.75" customHeight="1">
      <c r="A1219" s="4" t="s">
        <v>6625</v>
      </c>
      <c r="B1219" s="4" t="s">
        <v>6626</v>
      </c>
      <c r="C1219" s="4" t="s">
        <v>1386</v>
      </c>
      <c r="D1219" s="3">
        <v>25.031553</v>
      </c>
      <c r="E1219" s="3">
        <v>121.50822</v>
      </c>
      <c r="F1219" s="3" t="s">
        <v>156</v>
      </c>
      <c r="G1219" s="4" t="s">
        <v>4157</v>
      </c>
      <c r="H1219" s="3"/>
    </row>
    <row r="1220" ht="15.75" customHeight="1">
      <c r="A1220" s="7" t="s">
        <v>6627</v>
      </c>
      <c r="B1220" s="4" t="s">
        <v>6628</v>
      </c>
      <c r="C1220" s="4" t="s">
        <v>1388</v>
      </c>
      <c r="D1220" s="3">
        <v>25.031509</v>
      </c>
      <c r="E1220" s="3">
        <v>121.508147</v>
      </c>
      <c r="F1220" s="3" t="s">
        <v>156</v>
      </c>
      <c r="G1220" s="4" t="s">
        <v>4157</v>
      </c>
      <c r="H1220" s="3"/>
    </row>
    <row r="1221" ht="15.75" customHeight="1">
      <c r="A1221" s="4" t="s">
        <v>6629</v>
      </c>
      <c r="B1221" s="4" t="s">
        <v>6630</v>
      </c>
      <c r="C1221" s="4" t="s">
        <v>1391</v>
      </c>
      <c r="D1221" s="3">
        <v>25.031654</v>
      </c>
      <c r="E1221" s="3">
        <v>121.508264</v>
      </c>
      <c r="F1221" s="3" t="s">
        <v>156</v>
      </c>
      <c r="G1221" s="4" t="s">
        <v>4157</v>
      </c>
      <c r="H1221" s="3"/>
    </row>
    <row r="1222" ht="15.75" customHeight="1">
      <c r="A1222" s="4" t="s">
        <v>6631</v>
      </c>
      <c r="B1222" s="4" t="s">
        <v>6632</v>
      </c>
      <c r="C1222" s="4" t="s">
        <v>1394</v>
      </c>
      <c r="D1222" s="3">
        <v>25.031538</v>
      </c>
      <c r="E1222" s="3">
        <v>121.50827</v>
      </c>
      <c r="F1222" s="3" t="s">
        <v>156</v>
      </c>
      <c r="G1222" s="4" t="s">
        <v>4157</v>
      </c>
      <c r="H1222" s="3"/>
    </row>
    <row r="1223" ht="15.75" customHeight="1">
      <c r="A1223" s="4" t="s">
        <v>6633</v>
      </c>
      <c r="B1223" s="4" t="s">
        <v>6634</v>
      </c>
      <c r="C1223" s="4" t="s">
        <v>1396</v>
      </c>
      <c r="D1223" s="3">
        <v>25.031576</v>
      </c>
      <c r="E1223" s="3">
        <v>121.508232</v>
      </c>
      <c r="F1223" s="3" t="s">
        <v>156</v>
      </c>
      <c r="G1223" s="4" t="s">
        <v>4157</v>
      </c>
      <c r="H1223" s="3"/>
    </row>
    <row r="1224" ht="15.75" customHeight="1">
      <c r="A1224" s="4" t="s">
        <v>6635</v>
      </c>
      <c r="B1224" s="4" t="s">
        <v>6636</v>
      </c>
      <c r="C1224" s="4" t="s">
        <v>1398</v>
      </c>
      <c r="D1224" s="3">
        <v>25.031521</v>
      </c>
      <c r="E1224" s="3">
        <v>121.508123</v>
      </c>
      <c r="F1224" s="3" t="s">
        <v>156</v>
      </c>
      <c r="G1224" s="4" t="s">
        <v>4157</v>
      </c>
      <c r="H1224" s="3"/>
    </row>
    <row r="1225" ht="15.75" customHeight="1">
      <c r="A1225" s="4" t="s">
        <v>6637</v>
      </c>
      <c r="B1225" s="4" t="s">
        <v>6638</v>
      </c>
      <c r="C1225" s="4" t="s">
        <v>1401</v>
      </c>
      <c r="D1225" s="3">
        <v>25.031632</v>
      </c>
      <c r="E1225" s="3">
        <v>121.508255</v>
      </c>
      <c r="F1225" s="3" t="s">
        <v>156</v>
      </c>
      <c r="G1225" s="4" t="s">
        <v>4157</v>
      </c>
      <c r="H1225" s="3"/>
    </row>
    <row r="1226" ht="15.75" customHeight="1">
      <c r="A1226" s="4" t="s">
        <v>6639</v>
      </c>
      <c r="B1226" s="4" t="s">
        <v>6640</v>
      </c>
      <c r="C1226" s="4" t="s">
        <v>1403</v>
      </c>
      <c r="D1226" s="3">
        <v>25.031455</v>
      </c>
      <c r="E1226" s="3">
        <v>121.508235</v>
      </c>
      <c r="F1226" s="3" t="s">
        <v>156</v>
      </c>
      <c r="G1226" s="4" t="s">
        <v>4157</v>
      </c>
      <c r="H1226" s="3"/>
    </row>
    <row r="1227" ht="15.75" customHeight="1">
      <c r="A1227" s="4" t="s">
        <v>6641</v>
      </c>
      <c r="B1227" s="4" t="s">
        <v>6642</v>
      </c>
      <c r="C1227" s="4" t="s">
        <v>1021</v>
      </c>
      <c r="D1227" s="3">
        <v>25.031757</v>
      </c>
      <c r="E1227" s="3">
        <v>121.508342</v>
      </c>
      <c r="F1227" s="3" t="s">
        <v>156</v>
      </c>
      <c r="G1227" s="4" t="s">
        <v>4157</v>
      </c>
      <c r="H1227" s="3"/>
    </row>
    <row r="1228" ht="15.75" customHeight="1">
      <c r="A1228" s="4" t="s">
        <v>6643</v>
      </c>
      <c r="B1228" s="4" t="s">
        <v>6644</v>
      </c>
      <c r="C1228" s="4" t="s">
        <v>1039</v>
      </c>
      <c r="D1228" s="3">
        <v>25.031837</v>
      </c>
      <c r="E1228" s="3">
        <v>121.508265</v>
      </c>
      <c r="F1228" s="3" t="s">
        <v>156</v>
      </c>
      <c r="G1228" s="4" t="s">
        <v>4157</v>
      </c>
      <c r="H1228" s="3"/>
    </row>
    <row r="1229" ht="15.75" customHeight="1">
      <c r="A1229" s="4" t="s">
        <v>6645</v>
      </c>
      <c r="B1229" s="4" t="s">
        <v>6646</v>
      </c>
      <c r="C1229" s="4" t="s">
        <v>1042</v>
      </c>
      <c r="D1229" s="3">
        <v>25.031719</v>
      </c>
      <c r="E1229" s="3">
        <v>121.50837</v>
      </c>
      <c r="F1229" s="3" t="s">
        <v>156</v>
      </c>
      <c r="G1229" s="4" t="s">
        <v>4157</v>
      </c>
      <c r="H1229" s="3"/>
    </row>
    <row r="1230" ht="15.75" customHeight="1">
      <c r="A1230" s="4" t="s">
        <v>6647</v>
      </c>
      <c r="B1230" s="4" t="s">
        <v>6648</v>
      </c>
      <c r="C1230" s="4" t="s">
        <v>1045</v>
      </c>
      <c r="D1230" s="3">
        <v>25.031678</v>
      </c>
      <c r="E1230" s="3">
        <v>121.508407</v>
      </c>
      <c r="F1230" s="3" t="s">
        <v>156</v>
      </c>
      <c r="G1230" s="4" t="s">
        <v>4157</v>
      </c>
      <c r="H1230" s="3"/>
    </row>
    <row r="1231" ht="15.75" customHeight="1">
      <c r="A1231" s="4" t="s">
        <v>6649</v>
      </c>
      <c r="B1231" s="4" t="s">
        <v>6650</v>
      </c>
      <c r="C1231" s="4" t="s">
        <v>1070</v>
      </c>
      <c r="D1231" s="3">
        <v>25.031901</v>
      </c>
      <c r="E1231" s="3">
        <v>121.50818</v>
      </c>
      <c r="F1231" s="3" t="s">
        <v>156</v>
      </c>
      <c r="G1231" s="4" t="s">
        <v>4157</v>
      </c>
      <c r="H1231" s="3"/>
    </row>
    <row r="1232" ht="15.75" customHeight="1">
      <c r="A1232" s="4" t="s">
        <v>6651</v>
      </c>
      <c r="B1232" s="4" t="s">
        <v>6652</v>
      </c>
      <c r="C1232" s="4" t="s">
        <v>1074</v>
      </c>
      <c r="D1232" s="3">
        <v>25.031685</v>
      </c>
      <c r="E1232" s="3">
        <v>121.508518</v>
      </c>
      <c r="F1232" s="3" t="s">
        <v>156</v>
      </c>
      <c r="G1232" s="4" t="s">
        <v>4157</v>
      </c>
      <c r="H1232" s="3"/>
    </row>
    <row r="1233" ht="15.75" customHeight="1">
      <c r="A1233" s="4" t="s">
        <v>6653</v>
      </c>
      <c r="B1233" s="4" t="s">
        <v>6654</v>
      </c>
      <c r="C1233" s="4" t="s">
        <v>1077</v>
      </c>
      <c r="D1233" s="3">
        <v>25.031915</v>
      </c>
      <c r="E1233" s="3">
        <v>121.508228</v>
      </c>
      <c r="F1233" s="3" t="s">
        <v>156</v>
      </c>
      <c r="G1233" s="4" t="s">
        <v>4157</v>
      </c>
      <c r="H1233" s="3"/>
    </row>
    <row r="1234" ht="15.75" customHeight="1">
      <c r="A1234" s="4" t="s">
        <v>6655</v>
      </c>
      <c r="B1234" s="4" t="s">
        <v>6656</v>
      </c>
      <c r="C1234" s="4" t="s">
        <v>1080</v>
      </c>
      <c r="D1234" s="3">
        <v>25.031627</v>
      </c>
      <c r="E1234" s="3">
        <v>121.508462</v>
      </c>
      <c r="F1234" s="3" t="s">
        <v>156</v>
      </c>
      <c r="G1234" s="4" t="s">
        <v>4157</v>
      </c>
      <c r="H1234" s="3"/>
    </row>
    <row r="1235" ht="15.75" customHeight="1">
      <c r="A1235" s="4" t="s">
        <v>6657</v>
      </c>
      <c r="B1235" s="4" t="s">
        <v>6658</v>
      </c>
      <c r="C1235" s="4" t="s">
        <v>6659</v>
      </c>
      <c r="D1235" s="3">
        <v>25.031809</v>
      </c>
      <c r="E1235" s="3">
        <v>121.508305</v>
      </c>
      <c r="F1235" s="3" t="s">
        <v>156</v>
      </c>
      <c r="G1235" s="4" t="s">
        <v>4157</v>
      </c>
      <c r="H1235" s="3"/>
    </row>
    <row r="1236" ht="15.75" customHeight="1">
      <c r="A1236" s="4" t="s">
        <v>6660</v>
      </c>
      <c r="B1236" s="4" t="s">
        <v>6661</v>
      </c>
      <c r="C1236" s="4" t="s">
        <v>1084</v>
      </c>
      <c r="D1236" s="3">
        <v>25.031744</v>
      </c>
      <c r="E1236" s="3">
        <v>121.508445</v>
      </c>
      <c r="F1236" s="3" t="s">
        <v>156</v>
      </c>
      <c r="G1236" s="4" t="s">
        <v>4157</v>
      </c>
      <c r="H1236" s="3"/>
    </row>
    <row r="1237" ht="15.75" customHeight="1">
      <c r="A1237" s="4" t="s">
        <v>6662</v>
      </c>
      <c r="B1237" s="4" t="s">
        <v>6663</v>
      </c>
      <c r="C1237" s="4" t="s">
        <v>1088</v>
      </c>
      <c r="D1237" s="3">
        <v>25.031586</v>
      </c>
      <c r="E1237" s="3">
        <v>121.508598</v>
      </c>
      <c r="F1237" s="3" t="s">
        <v>156</v>
      </c>
      <c r="G1237" s="4" t="s">
        <v>4157</v>
      </c>
      <c r="H1237" s="3"/>
    </row>
    <row r="1238" ht="15.75" customHeight="1">
      <c r="A1238" s="4" t="s">
        <v>6664</v>
      </c>
      <c r="B1238" s="4" t="s">
        <v>6665</v>
      </c>
      <c r="C1238" s="4" t="s">
        <v>642</v>
      </c>
      <c r="D1238" s="3">
        <v>25.031758</v>
      </c>
      <c r="E1238" s="3">
        <v>121.509052</v>
      </c>
      <c r="F1238" s="3" t="s">
        <v>156</v>
      </c>
      <c r="G1238" s="4" t="s">
        <v>4157</v>
      </c>
      <c r="H1238" s="3"/>
    </row>
    <row r="1239" ht="15.75" customHeight="1">
      <c r="A1239" s="4" t="s">
        <v>6666</v>
      </c>
      <c r="B1239" s="4" t="s">
        <v>6667</v>
      </c>
      <c r="C1239" s="4" t="s">
        <v>664</v>
      </c>
      <c r="D1239" s="3">
        <v>25.031666</v>
      </c>
      <c r="E1239" s="3">
        <v>121.509084</v>
      </c>
      <c r="F1239" s="3" t="s">
        <v>156</v>
      </c>
      <c r="G1239" s="4" t="s">
        <v>4157</v>
      </c>
      <c r="H1239" s="3"/>
    </row>
    <row r="1240" ht="15.75" customHeight="1">
      <c r="A1240" s="4" t="s">
        <v>6668</v>
      </c>
      <c r="B1240" s="4" t="s">
        <v>6669</v>
      </c>
      <c r="C1240" s="4" t="s">
        <v>673</v>
      </c>
      <c r="D1240" s="3">
        <v>25.032036</v>
      </c>
      <c r="E1240" s="3">
        <v>121.509002</v>
      </c>
      <c r="F1240" s="3" t="s">
        <v>156</v>
      </c>
      <c r="G1240" s="4" t="s">
        <v>4157</v>
      </c>
      <c r="H1240" s="3"/>
    </row>
    <row r="1241" ht="15.75" customHeight="1">
      <c r="A1241" s="4" t="s">
        <v>6670</v>
      </c>
      <c r="B1241" s="4" t="s">
        <v>6671</v>
      </c>
      <c r="C1241" s="4" t="s">
        <v>53</v>
      </c>
      <c r="D1241" s="3">
        <v>25.031784</v>
      </c>
      <c r="E1241" s="3">
        <v>121.509043</v>
      </c>
      <c r="F1241" s="3" t="s">
        <v>156</v>
      </c>
      <c r="G1241" s="4" t="s">
        <v>4157</v>
      </c>
      <c r="H1241" s="3"/>
    </row>
    <row r="1242" ht="15.75" customHeight="1">
      <c r="A1242" s="4" t="s">
        <v>6672</v>
      </c>
      <c r="B1242" s="4" t="s">
        <v>6673</v>
      </c>
      <c r="C1242" s="4" t="s">
        <v>698</v>
      </c>
      <c r="D1242" s="3">
        <v>25.031907</v>
      </c>
      <c r="E1242" s="3">
        <v>121.508901</v>
      </c>
      <c r="F1242" s="3" t="s">
        <v>156</v>
      </c>
      <c r="G1242" s="9" t="s">
        <v>30</v>
      </c>
      <c r="H1242" s="3"/>
    </row>
    <row r="1243" ht="15.75" customHeight="1">
      <c r="A1243" s="4" t="s">
        <v>6674</v>
      </c>
      <c r="B1243" s="4" t="s">
        <v>6675</v>
      </c>
      <c r="C1243" s="4" t="s">
        <v>701</v>
      </c>
      <c r="D1243" s="3">
        <v>25.03181</v>
      </c>
      <c r="E1243" s="3">
        <v>121.508996</v>
      </c>
      <c r="F1243" s="3" t="s">
        <v>156</v>
      </c>
      <c r="G1243" s="4" t="s">
        <v>4157</v>
      </c>
      <c r="H1243" s="3"/>
    </row>
    <row r="1244" ht="15.75" customHeight="1">
      <c r="A1244" s="4" t="s">
        <v>6676</v>
      </c>
      <c r="B1244" s="4" t="s">
        <v>6677</v>
      </c>
      <c r="C1244" s="4" t="s">
        <v>703</v>
      </c>
      <c r="D1244" s="3">
        <v>25.031907</v>
      </c>
      <c r="E1244" s="3">
        <v>121.508853</v>
      </c>
      <c r="F1244" s="3" t="s">
        <v>156</v>
      </c>
      <c r="G1244" s="9" t="s">
        <v>30</v>
      </c>
      <c r="H1244" s="3"/>
    </row>
    <row r="1245" ht="15.75" customHeight="1">
      <c r="A1245" s="4" t="s">
        <v>6678</v>
      </c>
      <c r="B1245" s="4" t="s">
        <v>6679</v>
      </c>
      <c r="C1245" s="4" t="s">
        <v>705</v>
      </c>
      <c r="D1245" s="3">
        <v>25.032049</v>
      </c>
      <c r="E1245" s="3">
        <v>121.509075</v>
      </c>
      <c r="F1245" s="3" t="s">
        <v>156</v>
      </c>
      <c r="G1245" s="4" t="s">
        <v>4157</v>
      </c>
      <c r="H1245" s="3"/>
    </row>
    <row r="1246" ht="15.75" customHeight="1">
      <c r="A1246" s="4" t="s">
        <v>6680</v>
      </c>
      <c r="B1246" s="4" t="s">
        <v>6681</v>
      </c>
      <c r="C1246" s="4" t="s">
        <v>713</v>
      </c>
      <c r="D1246" s="3">
        <v>25.031925</v>
      </c>
      <c r="E1246" s="3">
        <v>121.508695</v>
      </c>
      <c r="F1246" s="3" t="s">
        <v>156</v>
      </c>
      <c r="G1246" s="9" t="s">
        <v>30</v>
      </c>
      <c r="H1246" s="3"/>
    </row>
    <row r="1247" ht="15.75" customHeight="1">
      <c r="A1247" s="4" t="s">
        <v>6682</v>
      </c>
      <c r="B1247" s="4" t="s">
        <v>6683</v>
      </c>
      <c r="C1247" s="4" t="s">
        <v>716</v>
      </c>
      <c r="D1247" s="3">
        <v>25.031943</v>
      </c>
      <c r="E1247" s="3">
        <v>121.508946</v>
      </c>
      <c r="F1247" s="3" t="s">
        <v>156</v>
      </c>
      <c r="G1247" s="4" t="s">
        <v>4157</v>
      </c>
      <c r="H1247" s="3"/>
    </row>
    <row r="1248" ht="15.75" customHeight="1">
      <c r="A1248" s="4" t="s">
        <v>6684</v>
      </c>
      <c r="B1248" s="4" t="s">
        <v>6685</v>
      </c>
      <c r="C1248" s="4" t="s">
        <v>725</v>
      </c>
      <c r="D1248" s="3">
        <v>25.031881</v>
      </c>
      <c r="E1248" s="3">
        <v>121.508888</v>
      </c>
      <c r="F1248" s="3" t="s">
        <v>156</v>
      </c>
      <c r="G1248" s="9" t="s">
        <v>30</v>
      </c>
      <c r="H1248" s="3"/>
    </row>
    <row r="1249" ht="15.75" customHeight="1">
      <c r="A1249" s="4" t="s">
        <v>6686</v>
      </c>
      <c r="B1249" s="4" t="s">
        <v>6687</v>
      </c>
      <c r="C1249" s="4" t="s">
        <v>6688</v>
      </c>
      <c r="D1249" s="3">
        <v>25.031691</v>
      </c>
      <c r="E1249" s="3">
        <v>121.509183</v>
      </c>
      <c r="F1249" s="3" t="s">
        <v>156</v>
      </c>
      <c r="G1249" s="4" t="s">
        <v>4157</v>
      </c>
      <c r="H1249" s="3"/>
    </row>
    <row r="1250" ht="15.75" customHeight="1">
      <c r="A1250" s="4" t="s">
        <v>6689</v>
      </c>
      <c r="B1250" s="4" t="s">
        <v>6690</v>
      </c>
      <c r="C1250" s="4" t="s">
        <v>732</v>
      </c>
      <c r="D1250" s="3">
        <v>25.032059</v>
      </c>
      <c r="E1250" s="3">
        <v>121.50899</v>
      </c>
      <c r="F1250" s="3" t="s">
        <v>156</v>
      </c>
      <c r="G1250" s="4" t="s">
        <v>4157</v>
      </c>
      <c r="H1250" s="3"/>
    </row>
    <row r="1251" ht="15.75" customHeight="1">
      <c r="A1251" s="4" t="s">
        <v>6691</v>
      </c>
      <c r="B1251" s="4" t="s">
        <v>6692</v>
      </c>
      <c r="C1251" s="4" t="s">
        <v>6693</v>
      </c>
      <c r="D1251" s="3">
        <v>25.031951</v>
      </c>
      <c r="E1251" s="3">
        <v>121.508894</v>
      </c>
      <c r="F1251" s="3" t="s">
        <v>156</v>
      </c>
      <c r="G1251" s="4" t="s">
        <v>4157</v>
      </c>
      <c r="H1251" s="3"/>
    </row>
    <row r="1252" ht="15.75" customHeight="1">
      <c r="A1252" s="4" t="s">
        <v>6694</v>
      </c>
      <c r="B1252" s="4" t="s">
        <v>6695</v>
      </c>
      <c r="C1252" s="4" t="s">
        <v>737</v>
      </c>
      <c r="D1252" s="3">
        <v>25.031931</v>
      </c>
      <c r="E1252" s="3">
        <v>121.508872</v>
      </c>
      <c r="F1252" s="3" t="s">
        <v>156</v>
      </c>
      <c r="G1252" s="9" t="s">
        <v>30</v>
      </c>
      <c r="H1252" s="3"/>
    </row>
    <row r="1253" ht="15.75" customHeight="1">
      <c r="A1253" s="4" t="s">
        <v>6696</v>
      </c>
      <c r="B1253" s="4" t="s">
        <v>6697</v>
      </c>
      <c r="C1253" s="4" t="s">
        <v>740</v>
      </c>
      <c r="D1253" s="3">
        <v>25.032007</v>
      </c>
      <c r="E1253" s="3">
        <v>121.508952</v>
      </c>
      <c r="F1253" s="3" t="s">
        <v>156</v>
      </c>
      <c r="G1253" s="4" t="s">
        <v>4157</v>
      </c>
      <c r="H1253" s="3"/>
    </row>
    <row r="1254" ht="15.75" customHeight="1">
      <c r="A1254" s="4" t="s">
        <v>6698</v>
      </c>
      <c r="B1254" s="4" t="s">
        <v>6699</v>
      </c>
      <c r="C1254" s="4" t="s">
        <v>743</v>
      </c>
      <c r="D1254" s="3">
        <v>25.031815</v>
      </c>
      <c r="E1254" s="3">
        <v>121.509032</v>
      </c>
      <c r="F1254" s="3" t="s">
        <v>156</v>
      </c>
      <c r="G1254" s="4" t="s">
        <v>4157</v>
      </c>
      <c r="H1254" s="3"/>
    </row>
    <row r="1255" ht="15.75" customHeight="1">
      <c r="A1255" s="4" t="s">
        <v>6700</v>
      </c>
      <c r="B1255" s="4" t="s">
        <v>6701</v>
      </c>
      <c r="C1255" s="4" t="s">
        <v>746</v>
      </c>
      <c r="D1255" s="3">
        <v>25.031647</v>
      </c>
      <c r="E1255" s="3">
        <v>121.50915</v>
      </c>
      <c r="F1255" s="3" t="s">
        <v>156</v>
      </c>
      <c r="G1255" s="4" t="s">
        <v>4157</v>
      </c>
      <c r="H1255" s="3"/>
    </row>
    <row r="1256" ht="15.75" customHeight="1">
      <c r="A1256" s="4" t="s">
        <v>6702</v>
      </c>
      <c r="B1256" s="4" t="s">
        <v>6703</v>
      </c>
      <c r="C1256" s="4" t="s">
        <v>748</v>
      </c>
      <c r="D1256" s="3">
        <v>25.031908</v>
      </c>
      <c r="E1256" s="3">
        <v>121.508793</v>
      </c>
      <c r="F1256" s="3" t="s">
        <v>156</v>
      </c>
      <c r="G1256" s="9" t="s">
        <v>30</v>
      </c>
      <c r="H1256" s="3"/>
    </row>
    <row r="1257" ht="15.75" customHeight="1">
      <c r="A1257" s="4" t="s">
        <v>6704</v>
      </c>
      <c r="B1257" s="4" t="s">
        <v>6705</v>
      </c>
      <c r="C1257" s="4" t="s">
        <v>750</v>
      </c>
      <c r="D1257" s="3">
        <v>25.031932</v>
      </c>
      <c r="E1257" s="3">
        <v>121.508747</v>
      </c>
      <c r="F1257" s="3" t="s">
        <v>156</v>
      </c>
      <c r="G1257" s="9" t="s">
        <v>30</v>
      </c>
      <c r="H1257" s="3"/>
    </row>
    <row r="1258" ht="15.75" customHeight="1">
      <c r="A1258" s="4" t="s">
        <v>6706</v>
      </c>
      <c r="B1258" s="4" t="s">
        <v>6707</v>
      </c>
      <c r="C1258" s="4" t="s">
        <v>752</v>
      </c>
      <c r="D1258" s="3">
        <v>25.03187</v>
      </c>
      <c r="E1258" s="3">
        <v>121.508834</v>
      </c>
      <c r="F1258" s="3" t="s">
        <v>156</v>
      </c>
      <c r="G1258" s="9" t="s">
        <v>30</v>
      </c>
      <c r="H1258" s="3"/>
    </row>
    <row r="1259" ht="15.75" customHeight="1">
      <c r="A1259" s="4" t="s">
        <v>6708</v>
      </c>
      <c r="B1259" s="4" t="s">
        <v>6709</v>
      </c>
      <c r="C1259" s="4" t="s">
        <v>6710</v>
      </c>
      <c r="D1259" s="3">
        <v>25.031884</v>
      </c>
      <c r="E1259" s="3">
        <v>121.508751</v>
      </c>
      <c r="F1259" s="3" t="s">
        <v>156</v>
      </c>
      <c r="G1259" s="9" t="s">
        <v>30</v>
      </c>
      <c r="H1259" s="3"/>
    </row>
    <row r="1260" ht="15.75" customHeight="1">
      <c r="A1260" s="4" t="s">
        <v>6711</v>
      </c>
      <c r="B1260" s="4" t="s">
        <v>6712</v>
      </c>
      <c r="C1260" s="4" t="s">
        <v>2861</v>
      </c>
      <c r="D1260" s="3">
        <v>25.031994</v>
      </c>
      <c r="E1260" s="3">
        <v>121.50947</v>
      </c>
      <c r="F1260" s="3" t="s">
        <v>156</v>
      </c>
      <c r="G1260" s="4" t="s">
        <v>4157</v>
      </c>
      <c r="H1260" s="3"/>
    </row>
    <row r="1261" ht="15.75" customHeight="1">
      <c r="A1261" s="4" t="s">
        <v>6713</v>
      </c>
      <c r="B1261" s="4" t="s">
        <v>6714</v>
      </c>
      <c r="C1261" s="4" t="s">
        <v>2911</v>
      </c>
      <c r="D1261" s="3">
        <v>25.032115</v>
      </c>
      <c r="E1261" s="3">
        <v>121.509553</v>
      </c>
      <c r="F1261" s="3" t="s">
        <v>156</v>
      </c>
      <c r="G1261" s="4" t="s">
        <v>4157</v>
      </c>
      <c r="H1261" s="3"/>
    </row>
    <row r="1262" ht="15.75" customHeight="1">
      <c r="A1262" s="4" t="s">
        <v>6715</v>
      </c>
      <c r="B1262" s="4" t="s">
        <v>6716</v>
      </c>
      <c r="C1262" s="4" t="s">
        <v>2927</v>
      </c>
      <c r="D1262" s="3">
        <v>25.032197</v>
      </c>
      <c r="E1262" s="3">
        <v>121.509484</v>
      </c>
      <c r="F1262" s="3" t="s">
        <v>156</v>
      </c>
      <c r="G1262" s="4" t="s">
        <v>4157</v>
      </c>
      <c r="H1262" s="3"/>
    </row>
    <row r="1263" ht="15.75" customHeight="1">
      <c r="A1263" s="4" t="s">
        <v>6717</v>
      </c>
      <c r="B1263" s="4" t="s">
        <v>6718</v>
      </c>
      <c r="C1263" s="4" t="s">
        <v>2938</v>
      </c>
      <c r="D1263" s="3">
        <v>25.031659</v>
      </c>
      <c r="E1263" s="3">
        <v>121.509433</v>
      </c>
      <c r="F1263" s="3" t="s">
        <v>156</v>
      </c>
      <c r="G1263" s="4" t="s">
        <v>4157</v>
      </c>
      <c r="H1263" s="3"/>
    </row>
    <row r="1264" ht="15.75" customHeight="1">
      <c r="A1264" s="4" t="s">
        <v>6719</v>
      </c>
      <c r="B1264" s="4" t="s">
        <v>6720</v>
      </c>
      <c r="C1264" s="4" t="s">
        <v>2940</v>
      </c>
      <c r="D1264" s="3">
        <v>25.03159</v>
      </c>
      <c r="E1264" s="3">
        <v>121.509515</v>
      </c>
      <c r="F1264" s="3" t="s">
        <v>156</v>
      </c>
      <c r="G1264" s="4" t="s">
        <v>4157</v>
      </c>
      <c r="H1264" s="3"/>
    </row>
    <row r="1265" ht="15.75" customHeight="1">
      <c r="A1265" s="4" t="s">
        <v>6721</v>
      </c>
      <c r="B1265" s="4" t="s">
        <v>6722</v>
      </c>
      <c r="C1265" s="4" t="s">
        <v>2942</v>
      </c>
      <c r="D1265" s="3">
        <v>25.031942</v>
      </c>
      <c r="E1265" s="3">
        <v>121.509476</v>
      </c>
      <c r="F1265" s="3" t="s">
        <v>156</v>
      </c>
      <c r="G1265" s="4" t="s">
        <v>4157</v>
      </c>
      <c r="H1265" s="3"/>
    </row>
    <row r="1266" ht="15.75" customHeight="1">
      <c r="A1266" s="4" t="s">
        <v>6723</v>
      </c>
      <c r="B1266" s="4" t="s">
        <v>6724</v>
      </c>
      <c r="C1266" s="4" t="s">
        <v>2944</v>
      </c>
      <c r="D1266" s="3">
        <v>25.031634</v>
      </c>
      <c r="E1266" s="3">
        <v>121.509447</v>
      </c>
      <c r="F1266" s="3" t="s">
        <v>156</v>
      </c>
      <c r="G1266" s="4" t="s">
        <v>4157</v>
      </c>
      <c r="H1266" s="3"/>
    </row>
    <row r="1267" ht="15.75" customHeight="1">
      <c r="A1267" s="4" t="s">
        <v>6725</v>
      </c>
      <c r="B1267" s="4" t="s">
        <v>6726</v>
      </c>
      <c r="C1267" s="4" t="s">
        <v>6727</v>
      </c>
      <c r="D1267" s="3">
        <v>25.031676</v>
      </c>
      <c r="E1267" s="3">
        <v>121.509436</v>
      </c>
      <c r="F1267" s="3" t="s">
        <v>156</v>
      </c>
      <c r="G1267" s="4" t="s">
        <v>4157</v>
      </c>
      <c r="H1267" s="3"/>
    </row>
    <row r="1268" ht="15.75" customHeight="1">
      <c r="A1268" s="4" t="s">
        <v>6728</v>
      </c>
      <c r="B1268" s="4" t="s">
        <v>6729</v>
      </c>
      <c r="C1268" s="4" t="s">
        <v>2948</v>
      </c>
      <c r="D1268" s="3">
        <v>25.031639</v>
      </c>
      <c r="E1268" s="3">
        <v>121.50941</v>
      </c>
      <c r="F1268" s="3" t="s">
        <v>156</v>
      </c>
      <c r="G1268" s="4" t="s">
        <v>4157</v>
      </c>
      <c r="H1268" s="3"/>
    </row>
    <row r="1269" ht="15.75" customHeight="1">
      <c r="A1269" s="4" t="s">
        <v>6730</v>
      </c>
      <c r="B1269" s="4" t="s">
        <v>6731</v>
      </c>
      <c r="C1269" s="4" t="s">
        <v>2950</v>
      </c>
      <c r="D1269" s="3">
        <v>25.031719</v>
      </c>
      <c r="E1269" s="3">
        <v>121.509485</v>
      </c>
      <c r="F1269" s="3" t="s">
        <v>156</v>
      </c>
      <c r="G1269" s="4" t="s">
        <v>4157</v>
      </c>
      <c r="H1269" s="3"/>
    </row>
    <row r="1270" ht="15.75" customHeight="1">
      <c r="A1270" s="4" t="s">
        <v>6732</v>
      </c>
      <c r="B1270" s="4" t="s">
        <v>6733</v>
      </c>
      <c r="C1270" s="4" t="s">
        <v>2952</v>
      </c>
      <c r="D1270" s="3">
        <v>25.031597</v>
      </c>
      <c r="E1270" s="3">
        <v>121.509362</v>
      </c>
      <c r="F1270" s="3" t="s">
        <v>156</v>
      </c>
      <c r="G1270" s="4" t="s">
        <v>4157</v>
      </c>
      <c r="H1270" s="3"/>
    </row>
    <row r="1271" ht="15.75" customHeight="1">
      <c r="A1271" s="4" t="s">
        <v>6734</v>
      </c>
      <c r="B1271" s="4" t="s">
        <v>6735</v>
      </c>
      <c r="C1271" s="4" t="s">
        <v>2955</v>
      </c>
      <c r="D1271" s="3">
        <v>25.031608</v>
      </c>
      <c r="E1271" s="3">
        <v>121.509421</v>
      </c>
      <c r="F1271" s="3" t="s">
        <v>156</v>
      </c>
      <c r="G1271" s="4" t="s">
        <v>4157</v>
      </c>
      <c r="H1271" s="3"/>
    </row>
    <row r="1272" ht="15.75" customHeight="1">
      <c r="A1272" s="4" t="s">
        <v>6736</v>
      </c>
      <c r="B1272" s="4" t="s">
        <v>6737</v>
      </c>
      <c r="C1272" s="4" t="s">
        <v>2957</v>
      </c>
      <c r="D1272" s="3">
        <v>25.031914</v>
      </c>
      <c r="E1272" s="3">
        <v>121.509547</v>
      </c>
      <c r="F1272" s="3" t="s">
        <v>156</v>
      </c>
      <c r="G1272" s="4" t="s">
        <v>4157</v>
      </c>
      <c r="H1272" s="3"/>
    </row>
    <row r="1273" ht="15.75" customHeight="1">
      <c r="A1273" s="4" t="s">
        <v>6738</v>
      </c>
      <c r="B1273" s="4" t="s">
        <v>6739</v>
      </c>
      <c r="C1273" s="4" t="s">
        <v>667</v>
      </c>
      <c r="D1273" s="3">
        <v>25.03242</v>
      </c>
      <c r="E1273" s="3">
        <v>121.511144</v>
      </c>
      <c r="F1273" s="3" t="s">
        <v>44</v>
      </c>
      <c r="G1273" s="4" t="s">
        <v>4157</v>
      </c>
      <c r="H1273" s="3"/>
    </row>
    <row r="1274" ht="15.75" customHeight="1">
      <c r="A1274" s="4" t="s">
        <v>6740</v>
      </c>
      <c r="B1274" s="4" t="s">
        <v>6741</v>
      </c>
      <c r="C1274" s="4" t="s">
        <v>648</v>
      </c>
      <c r="D1274" s="3">
        <v>25.031776</v>
      </c>
      <c r="E1274" s="3">
        <v>121.50904</v>
      </c>
      <c r="F1274" s="3" t="s">
        <v>156</v>
      </c>
      <c r="G1274" s="4" t="s">
        <v>4157</v>
      </c>
      <c r="H1274" s="3"/>
    </row>
    <row r="1275" ht="15.75" customHeight="1">
      <c r="A1275" s="4" t="s">
        <v>6742</v>
      </c>
      <c r="B1275" s="4" t="s">
        <v>6743</v>
      </c>
      <c r="C1275" s="4" t="s">
        <v>648</v>
      </c>
      <c r="D1275" s="3">
        <v>25.032978</v>
      </c>
      <c r="E1275" s="3">
        <v>121.509191</v>
      </c>
      <c r="F1275" s="3" t="s">
        <v>130</v>
      </c>
      <c r="G1275" s="4" t="s">
        <v>4157</v>
      </c>
      <c r="H1275" s="3"/>
    </row>
    <row r="1276" ht="15.75" customHeight="1">
      <c r="A1276" s="4" t="s">
        <v>6744</v>
      </c>
      <c r="B1276" s="4" t="s">
        <v>6745</v>
      </c>
      <c r="C1276" s="4" t="s">
        <v>662</v>
      </c>
      <c r="D1276" s="3">
        <v>25.031893</v>
      </c>
      <c r="E1276" s="3">
        <v>121.508765</v>
      </c>
      <c r="F1276" s="3" t="s">
        <v>156</v>
      </c>
      <c r="G1276" s="4" t="s">
        <v>4157</v>
      </c>
      <c r="H1276" s="3"/>
    </row>
    <row r="1277" ht="15.75" customHeight="1">
      <c r="A1277" s="4" t="s">
        <v>6746</v>
      </c>
      <c r="B1277" s="4" t="s">
        <v>6747</v>
      </c>
      <c r="C1277" s="4" t="s">
        <v>1840</v>
      </c>
      <c r="D1277" s="3">
        <v>25.031363</v>
      </c>
      <c r="E1277" s="3">
        <v>121.508954</v>
      </c>
      <c r="F1277" s="3" t="s">
        <v>156</v>
      </c>
      <c r="G1277" s="4" t="s">
        <v>4157</v>
      </c>
      <c r="H1277" s="3"/>
    </row>
    <row r="1278" ht="15.75" customHeight="1">
      <c r="A1278" s="4" t="s">
        <v>6748</v>
      </c>
      <c r="B1278" s="4" t="s">
        <v>6749</v>
      </c>
      <c r="C1278" s="4" t="s">
        <v>201</v>
      </c>
      <c r="D1278" s="3">
        <v>25.031326</v>
      </c>
      <c r="E1278" s="3">
        <v>121.508807</v>
      </c>
      <c r="F1278" s="3" t="s">
        <v>156</v>
      </c>
      <c r="G1278" s="4" t="s">
        <v>4157</v>
      </c>
      <c r="H1278" s="3"/>
    </row>
    <row r="1279" ht="15.75" customHeight="1">
      <c r="A1279" s="4" t="s">
        <v>6750</v>
      </c>
      <c r="B1279" s="4" t="s">
        <v>6751</v>
      </c>
      <c r="C1279" s="4" t="s">
        <v>927</v>
      </c>
      <c r="D1279" s="3">
        <v>25.031345</v>
      </c>
      <c r="E1279" s="3">
        <v>121.508614</v>
      </c>
      <c r="F1279" s="3" t="s">
        <v>156</v>
      </c>
      <c r="G1279" s="4" t="s">
        <v>4157</v>
      </c>
      <c r="H1279" s="3"/>
    </row>
    <row r="1280" ht="15.75" customHeight="1">
      <c r="A1280" s="4" t="s">
        <v>6752</v>
      </c>
      <c r="B1280" s="4" t="s">
        <v>6753</v>
      </c>
      <c r="C1280" s="4" t="s">
        <v>1019</v>
      </c>
      <c r="D1280" s="3">
        <v>25.031494</v>
      </c>
      <c r="E1280" s="3">
        <v>121.508603</v>
      </c>
      <c r="F1280" s="3" t="s">
        <v>156</v>
      </c>
      <c r="G1280" s="4" t="s">
        <v>4157</v>
      </c>
      <c r="H1280" s="3"/>
    </row>
    <row r="1281" ht="15.75" customHeight="1">
      <c r="A1281" s="4" t="s">
        <v>6754</v>
      </c>
      <c r="B1281" s="4" t="s">
        <v>6755</v>
      </c>
      <c r="C1281" s="4" t="s">
        <v>920</v>
      </c>
      <c r="D1281" s="3">
        <v>25.031416</v>
      </c>
      <c r="E1281" s="3">
        <v>121.508423</v>
      </c>
      <c r="F1281" s="3" t="s">
        <v>156</v>
      </c>
      <c r="G1281" s="4" t="s">
        <v>4157</v>
      </c>
      <c r="H1281" s="3"/>
    </row>
    <row r="1282" ht="15.75" customHeight="1">
      <c r="A1282" s="4" t="s">
        <v>6756</v>
      </c>
      <c r="B1282" s="4" t="s">
        <v>6757</v>
      </c>
      <c r="C1282" s="4" t="s">
        <v>920</v>
      </c>
      <c r="D1282" s="3">
        <v>25.032877</v>
      </c>
      <c r="E1282" s="3">
        <v>121.509258</v>
      </c>
      <c r="F1282" s="3" t="s">
        <v>130</v>
      </c>
      <c r="G1282" s="4" t="s">
        <v>4157</v>
      </c>
      <c r="H1282" s="3"/>
    </row>
    <row r="1283" ht="15.75" customHeight="1">
      <c r="A1283" s="4" t="s">
        <v>6758</v>
      </c>
      <c r="B1283" s="4" t="s">
        <v>6759</v>
      </c>
      <c r="C1283" s="4" t="s">
        <v>2847</v>
      </c>
      <c r="D1283" s="3">
        <v>25.03202</v>
      </c>
      <c r="E1283" s="3">
        <v>121.509494</v>
      </c>
      <c r="F1283" s="3" t="s">
        <v>156</v>
      </c>
      <c r="G1283" s="4" t="s">
        <v>4157</v>
      </c>
      <c r="H1283" s="3"/>
    </row>
    <row r="1284" ht="15.75" customHeight="1">
      <c r="A1284" s="4" t="s">
        <v>6760</v>
      </c>
      <c r="B1284" s="4" t="s">
        <v>6761</v>
      </c>
      <c r="C1284" s="4" t="s">
        <v>1468</v>
      </c>
      <c r="D1284" s="3">
        <v>25.032052</v>
      </c>
      <c r="E1284" s="3">
        <v>121.509572</v>
      </c>
      <c r="F1284" s="3" t="s">
        <v>156</v>
      </c>
      <c r="G1284" s="4" t="s">
        <v>4157</v>
      </c>
      <c r="H1284" s="3"/>
    </row>
    <row r="1285" ht="15.75" customHeight="1">
      <c r="A1285" s="4" t="s">
        <v>6762</v>
      </c>
      <c r="B1285" s="4" t="s">
        <v>6763</v>
      </c>
      <c r="C1285" s="4" t="s">
        <v>1253</v>
      </c>
      <c r="D1285" s="3">
        <v>25.031609</v>
      </c>
      <c r="E1285" s="3">
        <v>121.509352</v>
      </c>
      <c r="F1285" s="3" t="s">
        <v>156</v>
      </c>
      <c r="G1285" s="4" t="s">
        <v>4157</v>
      </c>
      <c r="H1285" s="3"/>
    </row>
    <row r="1286" ht="15.75" customHeight="1">
      <c r="A1286" s="4" t="s">
        <v>6764</v>
      </c>
      <c r="B1286" s="4" t="s">
        <v>6765</v>
      </c>
      <c r="C1286" s="4" t="s">
        <v>1692</v>
      </c>
      <c r="D1286" s="3">
        <v>25.031676</v>
      </c>
      <c r="E1286" s="3">
        <v>121.509054</v>
      </c>
      <c r="F1286" s="3" t="s">
        <v>156</v>
      </c>
      <c r="G1286" s="4" t="s">
        <v>4157</v>
      </c>
      <c r="H1286" s="3"/>
    </row>
    <row r="1287" ht="15.75" customHeight="1">
      <c r="A1287" s="4" t="s">
        <v>6766</v>
      </c>
      <c r="B1287" s="4" t="s">
        <v>6767</v>
      </c>
      <c r="C1287" s="4" t="s">
        <v>1692</v>
      </c>
      <c r="D1287" s="3">
        <v>25.032065</v>
      </c>
      <c r="E1287" s="3">
        <v>121.509006</v>
      </c>
      <c r="F1287" s="3" t="s">
        <v>156</v>
      </c>
      <c r="G1287" s="4" t="s">
        <v>4157</v>
      </c>
      <c r="H1287" s="3"/>
    </row>
    <row r="1288" ht="15.75" customHeight="1">
      <c r="A1288" s="4" t="s">
        <v>6768</v>
      </c>
      <c r="B1288" s="4" t="s">
        <v>6769</v>
      </c>
      <c r="C1288" s="4" t="s">
        <v>670</v>
      </c>
      <c r="D1288" s="3">
        <v>25.0317</v>
      </c>
      <c r="E1288" s="3">
        <v>121.508993</v>
      </c>
      <c r="F1288" s="3" t="s">
        <v>156</v>
      </c>
      <c r="G1288" s="4" t="s">
        <v>4157</v>
      </c>
      <c r="H1288" s="3"/>
    </row>
    <row r="1289" ht="15.75" customHeight="1">
      <c r="A1289" s="4" t="s">
        <v>6770</v>
      </c>
      <c r="B1289" s="4" t="s">
        <v>6771</v>
      </c>
      <c r="C1289" s="4" t="s">
        <v>2655</v>
      </c>
      <c r="D1289" s="3">
        <v>25.031748</v>
      </c>
      <c r="E1289" s="3">
        <v>121.50905</v>
      </c>
      <c r="F1289" s="3" t="s">
        <v>156</v>
      </c>
      <c r="G1289" s="4" t="s">
        <v>4157</v>
      </c>
      <c r="H1289" s="3"/>
    </row>
    <row r="1290" ht="15.75" customHeight="1">
      <c r="A1290" s="4" t="s">
        <v>6772</v>
      </c>
      <c r="B1290" s="4" t="s">
        <v>6773</v>
      </c>
      <c r="C1290" s="4" t="s">
        <v>658</v>
      </c>
      <c r="D1290" s="3">
        <v>25.03193</v>
      </c>
      <c r="E1290" s="3">
        <v>121.508905</v>
      </c>
      <c r="F1290" s="3" t="s">
        <v>156</v>
      </c>
      <c r="G1290" s="4" t="s">
        <v>4157</v>
      </c>
      <c r="H1290" s="3"/>
    </row>
    <row r="1291" ht="15.75" customHeight="1">
      <c r="A1291" s="4" t="s">
        <v>6774</v>
      </c>
      <c r="B1291" s="4" t="s">
        <v>6775</v>
      </c>
      <c r="C1291" s="4" t="s">
        <v>1256</v>
      </c>
      <c r="D1291" s="3">
        <v>25.03153</v>
      </c>
      <c r="E1291" s="3">
        <v>121.508199</v>
      </c>
      <c r="F1291" s="3" t="s">
        <v>156</v>
      </c>
      <c r="G1291" s="4" t="s">
        <v>4157</v>
      </c>
      <c r="H1291" s="3"/>
    </row>
    <row r="1292" ht="15.75" customHeight="1">
      <c r="A1292" s="4" t="s">
        <v>6776</v>
      </c>
      <c r="B1292" s="4" t="s">
        <v>6777</v>
      </c>
      <c r="C1292" s="4" t="s">
        <v>1248</v>
      </c>
      <c r="D1292" s="3">
        <v>25.032858</v>
      </c>
      <c r="E1292" s="3">
        <v>121.509722</v>
      </c>
      <c r="F1292" s="3" t="s">
        <v>130</v>
      </c>
      <c r="G1292" s="4" t="s">
        <v>4157</v>
      </c>
      <c r="H1292" s="3"/>
    </row>
    <row r="1293" ht="15.75" customHeight="1">
      <c r="A1293" s="4" t="s">
        <v>6778</v>
      </c>
      <c r="B1293" s="4" t="s">
        <v>6779</v>
      </c>
      <c r="C1293" s="4" t="s">
        <v>907</v>
      </c>
      <c r="D1293" s="3">
        <v>25.031146</v>
      </c>
      <c r="E1293" s="3">
        <v>121.508483</v>
      </c>
      <c r="F1293" s="3" t="s">
        <v>156</v>
      </c>
      <c r="G1293" s="4" t="s">
        <v>4157</v>
      </c>
      <c r="H1293" s="3"/>
    </row>
    <row r="1294" ht="15.75" customHeight="1">
      <c r="A1294" s="4" t="s">
        <v>6780</v>
      </c>
      <c r="B1294" s="4" t="s">
        <v>6781</v>
      </c>
      <c r="C1294" s="4" t="s">
        <v>2969</v>
      </c>
      <c r="D1294" s="3">
        <v>25.031699</v>
      </c>
      <c r="E1294" s="3">
        <v>121.508403</v>
      </c>
      <c r="F1294" s="3" t="s">
        <v>156</v>
      </c>
      <c r="G1294" s="4" t="s">
        <v>4157</v>
      </c>
      <c r="H1294" s="3"/>
    </row>
    <row r="1295" ht="15.75" customHeight="1">
      <c r="A1295" s="4" t="s">
        <v>6782</v>
      </c>
      <c r="B1295" s="4" t="s">
        <v>6783</v>
      </c>
      <c r="C1295" s="4" t="s">
        <v>1251</v>
      </c>
      <c r="D1295" s="3">
        <v>25.031561</v>
      </c>
      <c r="E1295" s="3">
        <v>121.508345</v>
      </c>
      <c r="F1295" s="3" t="s">
        <v>156</v>
      </c>
      <c r="G1295" s="4" t="s">
        <v>4157</v>
      </c>
      <c r="H1295" s="3"/>
    </row>
    <row r="1296" ht="15.75" customHeight="1">
      <c r="A1296" s="4" t="s">
        <v>6784</v>
      </c>
      <c r="B1296" s="4" t="s">
        <v>6785</v>
      </c>
      <c r="C1296" s="4" t="s">
        <v>2636</v>
      </c>
      <c r="D1296" s="3">
        <v>25.031253</v>
      </c>
      <c r="E1296" s="3">
        <v>121.509076</v>
      </c>
      <c r="F1296" s="3" t="s">
        <v>156</v>
      </c>
      <c r="G1296" s="4" t="s">
        <v>4157</v>
      </c>
      <c r="H1296" s="3"/>
    </row>
    <row r="1297" ht="15.75" customHeight="1">
      <c r="A1297" s="4" t="s">
        <v>6786</v>
      </c>
      <c r="B1297" s="4" t="s">
        <v>6787</v>
      </c>
      <c r="C1297" s="4" t="s">
        <v>2852</v>
      </c>
      <c r="D1297" s="3">
        <v>25.031567</v>
      </c>
      <c r="E1297" s="3">
        <v>121.509436</v>
      </c>
      <c r="F1297" s="3" t="s">
        <v>156</v>
      </c>
      <c r="G1297" s="4" t="s">
        <v>4157</v>
      </c>
      <c r="H1297" s="3"/>
    </row>
    <row r="1298" ht="15.75" customHeight="1">
      <c r="A1298" s="4" t="s">
        <v>6788</v>
      </c>
      <c r="B1298" s="4" t="s">
        <v>6789</v>
      </c>
      <c r="C1298" s="4" t="s">
        <v>655</v>
      </c>
      <c r="D1298" s="3">
        <v>25.031743</v>
      </c>
      <c r="E1298" s="3">
        <v>121.508977</v>
      </c>
      <c r="F1298" s="3" t="s">
        <v>156</v>
      </c>
      <c r="G1298" s="4" t="s">
        <v>4157</v>
      </c>
      <c r="H1298" s="3"/>
    </row>
    <row r="1299" ht="15.75" customHeight="1">
      <c r="A1299" s="4" t="s">
        <v>6790</v>
      </c>
      <c r="B1299" s="4" t="s">
        <v>6791</v>
      </c>
      <c r="C1299" s="4" t="s">
        <v>1245</v>
      </c>
      <c r="D1299" s="3">
        <v>25.032056</v>
      </c>
      <c r="E1299" s="3">
        <v>121.508981</v>
      </c>
      <c r="F1299" s="3" t="s">
        <v>156</v>
      </c>
      <c r="G1299" s="4" t="s">
        <v>4157</v>
      </c>
      <c r="H1299" s="3"/>
    </row>
    <row r="1300" ht="15.75" customHeight="1">
      <c r="A1300" s="4" t="s">
        <v>6792</v>
      </c>
      <c r="B1300" s="4" t="s">
        <v>6793</v>
      </c>
      <c r="C1300" s="4" t="s">
        <v>1245</v>
      </c>
      <c r="D1300" s="3">
        <v>25.031519</v>
      </c>
      <c r="E1300" s="3">
        <v>121.508082</v>
      </c>
      <c r="F1300" s="3" t="s">
        <v>156</v>
      </c>
      <c r="G1300" s="4" t="s">
        <v>4157</v>
      </c>
      <c r="H1300" s="3"/>
    </row>
    <row r="1301" ht="15.75" customHeight="1">
      <c r="A1301" s="4" t="s">
        <v>6794</v>
      </c>
      <c r="B1301" s="4" t="s">
        <v>6795</v>
      </c>
      <c r="C1301" s="4" t="s">
        <v>197</v>
      </c>
      <c r="D1301" s="3">
        <v>25.031292</v>
      </c>
      <c r="E1301" s="3">
        <v>121.508931</v>
      </c>
      <c r="F1301" s="3" t="s">
        <v>156</v>
      </c>
      <c r="G1301" s="4" t="s">
        <v>4157</v>
      </c>
      <c r="H1301" s="3"/>
    </row>
    <row r="1302" ht="15.75" customHeight="1">
      <c r="A1302" s="4" t="s">
        <v>6796</v>
      </c>
      <c r="B1302" s="4" t="s">
        <v>6797</v>
      </c>
      <c r="C1302" s="4" t="s">
        <v>204</v>
      </c>
      <c r="D1302" s="3">
        <v>25.031315</v>
      </c>
      <c r="E1302" s="3">
        <v>121.508818</v>
      </c>
      <c r="F1302" s="3" t="s">
        <v>156</v>
      </c>
      <c r="G1302" s="4" t="s">
        <v>4157</v>
      </c>
      <c r="H1302" s="3"/>
    </row>
    <row r="1303" ht="15.75" customHeight="1">
      <c r="A1303" s="4" t="s">
        <v>6798</v>
      </c>
      <c r="B1303" s="4" t="s">
        <v>6799</v>
      </c>
      <c r="C1303" s="4" t="s">
        <v>3257</v>
      </c>
      <c r="D1303" s="3">
        <v>25.031375</v>
      </c>
      <c r="E1303" s="3">
        <v>121.508869</v>
      </c>
      <c r="F1303" s="3" t="s">
        <v>156</v>
      </c>
      <c r="G1303" s="4" t="s">
        <v>4157</v>
      </c>
      <c r="H1303" s="3"/>
    </row>
    <row r="1304" ht="15.75" customHeight="1">
      <c r="A1304" s="4" t="s">
        <v>6800</v>
      </c>
      <c r="B1304" s="4" t="s">
        <v>6801</v>
      </c>
      <c r="C1304" s="4" t="s">
        <v>914</v>
      </c>
      <c r="D1304" s="3">
        <v>25.031384</v>
      </c>
      <c r="E1304" s="3">
        <v>121.508686</v>
      </c>
      <c r="F1304" s="3" t="s">
        <v>156</v>
      </c>
      <c r="G1304" s="4" t="s">
        <v>4157</v>
      </c>
      <c r="H1304" s="3"/>
    </row>
    <row r="1305" ht="15.75" customHeight="1">
      <c r="A1305" s="4" t="s">
        <v>6802</v>
      </c>
      <c r="B1305" s="4" t="s">
        <v>6803</v>
      </c>
      <c r="C1305" s="4" t="s">
        <v>910</v>
      </c>
      <c r="D1305" s="3">
        <v>25.031432</v>
      </c>
      <c r="E1305" s="3">
        <v>121.508556</v>
      </c>
      <c r="F1305" s="3" t="s">
        <v>156</v>
      </c>
      <c r="G1305" s="4" t="s">
        <v>4157</v>
      </c>
      <c r="H1305" s="3"/>
    </row>
    <row r="1306" ht="15.75" customHeight="1">
      <c r="A1306" s="4" t="s">
        <v>6804</v>
      </c>
      <c r="B1306" s="4" t="s">
        <v>6805</v>
      </c>
      <c r="C1306" s="4" t="s">
        <v>1024</v>
      </c>
      <c r="D1306" s="3">
        <v>25.031946</v>
      </c>
      <c r="E1306" s="3">
        <v>121.508097</v>
      </c>
      <c r="F1306" s="3" t="s">
        <v>156</v>
      </c>
      <c r="G1306" s="4" t="s">
        <v>4157</v>
      </c>
      <c r="H1306" s="3"/>
    </row>
    <row r="1307" ht="15.75" customHeight="1">
      <c r="A1307" s="4" t="s">
        <v>6806</v>
      </c>
      <c r="B1307" s="4" t="s">
        <v>6807</v>
      </c>
      <c r="C1307" s="4" t="s">
        <v>1015</v>
      </c>
      <c r="D1307" s="3">
        <v>25.031887</v>
      </c>
      <c r="E1307" s="3">
        <v>121.50825</v>
      </c>
      <c r="F1307" s="3" t="s">
        <v>156</v>
      </c>
      <c r="G1307" s="4" t="s">
        <v>4157</v>
      </c>
      <c r="H1307" s="3"/>
    </row>
    <row r="1308" ht="15.75" customHeight="1">
      <c r="A1308" s="4" t="s">
        <v>6808</v>
      </c>
      <c r="B1308" s="4" t="s">
        <v>6809</v>
      </c>
      <c r="C1308" s="4" t="s">
        <v>559</v>
      </c>
      <c r="D1308" s="3">
        <v>25.031439</v>
      </c>
      <c r="E1308" s="3">
        <v>121.509503</v>
      </c>
      <c r="F1308" s="3" t="s">
        <v>156</v>
      </c>
      <c r="G1308" s="4" t="s">
        <v>4157</v>
      </c>
      <c r="H1308" s="3"/>
    </row>
    <row r="1309" ht="15.75" customHeight="1">
      <c r="A1309" s="4" t="s">
        <v>6810</v>
      </c>
      <c r="B1309" s="4" t="s">
        <v>6811</v>
      </c>
      <c r="C1309" s="4" t="s">
        <v>559</v>
      </c>
      <c r="D1309" s="3">
        <v>25.032749</v>
      </c>
      <c r="E1309" s="3">
        <v>121.509371</v>
      </c>
      <c r="F1309" s="3" t="s">
        <v>130</v>
      </c>
      <c r="G1309" s="4" t="s">
        <v>4157</v>
      </c>
      <c r="H1309" s="3"/>
    </row>
    <row r="1310" ht="15.75" customHeight="1">
      <c r="A1310" s="4" t="s">
        <v>6812</v>
      </c>
      <c r="B1310" s="4" t="s">
        <v>6813</v>
      </c>
      <c r="C1310" s="4" t="s">
        <v>340</v>
      </c>
      <c r="D1310" s="3">
        <v>25.031972</v>
      </c>
      <c r="E1310" s="3">
        <v>121.509447</v>
      </c>
      <c r="F1310" s="3" t="s">
        <v>156</v>
      </c>
      <c r="G1310" s="4" t="s">
        <v>4157</v>
      </c>
      <c r="H1310" s="3"/>
    </row>
    <row r="1311" ht="15.75" customHeight="1">
      <c r="A1311" s="4" t="s">
        <v>6814</v>
      </c>
      <c r="B1311" s="4" t="s">
        <v>6815</v>
      </c>
      <c r="C1311" s="4" t="s">
        <v>2849</v>
      </c>
      <c r="D1311" s="3">
        <v>25.031582</v>
      </c>
      <c r="E1311" s="3">
        <v>121.509398</v>
      </c>
      <c r="F1311" s="3" t="s">
        <v>156</v>
      </c>
      <c r="G1311" s="4" t="s">
        <v>4157</v>
      </c>
      <c r="H1311" s="3"/>
    </row>
    <row r="1312" ht="15.75" customHeight="1">
      <c r="A1312" s="4" t="s">
        <v>6816</v>
      </c>
      <c r="B1312" s="4" t="s">
        <v>6817</v>
      </c>
      <c r="C1312" s="4" t="s">
        <v>2849</v>
      </c>
      <c r="D1312" s="3">
        <v>25.031368</v>
      </c>
      <c r="E1312" s="3">
        <v>121.50895</v>
      </c>
      <c r="F1312" s="3" t="s">
        <v>156</v>
      </c>
      <c r="G1312" s="4" t="s">
        <v>4157</v>
      </c>
      <c r="H1312" s="3"/>
    </row>
    <row r="1313" ht="15.75" customHeight="1">
      <c r="A1313" s="4" t="s">
        <v>6818</v>
      </c>
      <c r="B1313" s="4" t="s">
        <v>6819</v>
      </c>
      <c r="C1313" s="4" t="s">
        <v>206</v>
      </c>
      <c r="D1313" s="3">
        <v>25.031275</v>
      </c>
      <c r="E1313" s="3">
        <v>121.508857</v>
      </c>
      <c r="F1313" s="3" t="s">
        <v>156</v>
      </c>
      <c r="G1313" s="4" t="s">
        <v>4157</v>
      </c>
      <c r="H1313" s="3"/>
    </row>
    <row r="1314" ht="15.75" customHeight="1">
      <c r="A1314" s="4" t="s">
        <v>6820</v>
      </c>
      <c r="B1314" s="4" t="s">
        <v>6821</v>
      </c>
      <c r="C1314" s="4" t="s">
        <v>210</v>
      </c>
      <c r="D1314" s="3">
        <v>25.031344</v>
      </c>
      <c r="E1314" s="3">
        <v>121.508801</v>
      </c>
      <c r="F1314" s="3" t="s">
        <v>156</v>
      </c>
      <c r="G1314" s="4" t="s">
        <v>4157</v>
      </c>
      <c r="H1314" s="3"/>
    </row>
    <row r="1315" ht="15.75" customHeight="1">
      <c r="A1315" s="4" t="s">
        <v>6822</v>
      </c>
      <c r="B1315" s="4" t="s">
        <v>6823</v>
      </c>
      <c r="C1315" s="4" t="s">
        <v>923</v>
      </c>
      <c r="D1315" s="3">
        <v>25.031322</v>
      </c>
      <c r="E1315" s="3">
        <v>121.508702</v>
      </c>
      <c r="F1315" s="3" t="s">
        <v>156</v>
      </c>
      <c r="G1315" s="4" t="s">
        <v>4157</v>
      </c>
      <c r="H1315" s="3"/>
    </row>
    <row r="1316" ht="15.75" customHeight="1">
      <c r="A1316" s="4" t="s">
        <v>6824</v>
      </c>
      <c r="B1316" s="4" t="s">
        <v>6825</v>
      </c>
      <c r="C1316" s="4" t="s">
        <v>191</v>
      </c>
      <c r="D1316" s="3">
        <v>25.031497</v>
      </c>
      <c r="E1316" s="3">
        <v>121.508176</v>
      </c>
      <c r="F1316" s="3" t="s">
        <v>156</v>
      </c>
      <c r="G1316" s="4" t="s">
        <v>4157</v>
      </c>
      <c r="H1316" s="3"/>
    </row>
    <row r="1317" ht="15.75" customHeight="1">
      <c r="A1317" s="4" t="s">
        <v>6826</v>
      </c>
      <c r="B1317" s="4" t="s">
        <v>6827</v>
      </c>
      <c r="C1317" s="4" t="s">
        <v>822</v>
      </c>
      <c r="D1317" s="3">
        <v>25.030676</v>
      </c>
      <c r="E1317" s="3">
        <v>121.509246</v>
      </c>
      <c r="F1317" s="3" t="s">
        <v>156</v>
      </c>
      <c r="G1317" s="4" t="s">
        <v>4157</v>
      </c>
      <c r="H1317" s="3"/>
    </row>
    <row r="1318" ht="15.75" customHeight="1">
      <c r="A1318" s="4" t="s">
        <v>6828</v>
      </c>
      <c r="B1318" s="4" t="s">
        <v>6829</v>
      </c>
      <c r="C1318" s="4" t="s">
        <v>652</v>
      </c>
      <c r="D1318" s="3">
        <v>25.031672</v>
      </c>
      <c r="E1318" s="3">
        <v>121.509098</v>
      </c>
      <c r="F1318" s="3" t="s">
        <v>156</v>
      </c>
      <c r="G1318" s="4" t="s">
        <v>4157</v>
      </c>
      <c r="H1318" s="3"/>
    </row>
    <row r="1319" ht="15.75" customHeight="1">
      <c r="A1319" s="4" t="s">
        <v>6830</v>
      </c>
      <c r="B1319" s="4" t="s">
        <v>6831</v>
      </c>
      <c r="C1319" s="4" t="s">
        <v>3432</v>
      </c>
      <c r="D1319" s="3">
        <v>25.0317</v>
      </c>
      <c r="E1319" s="3">
        <v>121.509138</v>
      </c>
      <c r="F1319" s="3" t="s">
        <v>156</v>
      </c>
      <c r="G1319" s="4" t="s">
        <v>4157</v>
      </c>
      <c r="H1319" s="3"/>
    </row>
    <row r="1320" ht="15.75" customHeight="1">
      <c r="A1320" s="4" t="s">
        <v>6832</v>
      </c>
      <c r="B1320" s="4" t="s">
        <v>6833</v>
      </c>
      <c r="C1320" s="4" t="s">
        <v>2843</v>
      </c>
      <c r="D1320" s="3">
        <v>25.031498</v>
      </c>
      <c r="E1320" s="3">
        <v>121.509647</v>
      </c>
      <c r="F1320" s="3" t="s">
        <v>44</v>
      </c>
      <c r="G1320" s="4" t="s">
        <v>4157</v>
      </c>
      <c r="H1320" s="3"/>
    </row>
    <row r="1321" ht="15.75" customHeight="1">
      <c r="A1321" s="4" t="s">
        <v>6834</v>
      </c>
      <c r="B1321" s="4" t="s">
        <v>6835</v>
      </c>
      <c r="C1321" s="4" t="s">
        <v>2843</v>
      </c>
      <c r="D1321" s="3">
        <v>25.031621</v>
      </c>
      <c r="E1321" s="3">
        <v>121.508996</v>
      </c>
      <c r="F1321" s="3" t="s">
        <v>156</v>
      </c>
      <c r="G1321" s="4" t="s">
        <v>4157</v>
      </c>
      <c r="H1321" s="3"/>
    </row>
    <row r="1322" ht="15.75" customHeight="1">
      <c r="A1322" s="4" t="s">
        <v>6836</v>
      </c>
      <c r="B1322" s="4" t="s">
        <v>6837</v>
      </c>
      <c r="C1322" s="4" t="s">
        <v>683</v>
      </c>
      <c r="D1322" s="3">
        <v>25.032094</v>
      </c>
      <c r="E1322" s="3">
        <v>121.508978</v>
      </c>
      <c r="F1322" s="3" t="s">
        <v>156</v>
      </c>
      <c r="G1322" s="4" t="s">
        <v>4157</v>
      </c>
      <c r="H1322" s="3"/>
    </row>
    <row r="1323" ht="15.75" customHeight="1">
      <c r="A1323" s="4" t="s">
        <v>6838</v>
      </c>
      <c r="B1323" s="4" t="s">
        <v>6839</v>
      </c>
      <c r="C1323" s="4" t="s">
        <v>2423</v>
      </c>
      <c r="D1323" s="3">
        <v>25.031795</v>
      </c>
      <c r="E1323" s="3">
        <v>121.509034</v>
      </c>
      <c r="F1323" s="3" t="s">
        <v>156</v>
      </c>
      <c r="G1323" s="4" t="s">
        <v>4157</v>
      </c>
      <c r="H1323" s="3"/>
    </row>
    <row r="1324" ht="15.75" customHeight="1">
      <c r="A1324" s="4" t="s">
        <v>6840</v>
      </c>
      <c r="B1324" s="4" t="s">
        <v>6841</v>
      </c>
      <c r="C1324" s="4" t="s">
        <v>2864</v>
      </c>
      <c r="D1324" s="3">
        <v>25.031579</v>
      </c>
      <c r="E1324" s="3">
        <v>121.509422</v>
      </c>
      <c r="F1324" s="3" t="s">
        <v>156</v>
      </c>
      <c r="G1324" s="4" t="s">
        <v>4157</v>
      </c>
      <c r="H1324" s="3"/>
    </row>
    <row r="1325" ht="15.75" customHeight="1">
      <c r="A1325" s="4" t="s">
        <v>6842</v>
      </c>
      <c r="B1325" s="4" t="s">
        <v>6843</v>
      </c>
      <c r="C1325" s="4" t="s">
        <v>760</v>
      </c>
      <c r="D1325" s="3">
        <v>25.031388</v>
      </c>
      <c r="E1325" s="3">
        <v>121.50947</v>
      </c>
      <c r="F1325" s="3" t="s">
        <v>156</v>
      </c>
      <c r="G1325" s="4" t="s">
        <v>4157</v>
      </c>
      <c r="H1325" s="3"/>
    </row>
    <row r="1326" ht="15.75" customHeight="1">
      <c r="A1326" s="4" t="s">
        <v>6844</v>
      </c>
      <c r="B1326" s="4" t="s">
        <v>6845</v>
      </c>
      <c r="C1326" s="4" t="s">
        <v>825</v>
      </c>
      <c r="D1326" s="3">
        <v>25.031077</v>
      </c>
      <c r="E1326" s="3">
        <v>121.509258</v>
      </c>
      <c r="F1326" s="3" t="s">
        <v>156</v>
      </c>
      <c r="G1326" s="4" t="s">
        <v>4157</v>
      </c>
      <c r="H1326" s="3"/>
    </row>
    <row r="1327" ht="15.75" customHeight="1">
      <c r="A1327" s="4" t="s">
        <v>6846</v>
      </c>
      <c r="B1327" s="4" t="s">
        <v>6847</v>
      </c>
      <c r="C1327" s="4" t="s">
        <v>1263</v>
      </c>
      <c r="D1327" s="3">
        <v>25.031581</v>
      </c>
      <c r="E1327" s="3">
        <v>121.508185</v>
      </c>
      <c r="F1327" s="3" t="s">
        <v>156</v>
      </c>
      <c r="G1327" s="4" t="s">
        <v>4157</v>
      </c>
      <c r="H1327" s="3"/>
    </row>
    <row r="1328" ht="15.75" customHeight="1">
      <c r="A1328" s="4" t="s">
        <v>6848</v>
      </c>
      <c r="B1328" s="4" t="s">
        <v>6849</v>
      </c>
      <c r="C1328" s="4" t="s">
        <v>1263</v>
      </c>
      <c r="D1328" s="3">
        <v>25.032223</v>
      </c>
      <c r="E1328" s="3">
        <v>121.510414</v>
      </c>
      <c r="F1328" s="3" t="s">
        <v>44</v>
      </c>
      <c r="G1328" s="4" t="s">
        <v>4157</v>
      </c>
      <c r="H1328" s="3"/>
    </row>
    <row r="1329" ht="15.75" customHeight="1">
      <c r="A1329" s="4" t="s">
        <v>6850</v>
      </c>
      <c r="B1329" s="4" t="s">
        <v>6851</v>
      </c>
      <c r="C1329" s="4" t="s">
        <v>1033</v>
      </c>
      <c r="D1329" s="3">
        <v>25.032081</v>
      </c>
      <c r="E1329" s="3">
        <v>121.508144</v>
      </c>
      <c r="F1329" s="3" t="s">
        <v>56</v>
      </c>
      <c r="G1329" s="4" t="s">
        <v>4157</v>
      </c>
      <c r="H1329" s="3"/>
    </row>
    <row r="1330" ht="15.75" customHeight="1">
      <c r="A1330" s="4" t="s">
        <v>6852</v>
      </c>
      <c r="B1330" s="4" t="s">
        <v>6853</v>
      </c>
      <c r="C1330" s="4" t="s">
        <v>2858</v>
      </c>
      <c r="D1330" s="3">
        <v>25.032202</v>
      </c>
      <c r="E1330" s="3">
        <v>121.508943</v>
      </c>
      <c r="F1330" s="3" t="s">
        <v>56</v>
      </c>
      <c r="G1330" s="4" t="s">
        <v>4157</v>
      </c>
      <c r="H1330" s="3"/>
    </row>
    <row r="1331" ht="15.75" customHeight="1">
      <c r="A1331" s="4" t="s">
        <v>6854</v>
      </c>
      <c r="B1331" s="4" t="s">
        <v>6855</v>
      </c>
      <c r="C1331" s="4" t="s">
        <v>2858</v>
      </c>
      <c r="D1331" s="3">
        <v>25.031584</v>
      </c>
      <c r="E1331" s="3">
        <v>121.509336</v>
      </c>
      <c r="F1331" s="3" t="s">
        <v>156</v>
      </c>
      <c r="G1331" s="4" t="s">
        <v>4157</v>
      </c>
      <c r="H1331" s="3"/>
    </row>
    <row r="1332" ht="15.75" customHeight="1">
      <c r="A1332" s="4" t="s">
        <v>6856</v>
      </c>
      <c r="B1332" s="4" t="s">
        <v>6857</v>
      </c>
      <c r="C1332" s="4" t="s">
        <v>693</v>
      </c>
      <c r="D1332" s="3">
        <v>25.032093</v>
      </c>
      <c r="E1332" s="3">
        <v>121.508976</v>
      </c>
      <c r="F1332" s="3" t="s">
        <v>156</v>
      </c>
      <c r="G1332" s="4" t="s">
        <v>4157</v>
      </c>
      <c r="H1332" s="3"/>
    </row>
    <row r="1333" ht="15.75" customHeight="1">
      <c r="A1333" s="4" t="s">
        <v>6858</v>
      </c>
      <c r="B1333" s="4" t="s">
        <v>6859</v>
      </c>
      <c r="C1333" s="4" t="s">
        <v>6860</v>
      </c>
      <c r="D1333" s="3">
        <v>25.031687</v>
      </c>
      <c r="E1333" s="3">
        <v>121.50907</v>
      </c>
      <c r="F1333" s="3" t="s">
        <v>156</v>
      </c>
      <c r="G1333" s="4" t="s">
        <v>4157</v>
      </c>
      <c r="H1333" s="3"/>
    </row>
    <row r="1334" ht="15.75" customHeight="1">
      <c r="A1334" s="4" t="s">
        <v>6861</v>
      </c>
      <c r="B1334" s="4" t="s">
        <v>6862</v>
      </c>
      <c r="C1334" s="4" t="s">
        <v>215</v>
      </c>
      <c r="D1334" s="3">
        <v>25.031306</v>
      </c>
      <c r="E1334" s="3">
        <v>121.508837</v>
      </c>
      <c r="F1334" s="3" t="s">
        <v>156</v>
      </c>
      <c r="G1334" s="4" t="s">
        <v>4157</v>
      </c>
      <c r="H1334" s="3"/>
    </row>
    <row r="1335" ht="15.75" customHeight="1">
      <c r="A1335" s="4" t="s">
        <v>6863</v>
      </c>
      <c r="B1335" s="4" t="s">
        <v>6864</v>
      </c>
      <c r="C1335" s="4" t="s">
        <v>3070</v>
      </c>
      <c r="D1335" s="3">
        <v>25.031277</v>
      </c>
      <c r="E1335" s="3">
        <v>121.508843</v>
      </c>
      <c r="F1335" s="3" t="s">
        <v>156</v>
      </c>
      <c r="G1335" s="4" t="s">
        <v>4157</v>
      </c>
      <c r="H1335" s="3"/>
    </row>
    <row r="1336" ht="15.75" customHeight="1">
      <c r="A1336" s="4" t="s">
        <v>6865</v>
      </c>
      <c r="B1336" s="4" t="s">
        <v>6866</v>
      </c>
      <c r="C1336" s="4" t="s">
        <v>100</v>
      </c>
      <c r="D1336" s="3">
        <v>25.032149</v>
      </c>
      <c r="E1336" s="3">
        <v>121.509292</v>
      </c>
      <c r="F1336" s="3" t="s">
        <v>156</v>
      </c>
      <c r="G1336" s="4" t="s">
        <v>4157</v>
      </c>
      <c r="H1336" s="3"/>
    </row>
    <row r="1337" ht="15.75" customHeight="1">
      <c r="A1337" s="4" t="s">
        <v>6867</v>
      </c>
      <c r="B1337" s="4" t="s">
        <v>6868</v>
      </c>
      <c r="C1337" s="4" t="s">
        <v>3275</v>
      </c>
      <c r="D1337" s="3">
        <v>25.032232</v>
      </c>
      <c r="E1337" s="3">
        <v>121.509683</v>
      </c>
      <c r="F1337" s="3" t="s">
        <v>156</v>
      </c>
      <c r="G1337" s="4" t="s">
        <v>4157</v>
      </c>
      <c r="H1337" s="3"/>
    </row>
    <row r="1338" ht="15.75" customHeight="1">
      <c r="A1338" s="4" t="s">
        <v>6869</v>
      </c>
      <c r="B1338" s="4" t="s">
        <v>6870</v>
      </c>
      <c r="C1338" s="4" t="s">
        <v>229</v>
      </c>
      <c r="D1338" s="3">
        <v>25.0314</v>
      </c>
      <c r="E1338" s="3">
        <v>121.508881</v>
      </c>
      <c r="F1338" s="3" t="s">
        <v>156</v>
      </c>
      <c r="G1338" s="4" t="s">
        <v>4157</v>
      </c>
      <c r="H1338" s="3"/>
    </row>
    <row r="1339" ht="15.75" customHeight="1">
      <c r="A1339" s="4" t="s">
        <v>6871</v>
      </c>
      <c r="B1339" s="4" t="s">
        <v>6872</v>
      </c>
      <c r="C1339" s="4" t="s">
        <v>934</v>
      </c>
      <c r="D1339" s="3">
        <v>25.031257</v>
      </c>
      <c r="E1339" s="3">
        <v>121.508644</v>
      </c>
      <c r="F1339" s="3" t="s">
        <v>156</v>
      </c>
      <c r="G1339" s="4" t="s">
        <v>4157</v>
      </c>
      <c r="H1339" s="3"/>
    </row>
    <row r="1340" ht="15.75" customHeight="1">
      <c r="A1340" s="4" t="s">
        <v>6873</v>
      </c>
      <c r="B1340" s="4" t="s">
        <v>6874</v>
      </c>
      <c r="C1340" s="4" t="s">
        <v>220</v>
      </c>
      <c r="D1340" s="3">
        <v>25.031343</v>
      </c>
      <c r="E1340" s="3">
        <v>121.508833</v>
      </c>
      <c r="F1340" s="3" t="s">
        <v>156</v>
      </c>
      <c r="G1340" s="4" t="s">
        <v>4157</v>
      </c>
      <c r="H1340" s="3"/>
    </row>
    <row r="1341" ht="15.75" customHeight="1">
      <c r="A1341" s="4" t="s">
        <v>6875</v>
      </c>
      <c r="B1341" s="4" t="s">
        <v>6876</v>
      </c>
      <c r="C1341" s="4" t="s">
        <v>1267</v>
      </c>
      <c r="D1341" s="3">
        <v>25.031913</v>
      </c>
      <c r="E1341" s="3">
        <v>121.508127</v>
      </c>
      <c r="F1341" s="3" t="s">
        <v>156</v>
      </c>
      <c r="G1341" s="4" t="s">
        <v>4157</v>
      </c>
      <c r="H1341" s="3"/>
    </row>
    <row r="1342" ht="15.75" customHeight="1">
      <c r="A1342" s="4" t="s">
        <v>6877</v>
      </c>
      <c r="B1342" s="4" t="s">
        <v>6878</v>
      </c>
      <c r="C1342" s="4" t="s">
        <v>1267</v>
      </c>
      <c r="D1342" s="3">
        <v>25.031291</v>
      </c>
      <c r="E1342" s="3">
        <v>121.50882</v>
      </c>
      <c r="F1342" s="3" t="s">
        <v>156</v>
      </c>
      <c r="G1342" s="4" t="s">
        <v>4157</v>
      </c>
      <c r="H1342" s="3"/>
    </row>
    <row r="1343" ht="15.75" customHeight="1">
      <c r="A1343" s="4" t="s">
        <v>6879</v>
      </c>
      <c r="B1343" s="4" t="s">
        <v>6880</v>
      </c>
      <c r="C1343" s="4" t="s">
        <v>226</v>
      </c>
      <c r="D1343" s="3">
        <v>25.032836</v>
      </c>
      <c r="E1343" s="3">
        <v>121.50942</v>
      </c>
      <c r="F1343" s="3" t="s">
        <v>130</v>
      </c>
      <c r="G1343" s="4" t="s">
        <v>4157</v>
      </c>
      <c r="H1343" s="3"/>
    </row>
    <row r="1344" ht="15.75" customHeight="1">
      <c r="A1344" s="4" t="s">
        <v>6881</v>
      </c>
      <c r="B1344" s="4" t="s">
        <v>6882</v>
      </c>
      <c r="C1344" s="4" t="s">
        <v>691</v>
      </c>
      <c r="D1344" s="3">
        <v>25.031645</v>
      </c>
      <c r="E1344" s="3">
        <v>121.508975</v>
      </c>
      <c r="F1344" s="3" t="s">
        <v>156</v>
      </c>
      <c r="G1344" s="4" t="s">
        <v>4157</v>
      </c>
      <c r="H1344" s="3"/>
    </row>
    <row r="1345" ht="15.75" customHeight="1">
      <c r="A1345" s="4" t="s">
        <v>6883</v>
      </c>
      <c r="B1345" s="4" t="s">
        <v>6884</v>
      </c>
      <c r="C1345" s="4" t="s">
        <v>689</v>
      </c>
      <c r="D1345" s="3">
        <v>25.03188</v>
      </c>
      <c r="E1345" s="3">
        <v>121.508717</v>
      </c>
      <c r="F1345" s="3" t="s">
        <v>156</v>
      </c>
      <c r="G1345" s="4" t="s">
        <v>4157</v>
      </c>
      <c r="H1345" s="3"/>
    </row>
    <row r="1346" ht="15.75" customHeight="1">
      <c r="A1346" s="4" t="s">
        <v>6885</v>
      </c>
      <c r="B1346" s="4" t="s">
        <v>6886</v>
      </c>
      <c r="C1346" s="4" t="s">
        <v>679</v>
      </c>
      <c r="D1346" s="3">
        <v>25.031907</v>
      </c>
      <c r="E1346" s="3">
        <v>121.508852</v>
      </c>
      <c r="F1346" s="3" t="s">
        <v>156</v>
      </c>
      <c r="G1346" s="4" t="s">
        <v>4157</v>
      </c>
      <c r="H1346" s="3"/>
    </row>
    <row r="1347" ht="15.75" customHeight="1">
      <c r="A1347" s="4" t="s">
        <v>6887</v>
      </c>
      <c r="B1347" s="4" t="s">
        <v>6888</v>
      </c>
      <c r="C1347" s="4" t="s">
        <v>646</v>
      </c>
      <c r="D1347" s="3">
        <v>25.032824</v>
      </c>
      <c r="E1347" s="3">
        <v>121.509233</v>
      </c>
      <c r="F1347" s="3" t="s">
        <v>130</v>
      </c>
      <c r="G1347" s="4" t="s">
        <v>4157</v>
      </c>
      <c r="H1347" s="3"/>
    </row>
    <row r="1348" ht="15.75" customHeight="1">
      <c r="A1348" s="4" t="s">
        <v>6889</v>
      </c>
      <c r="B1348" s="4" t="s">
        <v>6890</v>
      </c>
      <c r="C1348" s="4" t="s">
        <v>1027</v>
      </c>
      <c r="D1348" s="3">
        <v>25.03169</v>
      </c>
      <c r="E1348" s="3">
        <v>121.508428</v>
      </c>
      <c r="F1348" s="3" t="s">
        <v>156</v>
      </c>
      <c r="G1348" s="4" t="s">
        <v>4157</v>
      </c>
      <c r="H1348" s="3"/>
    </row>
    <row r="1349" ht="15.75" customHeight="1">
      <c r="A1349" s="7" t="s">
        <v>6891</v>
      </c>
      <c r="B1349" s="4" t="s">
        <v>6892</v>
      </c>
      <c r="C1349" s="9" t="s">
        <v>1315</v>
      </c>
      <c r="D1349" s="3">
        <v>25.03145</v>
      </c>
      <c r="E1349" s="3">
        <v>121.508113</v>
      </c>
      <c r="F1349" s="3" t="s">
        <v>156</v>
      </c>
      <c r="G1349" s="4" t="s">
        <v>4157</v>
      </c>
      <c r="H1349" s="3"/>
    </row>
    <row r="1350" ht="15.75" customHeight="1">
      <c r="A1350" s="4" t="s">
        <v>6893</v>
      </c>
      <c r="B1350" s="4" t="s">
        <v>6894</v>
      </c>
      <c r="C1350" s="4" t="s">
        <v>1737</v>
      </c>
      <c r="D1350" s="3">
        <v>25.031634</v>
      </c>
      <c r="E1350" s="3">
        <v>121.508209</v>
      </c>
      <c r="F1350" s="3" t="s">
        <v>156</v>
      </c>
      <c r="G1350" s="4" t="s">
        <v>4157</v>
      </c>
      <c r="H1350" s="3"/>
    </row>
    <row r="1351" ht="15.75" customHeight="1">
      <c r="A1351" s="4" t="s">
        <v>6895</v>
      </c>
      <c r="B1351" s="4" t="s">
        <v>6896</v>
      </c>
      <c r="C1351" s="4" t="s">
        <v>1119</v>
      </c>
      <c r="D1351" s="3">
        <v>25.031657</v>
      </c>
      <c r="E1351" s="3">
        <v>121.50932</v>
      </c>
      <c r="F1351" s="3" t="s">
        <v>156</v>
      </c>
      <c r="G1351" s="4" t="s">
        <v>4157</v>
      </c>
      <c r="H1351" s="3"/>
    </row>
    <row r="1352" ht="15.75" customHeight="1">
      <c r="A1352" s="4" t="s">
        <v>6897</v>
      </c>
      <c r="B1352" s="4" t="s">
        <v>6898</v>
      </c>
      <c r="C1352" s="4" t="s">
        <v>905</v>
      </c>
      <c r="D1352" s="3">
        <v>25.031255</v>
      </c>
      <c r="E1352" s="3">
        <v>121.508559</v>
      </c>
      <c r="F1352" s="3" t="s">
        <v>156</v>
      </c>
      <c r="G1352" s="4" t="s">
        <v>4157</v>
      </c>
      <c r="H1352" s="3"/>
    </row>
    <row r="1353" ht="15.75" customHeight="1">
      <c r="A1353" s="4" t="s">
        <v>6899</v>
      </c>
      <c r="B1353" s="4" t="s">
        <v>6900</v>
      </c>
      <c r="C1353" s="4" t="s">
        <v>259</v>
      </c>
      <c r="D1353" s="3">
        <v>25.031272</v>
      </c>
      <c r="E1353" s="3">
        <v>121.508886</v>
      </c>
      <c r="F1353" s="3" t="s">
        <v>156</v>
      </c>
      <c r="G1353" s="4" t="s">
        <v>4157</v>
      </c>
      <c r="H1353" s="3"/>
    </row>
    <row r="1354" ht="15.75" customHeight="1">
      <c r="A1354" s="4" t="s">
        <v>6901</v>
      </c>
      <c r="B1354" s="4" t="s">
        <v>6902</v>
      </c>
      <c r="C1354" s="4" t="s">
        <v>259</v>
      </c>
      <c r="D1354" s="3">
        <v>25.032117</v>
      </c>
      <c r="E1354" s="3">
        <v>121.510465</v>
      </c>
      <c r="F1354" s="3" t="s">
        <v>44</v>
      </c>
      <c r="G1354" s="4" t="s">
        <v>4157</v>
      </c>
      <c r="H1354" s="3"/>
    </row>
    <row r="1355" ht="15.75" customHeight="1">
      <c r="A1355" s="4" t="s">
        <v>6903</v>
      </c>
      <c r="B1355" s="4" t="s">
        <v>6904</v>
      </c>
      <c r="C1355" s="4" t="s">
        <v>2683</v>
      </c>
      <c r="D1355" s="3">
        <v>25.031557</v>
      </c>
      <c r="E1355" s="3">
        <v>121.508161</v>
      </c>
      <c r="F1355" s="3" t="s">
        <v>156</v>
      </c>
      <c r="G1355" s="4" t="s">
        <v>4157</v>
      </c>
      <c r="H1355" s="3"/>
    </row>
    <row r="1356" ht="15.75" customHeight="1">
      <c r="A1356" s="4" t="s">
        <v>6905</v>
      </c>
      <c r="B1356" s="4" t="s">
        <v>6906</v>
      </c>
      <c r="C1356" s="4" t="s">
        <v>1300</v>
      </c>
      <c r="D1356" s="3">
        <v>25.031512</v>
      </c>
      <c r="E1356" s="3">
        <v>121.50824</v>
      </c>
      <c r="F1356" s="3" t="s">
        <v>156</v>
      </c>
      <c r="G1356" s="4" t="s">
        <v>4157</v>
      </c>
      <c r="H1356" s="3"/>
    </row>
    <row r="1357" ht="15.75" customHeight="1">
      <c r="A1357" s="4" t="s">
        <v>6907</v>
      </c>
      <c r="B1357" s="4" t="s">
        <v>6908</v>
      </c>
      <c r="C1357" s="4" t="s">
        <v>217</v>
      </c>
      <c r="D1357" s="3">
        <v>25.031284</v>
      </c>
      <c r="E1357" s="3">
        <v>121.508834</v>
      </c>
      <c r="F1357" s="3" t="s">
        <v>156</v>
      </c>
      <c r="G1357" s="4" t="s">
        <v>4157</v>
      </c>
      <c r="H1357" s="3"/>
    </row>
    <row r="1358" ht="15.75" customHeight="1">
      <c r="A1358" s="4" t="s">
        <v>6909</v>
      </c>
      <c r="B1358" s="4" t="s">
        <v>6910</v>
      </c>
      <c r="C1358" s="4" t="s">
        <v>2115</v>
      </c>
      <c r="D1358" s="3">
        <v>25.031303</v>
      </c>
      <c r="E1358" s="3">
        <v>121.508772</v>
      </c>
      <c r="F1358" s="3" t="s">
        <v>156</v>
      </c>
      <c r="G1358" s="4" t="s">
        <v>4157</v>
      </c>
      <c r="H1358" s="3"/>
    </row>
    <row r="1359" ht="15.75" customHeight="1">
      <c r="A1359" s="4" t="s">
        <v>6911</v>
      </c>
      <c r="B1359" s="4" t="s">
        <v>6912</v>
      </c>
      <c r="C1359" s="4" t="s">
        <v>1280</v>
      </c>
      <c r="D1359" s="3">
        <v>25.03148</v>
      </c>
      <c r="E1359" s="3">
        <v>121.508089</v>
      </c>
      <c r="F1359" s="3" t="s">
        <v>156</v>
      </c>
      <c r="G1359" s="4" t="s">
        <v>4157</v>
      </c>
      <c r="H1359" s="3"/>
    </row>
    <row r="1360" ht="15.75" customHeight="1">
      <c r="A1360" s="4" t="s">
        <v>6913</v>
      </c>
      <c r="B1360" s="4" t="s">
        <v>6914</v>
      </c>
      <c r="C1360" s="4" t="s">
        <v>3086</v>
      </c>
      <c r="D1360" s="3">
        <v>25.031585</v>
      </c>
      <c r="E1360" s="3">
        <v>121.509032</v>
      </c>
      <c r="F1360" s="3" t="s">
        <v>156</v>
      </c>
      <c r="G1360" s="4" t="s">
        <v>4157</v>
      </c>
      <c r="H1360" s="3"/>
    </row>
    <row r="1361" ht="15.75" customHeight="1">
      <c r="A1361" s="4" t="s">
        <v>6915</v>
      </c>
      <c r="B1361" s="4" t="s">
        <v>6916</v>
      </c>
      <c r="C1361" s="4" t="s">
        <v>2889</v>
      </c>
      <c r="D1361" s="3">
        <v>25.03176</v>
      </c>
      <c r="E1361" s="3">
        <v>121.510446</v>
      </c>
      <c r="F1361" s="3" t="s">
        <v>44</v>
      </c>
      <c r="G1361" s="4" t="s">
        <v>4157</v>
      </c>
      <c r="H1361" s="3"/>
    </row>
    <row r="1362" ht="15.75" customHeight="1">
      <c r="A1362" s="4" t="s">
        <v>6917</v>
      </c>
      <c r="B1362" s="4" t="s">
        <v>6918</v>
      </c>
      <c r="C1362" s="4" t="s">
        <v>2877</v>
      </c>
      <c r="D1362" s="3">
        <v>25.031637</v>
      </c>
      <c r="E1362" s="3">
        <v>121.509515</v>
      </c>
      <c r="F1362" s="3" t="s">
        <v>156</v>
      </c>
      <c r="G1362" s="4" t="s">
        <v>4157</v>
      </c>
      <c r="H1362" s="3"/>
    </row>
    <row r="1363" ht="15.75" customHeight="1">
      <c r="A1363" s="4" t="s">
        <v>6919</v>
      </c>
      <c r="B1363" s="4" t="s">
        <v>6920</v>
      </c>
      <c r="C1363" s="4" t="s">
        <v>3463</v>
      </c>
      <c r="D1363" s="3">
        <v>25.031327</v>
      </c>
      <c r="E1363" s="3">
        <v>121.509149</v>
      </c>
      <c r="F1363" s="3" t="s">
        <v>156</v>
      </c>
      <c r="G1363" s="4" t="s">
        <v>4157</v>
      </c>
      <c r="H1363" s="3"/>
    </row>
    <row r="1364" ht="15.75" customHeight="1">
      <c r="A1364" s="4" t="s">
        <v>6921</v>
      </c>
      <c r="B1364" s="4" t="s">
        <v>6922</v>
      </c>
      <c r="C1364" s="4" t="s">
        <v>828</v>
      </c>
      <c r="D1364" s="3">
        <v>25.030998</v>
      </c>
      <c r="E1364" s="3">
        <v>121.509242</v>
      </c>
      <c r="F1364" s="3" t="s">
        <v>156</v>
      </c>
      <c r="G1364" s="4" t="s">
        <v>4157</v>
      </c>
      <c r="H1364" s="3"/>
    </row>
    <row r="1365" ht="15.75" customHeight="1">
      <c r="A1365" s="4" t="s">
        <v>6923</v>
      </c>
      <c r="B1365" s="4" t="s">
        <v>6924</v>
      </c>
      <c r="C1365" s="4" t="s">
        <v>3481</v>
      </c>
      <c r="D1365" s="3">
        <v>25.031321</v>
      </c>
      <c r="E1365" s="3">
        <v>121.509112</v>
      </c>
      <c r="F1365" s="3" t="s">
        <v>156</v>
      </c>
      <c r="G1365" s="4" t="s">
        <v>4157</v>
      </c>
      <c r="H1365" s="3"/>
    </row>
    <row r="1366" ht="15.75" customHeight="1">
      <c r="A1366" s="4" t="s">
        <v>6925</v>
      </c>
      <c r="B1366" s="4" t="s">
        <v>6926</v>
      </c>
      <c r="C1366" s="4" t="s">
        <v>1725</v>
      </c>
      <c r="D1366" s="3">
        <v>25.031505</v>
      </c>
      <c r="E1366" s="3">
        <v>121.508122</v>
      </c>
      <c r="F1366" s="3" t="s">
        <v>156</v>
      </c>
      <c r="G1366" s="4" t="s">
        <v>4157</v>
      </c>
      <c r="H1366" s="3"/>
    </row>
    <row r="1367" ht="15.75" customHeight="1">
      <c r="A1367" s="4" t="s">
        <v>6927</v>
      </c>
      <c r="B1367" s="4" t="s">
        <v>6928</v>
      </c>
      <c r="C1367" s="4" t="s">
        <v>1305</v>
      </c>
      <c r="D1367" s="3">
        <v>25.03156</v>
      </c>
      <c r="E1367" s="3">
        <v>121.508126</v>
      </c>
      <c r="F1367" s="3" t="s">
        <v>156</v>
      </c>
      <c r="G1367" s="4" t="s">
        <v>4157</v>
      </c>
      <c r="H1367" s="3"/>
    </row>
    <row r="1368" ht="15.75" customHeight="1">
      <c r="A1368" s="4" t="s">
        <v>6929</v>
      </c>
      <c r="B1368" s="4" t="s">
        <v>6930</v>
      </c>
      <c r="C1368" s="4" t="s">
        <v>1030</v>
      </c>
      <c r="D1368" s="3">
        <v>25.031656</v>
      </c>
      <c r="E1368" s="3">
        <v>121.508437</v>
      </c>
      <c r="F1368" s="3" t="s">
        <v>156</v>
      </c>
      <c r="G1368" s="4" t="s">
        <v>4157</v>
      </c>
      <c r="H1368" s="3"/>
    </row>
    <row r="1369" ht="15.75" customHeight="1">
      <c r="A1369" s="4" t="s">
        <v>6931</v>
      </c>
      <c r="B1369" s="4" t="s">
        <v>6932</v>
      </c>
      <c r="C1369" s="4" t="s">
        <v>1036</v>
      </c>
      <c r="D1369" s="3">
        <v>25.031551</v>
      </c>
      <c r="E1369" s="3">
        <v>121.508532</v>
      </c>
      <c r="F1369" s="3" t="s">
        <v>156</v>
      </c>
      <c r="G1369" s="4" t="s">
        <v>4157</v>
      </c>
      <c r="H1369" s="3"/>
    </row>
    <row r="1370" ht="15.75" customHeight="1">
      <c r="A1370" s="4" t="s">
        <v>6933</v>
      </c>
      <c r="B1370" s="4" t="s">
        <v>6934</v>
      </c>
      <c r="C1370" s="4" t="s">
        <v>1036</v>
      </c>
      <c r="D1370" s="3">
        <v>25.031718</v>
      </c>
      <c r="E1370" s="3">
        <v>121.50839</v>
      </c>
      <c r="F1370" s="3" t="s">
        <v>156</v>
      </c>
      <c r="G1370" s="4" t="s">
        <v>4157</v>
      </c>
      <c r="H1370" s="3"/>
    </row>
    <row r="1371" ht="15.75" customHeight="1">
      <c r="A1371" s="4" t="s">
        <v>6935</v>
      </c>
      <c r="B1371" s="4" t="s">
        <v>6936</v>
      </c>
      <c r="C1371" s="4" t="s">
        <v>2887</v>
      </c>
      <c r="D1371" s="3">
        <v>25.03162</v>
      </c>
      <c r="E1371" s="3">
        <v>121.509321</v>
      </c>
      <c r="F1371" s="3" t="s">
        <v>156</v>
      </c>
      <c r="G1371" s="4" t="s">
        <v>4157</v>
      </c>
      <c r="H1371" s="3"/>
    </row>
    <row r="1372" ht="15.75" customHeight="1">
      <c r="A1372" s="4" t="s">
        <v>6937</v>
      </c>
      <c r="B1372" s="4" t="s">
        <v>6938</v>
      </c>
      <c r="C1372" s="4" t="s">
        <v>115</v>
      </c>
      <c r="D1372" s="3">
        <v>25.031909</v>
      </c>
      <c r="E1372" s="3">
        <v>121.508879</v>
      </c>
      <c r="F1372" s="3" t="s">
        <v>156</v>
      </c>
      <c r="G1372" s="4" t="s">
        <v>4157</v>
      </c>
      <c r="H1372" s="3"/>
    </row>
    <row r="1373" ht="15.75" customHeight="1">
      <c r="A1373" s="4" t="s">
        <v>6939</v>
      </c>
      <c r="B1373" s="4" t="s">
        <v>6940</v>
      </c>
      <c r="C1373" s="4" t="s">
        <v>696</v>
      </c>
      <c r="D1373" s="3">
        <v>25.031866</v>
      </c>
      <c r="E1373" s="3">
        <v>121.508694</v>
      </c>
      <c r="F1373" s="3" t="s">
        <v>156</v>
      </c>
      <c r="G1373" s="4" t="s">
        <v>4157</v>
      </c>
      <c r="H1373" s="3"/>
    </row>
    <row r="1374" ht="15.75" customHeight="1">
      <c r="A1374" s="4" t="s">
        <v>6941</v>
      </c>
      <c r="B1374" s="4" t="s">
        <v>6942</v>
      </c>
      <c r="C1374" s="4" t="s">
        <v>2879</v>
      </c>
      <c r="D1374" s="3">
        <v>25.032182</v>
      </c>
      <c r="E1374" s="3">
        <v>121.509619</v>
      </c>
      <c r="F1374" s="3" t="s">
        <v>156</v>
      </c>
      <c r="G1374" s="4" t="s">
        <v>4157</v>
      </c>
      <c r="H1374" s="3"/>
    </row>
    <row r="1375" ht="15.75" customHeight="1">
      <c r="A1375" s="4" t="s">
        <v>6943</v>
      </c>
      <c r="B1375" s="4" t="s">
        <v>6944</v>
      </c>
      <c r="C1375" s="4" t="s">
        <v>932</v>
      </c>
      <c r="D1375" s="3">
        <v>25.031347</v>
      </c>
      <c r="E1375" s="3">
        <v>121.508432</v>
      </c>
      <c r="F1375" s="3" t="s">
        <v>156</v>
      </c>
      <c r="G1375" s="4" t="s">
        <v>4157</v>
      </c>
      <c r="H1375" s="3"/>
    </row>
    <row r="1376" ht="15.75" customHeight="1">
      <c r="A1376" s="4" t="s">
        <v>6945</v>
      </c>
      <c r="B1376" s="4" t="s">
        <v>6946</v>
      </c>
      <c r="C1376" s="4" t="s">
        <v>685</v>
      </c>
      <c r="D1376" s="3">
        <v>25.03197</v>
      </c>
      <c r="E1376" s="3">
        <v>121.50905</v>
      </c>
      <c r="F1376" s="3" t="s">
        <v>156</v>
      </c>
      <c r="G1376" s="4" t="s">
        <v>4157</v>
      </c>
      <c r="H1376" s="3"/>
    </row>
    <row r="1377" ht="15.75" customHeight="1">
      <c r="A1377" s="4" t="s">
        <v>6947</v>
      </c>
      <c r="B1377" s="4" t="s">
        <v>6948</v>
      </c>
      <c r="C1377" s="4" t="s">
        <v>685</v>
      </c>
      <c r="D1377" s="3">
        <v>25.033008</v>
      </c>
      <c r="E1377" s="3">
        <v>121.509988</v>
      </c>
      <c r="F1377" s="3" t="s">
        <v>44</v>
      </c>
      <c r="G1377" s="4" t="s">
        <v>4157</v>
      </c>
      <c r="H1377" s="3"/>
    </row>
    <row r="1378" ht="15.75" customHeight="1">
      <c r="A1378" s="4" t="s">
        <v>6949</v>
      </c>
      <c r="B1378" s="4" t="s">
        <v>6950</v>
      </c>
      <c r="C1378" s="4" t="s">
        <v>940</v>
      </c>
      <c r="D1378" s="3">
        <v>25.031347</v>
      </c>
      <c r="E1378" s="3">
        <v>121.508531</v>
      </c>
      <c r="F1378" s="3" t="s">
        <v>156</v>
      </c>
      <c r="G1378" s="4" t="s">
        <v>4157</v>
      </c>
      <c r="H1378" s="3"/>
    </row>
    <row r="1379" ht="15.75" customHeight="1">
      <c r="A1379" s="4" t="s">
        <v>6951</v>
      </c>
      <c r="B1379" s="4" t="s">
        <v>6952</v>
      </c>
      <c r="C1379" s="4" t="s">
        <v>930</v>
      </c>
      <c r="D1379" s="3">
        <v>25.031403</v>
      </c>
      <c r="E1379" s="3">
        <v>121.508478</v>
      </c>
      <c r="F1379" s="3" t="s">
        <v>156</v>
      </c>
      <c r="G1379" s="4" t="s">
        <v>4157</v>
      </c>
      <c r="H1379" s="3"/>
    </row>
    <row r="1380" ht="15.75" customHeight="1">
      <c r="A1380" s="4" t="s">
        <v>6953</v>
      </c>
      <c r="B1380" s="4" t="s">
        <v>6954</v>
      </c>
      <c r="C1380" s="4" t="s">
        <v>1132</v>
      </c>
      <c r="D1380" s="3">
        <v>25.031425</v>
      </c>
      <c r="E1380" s="3">
        <v>121.508191</v>
      </c>
      <c r="F1380" s="3" t="s">
        <v>156</v>
      </c>
      <c r="G1380" s="4" t="s">
        <v>4157</v>
      </c>
      <c r="H1380" s="3"/>
    </row>
    <row r="1381" ht="15.75" customHeight="1">
      <c r="A1381" s="4" t="s">
        <v>6955</v>
      </c>
      <c r="B1381" s="4" t="s">
        <v>6956</v>
      </c>
      <c r="C1381" s="4" t="s">
        <v>1302</v>
      </c>
      <c r="D1381" s="3">
        <v>25.03237</v>
      </c>
      <c r="E1381" s="3">
        <v>121.50885</v>
      </c>
      <c r="F1381" s="3" t="s">
        <v>56</v>
      </c>
      <c r="G1381" s="4" t="s">
        <v>4157</v>
      </c>
      <c r="H1381" s="3"/>
    </row>
    <row r="1382" ht="15.75" customHeight="1">
      <c r="A1382" s="4" t="s">
        <v>6957</v>
      </c>
      <c r="B1382" s="4" t="s">
        <v>6958</v>
      </c>
      <c r="C1382" s="4" t="s">
        <v>1302</v>
      </c>
      <c r="D1382" s="3">
        <v>25.032576</v>
      </c>
      <c r="E1382" s="3">
        <v>121.511168</v>
      </c>
      <c r="F1382" s="3" t="s">
        <v>44</v>
      </c>
      <c r="G1382" s="4" t="s">
        <v>4157</v>
      </c>
      <c r="H1382" s="3"/>
    </row>
    <row r="1383" ht="15.75" customHeight="1">
      <c r="A1383" s="4" t="s">
        <v>6959</v>
      </c>
      <c r="B1383" s="4" t="s">
        <v>6960</v>
      </c>
      <c r="C1383" s="4" t="s">
        <v>2867</v>
      </c>
      <c r="D1383" s="3">
        <v>25.031552</v>
      </c>
      <c r="E1383" s="3">
        <v>121.509416</v>
      </c>
      <c r="F1383" s="3" t="s">
        <v>156</v>
      </c>
      <c r="G1383" s="4" t="s">
        <v>4157</v>
      </c>
      <c r="H1383" s="3"/>
    </row>
    <row r="1384" ht="15.75" customHeight="1">
      <c r="A1384" s="4" t="s">
        <v>6961</v>
      </c>
      <c r="B1384" s="4" t="s">
        <v>6962</v>
      </c>
      <c r="C1384" s="4" t="s">
        <v>2867</v>
      </c>
      <c r="D1384" s="3">
        <v>25.031488</v>
      </c>
      <c r="E1384" s="3">
        <v>121.508126</v>
      </c>
      <c r="F1384" s="3" t="s">
        <v>156</v>
      </c>
      <c r="G1384" s="4" t="s">
        <v>4157</v>
      </c>
      <c r="H1384" s="3"/>
    </row>
    <row r="1385" ht="15.75" customHeight="1">
      <c r="A1385" s="4" t="s">
        <v>6963</v>
      </c>
      <c r="B1385" s="4" t="s">
        <v>6964</v>
      </c>
      <c r="C1385" s="4" t="s">
        <v>3111</v>
      </c>
      <c r="D1385" s="3">
        <v>25.031291</v>
      </c>
      <c r="E1385" s="3">
        <v>121.50869</v>
      </c>
      <c r="F1385" s="3" t="s">
        <v>156</v>
      </c>
      <c r="G1385" s="4" t="s">
        <v>4157</v>
      </c>
      <c r="H1385" s="3"/>
    </row>
    <row r="1386" ht="15.75" customHeight="1">
      <c r="A1386" s="4" t="s">
        <v>6965</v>
      </c>
      <c r="B1386" s="4" t="s">
        <v>6966</v>
      </c>
      <c r="C1386" s="4" t="s">
        <v>2884</v>
      </c>
      <c r="D1386" s="3">
        <v>25.031891</v>
      </c>
      <c r="E1386" s="3">
        <v>121.509543</v>
      </c>
      <c r="F1386" s="3" t="s">
        <v>156</v>
      </c>
      <c r="G1386" s="4" t="s">
        <v>4157</v>
      </c>
      <c r="H1386" s="3"/>
    </row>
    <row r="1387" ht="15.75" customHeight="1">
      <c r="A1387" s="4" t="s">
        <v>6967</v>
      </c>
      <c r="B1387" s="4" t="s">
        <v>6968</v>
      </c>
      <c r="C1387" s="4" t="s">
        <v>2875</v>
      </c>
      <c r="D1387" s="3">
        <v>25.031737</v>
      </c>
      <c r="E1387" s="3">
        <v>121.509532</v>
      </c>
      <c r="F1387" s="3" t="s">
        <v>156</v>
      </c>
      <c r="G1387" s="4" t="s">
        <v>4157</v>
      </c>
      <c r="H1387" s="3"/>
    </row>
    <row r="1388" ht="15.75" customHeight="1">
      <c r="A1388" s="4" t="s">
        <v>6969</v>
      </c>
      <c r="B1388" s="4" t="s">
        <v>6970</v>
      </c>
      <c r="C1388" s="4" t="s">
        <v>1308</v>
      </c>
      <c r="D1388" s="3">
        <v>25.03144</v>
      </c>
      <c r="E1388" s="3">
        <v>121.508118</v>
      </c>
      <c r="F1388" s="3" t="s">
        <v>156</v>
      </c>
      <c r="G1388" s="4" t="s">
        <v>4157</v>
      </c>
      <c r="H1388" s="3"/>
    </row>
    <row r="1389" ht="15.75" customHeight="1">
      <c r="A1389" s="4" t="s">
        <v>6971</v>
      </c>
      <c r="B1389" s="4" t="s">
        <v>6972</v>
      </c>
      <c r="C1389" s="4" t="s">
        <v>243</v>
      </c>
      <c r="D1389" s="3">
        <v>25.031367</v>
      </c>
      <c r="E1389" s="3">
        <v>121.508812</v>
      </c>
      <c r="F1389" s="3" t="s">
        <v>156</v>
      </c>
      <c r="G1389" s="4" t="s">
        <v>4157</v>
      </c>
      <c r="H1389" s="3"/>
    </row>
    <row r="1390" ht="15.75" customHeight="1">
      <c r="A1390" s="4" t="s">
        <v>6973</v>
      </c>
      <c r="B1390" s="4" t="s">
        <v>6974</v>
      </c>
      <c r="C1390" s="4" t="s">
        <v>2124</v>
      </c>
      <c r="D1390" s="3">
        <v>25.031263</v>
      </c>
      <c r="E1390" s="3">
        <v>121.508874</v>
      </c>
      <c r="F1390" s="3" t="s">
        <v>156</v>
      </c>
      <c r="G1390" s="4" t="s">
        <v>4157</v>
      </c>
      <c r="H1390" s="3"/>
    </row>
    <row r="1391" ht="15.75" customHeight="1">
      <c r="A1391" s="4" t="s">
        <v>6975</v>
      </c>
      <c r="B1391" s="4" t="s">
        <v>6976</v>
      </c>
      <c r="C1391" s="4" t="s">
        <v>239</v>
      </c>
      <c r="D1391" s="3">
        <v>25.031288</v>
      </c>
      <c r="E1391" s="3">
        <v>121.508932</v>
      </c>
      <c r="F1391" s="3" t="s">
        <v>156</v>
      </c>
      <c r="G1391" s="4" t="s">
        <v>4157</v>
      </c>
      <c r="H1391" s="3"/>
    </row>
    <row r="1392" ht="15.75" customHeight="1">
      <c r="A1392" s="4" t="s">
        <v>6977</v>
      </c>
      <c r="B1392" s="4" t="s">
        <v>6978</v>
      </c>
      <c r="C1392" s="4" t="s">
        <v>2891</v>
      </c>
      <c r="D1392" s="3">
        <v>25.031638</v>
      </c>
      <c r="E1392" s="3">
        <v>121.509452</v>
      </c>
      <c r="F1392" s="3" t="s">
        <v>156</v>
      </c>
      <c r="G1392" s="4" t="s">
        <v>4157</v>
      </c>
      <c r="H1392" s="3"/>
    </row>
    <row r="1393" ht="15.75" customHeight="1">
      <c r="A1393" s="4" t="s">
        <v>6979</v>
      </c>
      <c r="B1393" s="4" t="s">
        <v>6980</v>
      </c>
      <c r="C1393" s="4" t="s">
        <v>3450</v>
      </c>
      <c r="D1393" s="3">
        <v>25.031509</v>
      </c>
      <c r="E1393" s="3">
        <v>121.509357</v>
      </c>
      <c r="F1393" s="3" t="s">
        <v>156</v>
      </c>
      <c r="G1393" s="4" t="s">
        <v>4157</v>
      </c>
      <c r="H1393" s="3"/>
    </row>
    <row r="1394" ht="15.75" customHeight="1">
      <c r="A1394" s="4" t="s">
        <v>6981</v>
      </c>
      <c r="B1394" s="4" t="s">
        <v>6982</v>
      </c>
      <c r="C1394" s="4" t="s">
        <v>708</v>
      </c>
      <c r="D1394" s="3">
        <v>25.032287</v>
      </c>
      <c r="E1394" s="3">
        <v>121.510536</v>
      </c>
      <c r="F1394" s="3" t="s">
        <v>44</v>
      </c>
      <c r="G1394" s="4" t="s">
        <v>4157</v>
      </c>
      <c r="H1394" s="3"/>
    </row>
    <row r="1395" ht="15.75" customHeight="1">
      <c r="A1395" s="4" t="s">
        <v>6983</v>
      </c>
      <c r="B1395" s="4" t="s">
        <v>6984</v>
      </c>
      <c r="C1395" s="4" t="s">
        <v>3473</v>
      </c>
      <c r="D1395" s="3">
        <v>25.031516</v>
      </c>
      <c r="E1395" s="3">
        <v>121.509218</v>
      </c>
      <c r="F1395" s="3" t="s">
        <v>156</v>
      </c>
      <c r="G1395" s="4" t="s">
        <v>4157</v>
      </c>
      <c r="H1395" s="3"/>
    </row>
    <row r="1396" ht="15.75" customHeight="1">
      <c r="A1396" s="4" t="s">
        <v>6985</v>
      </c>
      <c r="B1396" s="4" t="s">
        <v>6986</v>
      </c>
      <c r="C1396" s="4" t="s">
        <v>3466</v>
      </c>
      <c r="D1396" s="3">
        <v>25.031415</v>
      </c>
      <c r="E1396" s="3">
        <v>121.509032</v>
      </c>
      <c r="F1396" s="3" t="s">
        <v>156</v>
      </c>
      <c r="G1396" s="4" t="s">
        <v>4157</v>
      </c>
      <c r="H1396" s="3"/>
    </row>
    <row r="1397" ht="15.75" customHeight="1">
      <c r="A1397" s="4" t="s">
        <v>6987</v>
      </c>
      <c r="B1397" s="4" t="s">
        <v>6988</v>
      </c>
      <c r="C1397" s="4" t="s">
        <v>3106</v>
      </c>
      <c r="D1397" s="3">
        <v>25.03157</v>
      </c>
      <c r="E1397" s="3">
        <v>121.50814</v>
      </c>
      <c r="F1397" s="3" t="s">
        <v>156</v>
      </c>
      <c r="G1397" s="4" t="s">
        <v>4157</v>
      </c>
      <c r="H1397" s="3"/>
    </row>
    <row r="1398" ht="15.75" customHeight="1">
      <c r="A1398" s="4" t="s">
        <v>6989</v>
      </c>
      <c r="B1398" s="4" t="s">
        <v>6990</v>
      </c>
      <c r="C1398" s="4" t="s">
        <v>2855</v>
      </c>
      <c r="D1398" s="3">
        <v>25.031811</v>
      </c>
      <c r="E1398" s="3">
        <v>121.509494</v>
      </c>
      <c r="F1398" s="3" t="s">
        <v>156</v>
      </c>
      <c r="G1398" s="4" t="s">
        <v>4157</v>
      </c>
      <c r="H1398" s="3"/>
    </row>
    <row r="1399" ht="15.75" customHeight="1">
      <c r="A1399" s="4" t="s">
        <v>6991</v>
      </c>
      <c r="B1399" s="4" t="s">
        <v>6992</v>
      </c>
      <c r="C1399" s="4" t="s">
        <v>2881</v>
      </c>
      <c r="D1399" s="3">
        <v>25.031942</v>
      </c>
      <c r="E1399" s="3">
        <v>121.509442</v>
      </c>
      <c r="F1399" s="3" t="s">
        <v>156</v>
      </c>
      <c r="G1399" s="4" t="s">
        <v>4157</v>
      </c>
      <c r="H1399" s="3"/>
    </row>
    <row r="1400" ht="15.75" customHeight="1">
      <c r="A1400" s="4" t="s">
        <v>6993</v>
      </c>
      <c r="B1400" s="4" t="s">
        <v>6994</v>
      </c>
      <c r="C1400" s="4" t="s">
        <v>1272</v>
      </c>
      <c r="D1400" s="3">
        <v>25.031386</v>
      </c>
      <c r="E1400" s="3">
        <v>121.508165</v>
      </c>
      <c r="F1400" s="3" t="s">
        <v>156</v>
      </c>
      <c r="G1400" s="4" t="s">
        <v>4157</v>
      </c>
      <c r="H1400" s="3"/>
    </row>
    <row r="1401" ht="15.75" customHeight="1">
      <c r="A1401" s="4" t="s">
        <v>6995</v>
      </c>
      <c r="B1401" s="4" t="s">
        <v>6996</v>
      </c>
      <c r="C1401" s="4" t="s">
        <v>2873</v>
      </c>
      <c r="D1401" s="3">
        <v>25.031597</v>
      </c>
      <c r="E1401" s="3">
        <v>121.5095</v>
      </c>
      <c r="F1401" s="3" t="s">
        <v>156</v>
      </c>
      <c r="G1401" s="4" t="s">
        <v>4157</v>
      </c>
      <c r="H1401" s="3"/>
    </row>
    <row r="1402" ht="15.75" customHeight="1">
      <c r="A1402" s="4" t="s">
        <v>6997</v>
      </c>
      <c r="B1402" s="4" t="s">
        <v>6998</v>
      </c>
      <c r="C1402" s="4" t="s">
        <v>1291</v>
      </c>
      <c r="D1402" s="3">
        <v>25.031455</v>
      </c>
      <c r="E1402" s="3">
        <v>121.508137</v>
      </c>
      <c r="F1402" s="3" t="s">
        <v>156</v>
      </c>
      <c r="G1402" s="4" t="s">
        <v>4157</v>
      </c>
      <c r="H1402" s="3"/>
    </row>
    <row r="1403" ht="15.75" customHeight="1">
      <c r="A1403" s="4" t="s">
        <v>6999</v>
      </c>
      <c r="B1403" s="4" t="s">
        <v>7000</v>
      </c>
      <c r="C1403" s="4" t="s">
        <v>3448</v>
      </c>
      <c r="D1403" s="3">
        <v>25.031367</v>
      </c>
      <c r="E1403" s="3">
        <v>121.509102</v>
      </c>
      <c r="F1403" s="3" t="s">
        <v>156</v>
      </c>
      <c r="G1403" s="4" t="s">
        <v>4157</v>
      </c>
      <c r="H1403" s="3"/>
    </row>
    <row r="1404" ht="15.75" customHeight="1">
      <c r="A1404" s="4" t="s">
        <v>7001</v>
      </c>
      <c r="B1404" s="4" t="s">
        <v>7002</v>
      </c>
      <c r="C1404" s="4" t="s">
        <v>711</v>
      </c>
      <c r="D1404" s="3">
        <v>25.031849</v>
      </c>
      <c r="E1404" s="3">
        <v>121.509098</v>
      </c>
      <c r="F1404" s="3" t="s">
        <v>156</v>
      </c>
      <c r="G1404" s="4" t="s">
        <v>4157</v>
      </c>
      <c r="H1404" s="3"/>
    </row>
    <row r="1405" ht="15.75" customHeight="1">
      <c r="A1405" s="4" t="s">
        <v>7003</v>
      </c>
      <c r="B1405" s="4" t="s">
        <v>7004</v>
      </c>
      <c r="C1405" s="4" t="s">
        <v>1337</v>
      </c>
      <c r="D1405" s="3">
        <v>25.03154</v>
      </c>
      <c r="E1405" s="3">
        <v>121.50823</v>
      </c>
      <c r="F1405" s="3" t="s">
        <v>156</v>
      </c>
      <c r="G1405" s="4" t="s">
        <v>4157</v>
      </c>
      <c r="H1405" s="3"/>
    </row>
    <row r="1406" ht="15.75" customHeight="1">
      <c r="A1406" s="4" t="s">
        <v>7005</v>
      </c>
      <c r="B1406" s="4" t="s">
        <v>7006</v>
      </c>
      <c r="C1406" s="4" t="s">
        <v>2899</v>
      </c>
      <c r="D1406" s="3">
        <v>25.031584</v>
      </c>
      <c r="E1406" s="3">
        <v>121.509408</v>
      </c>
      <c r="F1406" s="3" t="s">
        <v>156</v>
      </c>
      <c r="G1406" s="4" t="s">
        <v>4157</v>
      </c>
      <c r="H1406" s="3"/>
    </row>
    <row r="1407" ht="15.75" customHeight="1">
      <c r="A1407" s="4" t="s">
        <v>7007</v>
      </c>
      <c r="B1407" s="4" t="s">
        <v>7008</v>
      </c>
      <c r="C1407" s="4" t="s">
        <v>3468</v>
      </c>
      <c r="D1407" s="3">
        <v>25.031286</v>
      </c>
      <c r="E1407" s="3">
        <v>121.509137</v>
      </c>
      <c r="F1407" s="3" t="s">
        <v>156</v>
      </c>
      <c r="G1407" s="4" t="s">
        <v>4157</v>
      </c>
      <c r="H1407" s="3"/>
    </row>
    <row r="1408" ht="15.75" customHeight="1">
      <c r="A1408" s="4" t="s">
        <v>7009</v>
      </c>
      <c r="B1408" s="4" t="s">
        <v>7010</v>
      </c>
      <c r="C1408" s="4" t="s">
        <v>2870</v>
      </c>
      <c r="D1408" s="3">
        <v>25.031658</v>
      </c>
      <c r="E1408" s="3">
        <v>121.509289</v>
      </c>
      <c r="F1408" s="3" t="s">
        <v>156</v>
      </c>
      <c r="G1408" s="4" t="s">
        <v>4157</v>
      </c>
      <c r="H1408" s="3"/>
    </row>
    <row r="1409" ht="15.75" customHeight="1">
      <c r="A1409" s="4" t="s">
        <v>7011</v>
      </c>
      <c r="B1409" s="4" t="s">
        <v>7012</v>
      </c>
      <c r="C1409" s="4" t="s">
        <v>2870</v>
      </c>
      <c r="D1409" s="3">
        <v>25.032573</v>
      </c>
      <c r="E1409" s="3">
        <v>121.510595</v>
      </c>
      <c r="F1409" s="3" t="s">
        <v>44</v>
      </c>
      <c r="G1409" s="4" t="s">
        <v>4157</v>
      </c>
      <c r="H1409" s="3"/>
    </row>
    <row r="1410" ht="15.75" customHeight="1">
      <c r="A1410" s="4" t="s">
        <v>7013</v>
      </c>
      <c r="B1410" s="4" t="s">
        <v>7014</v>
      </c>
      <c r="C1410" s="4" t="s">
        <v>1374</v>
      </c>
      <c r="D1410" s="3">
        <v>25.031452</v>
      </c>
      <c r="E1410" s="3">
        <v>121.508227</v>
      </c>
      <c r="F1410" s="3" t="s">
        <v>156</v>
      </c>
      <c r="G1410" s="4" t="s">
        <v>4157</v>
      </c>
      <c r="H1410" s="3"/>
    </row>
    <row r="1411" ht="15.75" customHeight="1">
      <c r="A1411" s="4" t="s">
        <v>7015</v>
      </c>
      <c r="B1411" s="4" t="s">
        <v>7016</v>
      </c>
      <c r="C1411" s="4" t="s">
        <v>2965</v>
      </c>
      <c r="D1411" s="3">
        <v>25.031397</v>
      </c>
      <c r="E1411" s="3">
        <v>121.508914</v>
      </c>
      <c r="F1411" s="3" t="s">
        <v>156</v>
      </c>
      <c r="G1411" s="4" t="s">
        <v>4157</v>
      </c>
      <c r="H1411" s="3"/>
    </row>
    <row r="1412" ht="15.75" customHeight="1">
      <c r="A1412" s="4" t="s">
        <v>7017</v>
      </c>
      <c r="B1412" s="4" t="s">
        <v>7018</v>
      </c>
      <c r="C1412" s="4" t="s">
        <v>3476</v>
      </c>
      <c r="D1412" s="3">
        <v>25.032391</v>
      </c>
      <c r="E1412" s="3">
        <v>121.508914</v>
      </c>
      <c r="F1412" s="3" t="s">
        <v>56</v>
      </c>
      <c r="G1412" s="4" t="s">
        <v>4157</v>
      </c>
      <c r="H1412" s="3"/>
    </row>
    <row r="1413" ht="15.75" customHeight="1">
      <c r="A1413" s="4" t="s">
        <v>7019</v>
      </c>
      <c r="B1413" s="4" t="s">
        <v>7020</v>
      </c>
      <c r="C1413" s="4" t="s">
        <v>1289</v>
      </c>
      <c r="D1413" s="3">
        <v>25.032108</v>
      </c>
      <c r="E1413" s="3">
        <v>121.510436</v>
      </c>
      <c r="F1413" s="3" t="s">
        <v>44</v>
      </c>
      <c r="G1413" s="4" t="s">
        <v>4157</v>
      </c>
      <c r="H1413" s="3"/>
    </row>
    <row r="1414" ht="15.75" customHeight="1">
      <c r="A1414" s="4" t="s">
        <v>7021</v>
      </c>
      <c r="B1414" s="4" t="s">
        <v>7022</v>
      </c>
      <c r="C1414" s="4" t="s">
        <v>3483</v>
      </c>
      <c r="D1414" s="3">
        <v>25.031381</v>
      </c>
      <c r="E1414" s="3">
        <v>121.509053</v>
      </c>
      <c r="F1414" s="3" t="s">
        <v>156</v>
      </c>
      <c r="G1414" s="4" t="s">
        <v>4157</v>
      </c>
      <c r="H1414" s="3"/>
    </row>
    <row r="1415" ht="15.75" customHeight="1">
      <c r="A1415" s="4" t="s">
        <v>7023</v>
      </c>
      <c r="B1415" s="4" t="s">
        <v>7024</v>
      </c>
      <c r="C1415" s="4" t="s">
        <v>3496</v>
      </c>
      <c r="D1415" s="3">
        <v>25.03133</v>
      </c>
      <c r="E1415" s="3">
        <v>121.509065</v>
      </c>
      <c r="F1415" s="3" t="s">
        <v>156</v>
      </c>
      <c r="G1415" s="4" t="s">
        <v>4157</v>
      </c>
      <c r="H1415" s="3"/>
    </row>
    <row r="1416" ht="15.75" customHeight="1">
      <c r="A1416" s="4" t="s">
        <v>7025</v>
      </c>
      <c r="B1416" s="4" t="s">
        <v>7026</v>
      </c>
      <c r="C1416" s="4" t="s">
        <v>3889</v>
      </c>
      <c r="D1416" s="3">
        <v>25.031575</v>
      </c>
      <c r="E1416" s="3">
        <v>121.508276</v>
      </c>
      <c r="F1416" s="3" t="s">
        <v>156</v>
      </c>
      <c r="G1416" s="4" t="s">
        <v>4157</v>
      </c>
      <c r="H1416" s="3"/>
    </row>
    <row r="1417" ht="15.75" customHeight="1">
      <c r="A1417" s="4" t="s">
        <v>7027</v>
      </c>
      <c r="B1417" s="4" t="s">
        <v>7028</v>
      </c>
      <c r="C1417" s="4" t="s">
        <v>3889</v>
      </c>
      <c r="D1417" s="3">
        <v>25.031857</v>
      </c>
      <c r="E1417" s="3">
        <v>121.509497</v>
      </c>
      <c r="F1417" s="3" t="s">
        <v>156</v>
      </c>
      <c r="G1417" s="4" t="s">
        <v>4157</v>
      </c>
      <c r="H1417" s="3"/>
    </row>
    <row r="1418" ht="15.75" customHeight="1">
      <c r="A1418" s="4" t="s">
        <v>7029</v>
      </c>
      <c r="B1418" s="4" t="s">
        <v>7030</v>
      </c>
      <c r="C1418" s="4" t="s">
        <v>3889</v>
      </c>
      <c r="D1418" s="3">
        <v>25.031885</v>
      </c>
      <c r="E1418" s="3">
        <v>121.508974</v>
      </c>
      <c r="F1418" s="3" t="s">
        <v>156</v>
      </c>
      <c r="G1418" s="4" t="s">
        <v>4157</v>
      </c>
      <c r="H1418" s="3"/>
    </row>
    <row r="1419" ht="15.75" customHeight="1">
      <c r="A1419" s="4" t="s">
        <v>7031</v>
      </c>
      <c r="B1419" s="4" t="s">
        <v>7032</v>
      </c>
      <c r="C1419" s="4" t="s">
        <v>1331</v>
      </c>
      <c r="D1419" s="3">
        <v>25.031549</v>
      </c>
      <c r="E1419" s="3">
        <v>121.508199</v>
      </c>
      <c r="F1419" s="3" t="s">
        <v>156</v>
      </c>
      <c r="G1419" s="4" t="s">
        <v>4157</v>
      </c>
      <c r="H1419" s="3"/>
    </row>
    <row r="1420" ht="15.75" customHeight="1">
      <c r="A1420" s="4" t="s">
        <v>7033</v>
      </c>
      <c r="B1420" s="4" t="s">
        <v>7034</v>
      </c>
      <c r="C1420" s="4" t="s">
        <v>3137</v>
      </c>
      <c r="D1420" s="3">
        <v>25.031342</v>
      </c>
      <c r="E1420" s="3">
        <v>121.508814</v>
      </c>
      <c r="F1420" s="3" t="s">
        <v>156</v>
      </c>
      <c r="G1420" s="4" t="s">
        <v>4157</v>
      </c>
      <c r="H1420" s="3"/>
    </row>
    <row r="1421" ht="15.75" customHeight="1">
      <c r="A1421" s="4" t="s">
        <v>7035</v>
      </c>
      <c r="B1421" s="4" t="s">
        <v>7036</v>
      </c>
      <c r="C1421" s="4" t="s">
        <v>3506</v>
      </c>
      <c r="D1421" s="3">
        <v>25.031391</v>
      </c>
      <c r="E1421" s="3">
        <v>121.509026</v>
      </c>
      <c r="F1421" s="3" t="s">
        <v>156</v>
      </c>
      <c r="G1421" s="4" t="s">
        <v>4157</v>
      </c>
      <c r="H1421" s="3"/>
    </row>
    <row r="1422" ht="15.75" customHeight="1">
      <c r="A1422" s="4" t="s">
        <v>7037</v>
      </c>
      <c r="B1422" s="4" t="s">
        <v>7038</v>
      </c>
      <c r="C1422" s="4" t="s">
        <v>3492</v>
      </c>
      <c r="D1422" s="3">
        <v>25.031467</v>
      </c>
      <c r="E1422" s="3">
        <v>121.509289</v>
      </c>
      <c r="F1422" s="3" t="s">
        <v>156</v>
      </c>
      <c r="G1422" s="4" t="s">
        <v>4157</v>
      </c>
      <c r="H1422" s="3"/>
    </row>
    <row r="1423" ht="15.75" customHeight="1">
      <c r="A1423" s="4" t="s">
        <v>7039</v>
      </c>
      <c r="B1423" s="4" t="s">
        <v>7040</v>
      </c>
      <c r="C1423" s="4" t="s">
        <v>3504</v>
      </c>
      <c r="D1423" s="3">
        <v>25.031319</v>
      </c>
      <c r="E1423" s="3">
        <v>121.509096</v>
      </c>
      <c r="F1423" s="3" t="s">
        <v>156</v>
      </c>
      <c r="G1423" s="4" t="s">
        <v>4157</v>
      </c>
      <c r="H1423" s="3"/>
    </row>
    <row r="1424" ht="15.75" customHeight="1">
      <c r="A1424" s="4" t="s">
        <v>7041</v>
      </c>
      <c r="B1424" s="4" t="s">
        <v>7042</v>
      </c>
      <c r="C1424" s="4" t="s">
        <v>1048</v>
      </c>
      <c r="D1424" s="3">
        <v>25.031625</v>
      </c>
      <c r="E1424" s="3">
        <v>121.508467</v>
      </c>
      <c r="F1424" s="3" t="s">
        <v>156</v>
      </c>
      <c r="G1424" s="4" t="s">
        <v>4157</v>
      </c>
      <c r="H1424" s="3"/>
    </row>
    <row r="1425" ht="15.75" customHeight="1">
      <c r="A1425" s="4" t="s">
        <v>7043</v>
      </c>
      <c r="B1425" s="4" t="s">
        <v>7044</v>
      </c>
      <c r="C1425" s="4" t="s">
        <v>1048</v>
      </c>
      <c r="D1425" s="3">
        <v>25.031666</v>
      </c>
      <c r="E1425" s="3">
        <v>121.511337</v>
      </c>
      <c r="F1425" s="3" t="s">
        <v>44</v>
      </c>
      <c r="G1425" s="4" t="s">
        <v>4157</v>
      </c>
      <c r="H1425" s="3"/>
    </row>
    <row r="1426" ht="15.75" customHeight="1">
      <c r="A1426" s="4" t="s">
        <v>7045</v>
      </c>
      <c r="B1426" s="4" t="s">
        <v>7046</v>
      </c>
      <c r="C1426" s="4" t="s">
        <v>720</v>
      </c>
      <c r="D1426" s="3">
        <v>25.032149</v>
      </c>
      <c r="E1426" s="3">
        <v>121.510472</v>
      </c>
      <c r="F1426" s="3" t="s">
        <v>44</v>
      </c>
      <c r="G1426" s="4" t="s">
        <v>4157</v>
      </c>
      <c r="H1426" s="3"/>
    </row>
    <row r="1427" ht="15.75" customHeight="1">
      <c r="A1427" s="4" t="s">
        <v>7047</v>
      </c>
      <c r="B1427" s="4" t="s">
        <v>7048</v>
      </c>
      <c r="C1427" s="4" t="s">
        <v>2905</v>
      </c>
      <c r="D1427" s="3">
        <v>25.031957</v>
      </c>
      <c r="E1427" s="3">
        <v>121.509486</v>
      </c>
      <c r="F1427" s="3" t="s">
        <v>156</v>
      </c>
      <c r="G1427" s="4" t="s">
        <v>4157</v>
      </c>
      <c r="H1427" s="3"/>
    </row>
    <row r="1428" ht="15.75" customHeight="1">
      <c r="A1428" s="4" t="s">
        <v>7049</v>
      </c>
      <c r="B1428" s="4" t="s">
        <v>7050</v>
      </c>
      <c r="C1428" s="4" t="s">
        <v>3485</v>
      </c>
      <c r="D1428" s="3">
        <v>25.031407</v>
      </c>
      <c r="E1428" s="3">
        <v>121.509101</v>
      </c>
      <c r="F1428" s="3" t="s">
        <v>156</v>
      </c>
      <c r="G1428" s="4" t="s">
        <v>4157</v>
      </c>
      <c r="H1428" s="3"/>
    </row>
    <row r="1429" ht="15.75" customHeight="1">
      <c r="A1429" s="4" t="s">
        <v>7051</v>
      </c>
      <c r="B1429" s="4" t="s">
        <v>7052</v>
      </c>
      <c r="C1429" s="4" t="s">
        <v>273</v>
      </c>
      <c r="D1429" s="3">
        <v>25.031324</v>
      </c>
      <c r="E1429" s="3">
        <v>121.508808</v>
      </c>
      <c r="F1429" s="3" t="s">
        <v>156</v>
      </c>
      <c r="G1429" s="4" t="s">
        <v>4157</v>
      </c>
      <c r="H1429" s="3"/>
    </row>
    <row r="1430" ht="15.75" customHeight="1">
      <c r="A1430" s="4" t="s">
        <v>7053</v>
      </c>
      <c r="B1430" s="4" t="s">
        <v>7054</v>
      </c>
      <c r="C1430" s="4" t="s">
        <v>3489</v>
      </c>
      <c r="D1430" s="3">
        <v>25.031366</v>
      </c>
      <c r="E1430" s="3">
        <v>121.509325</v>
      </c>
      <c r="F1430" s="3" t="s">
        <v>156</v>
      </c>
      <c r="G1430" s="4" t="s">
        <v>4157</v>
      </c>
      <c r="H1430" s="3"/>
    </row>
    <row r="1431" ht="15.75" customHeight="1">
      <c r="A1431" s="4" t="s">
        <v>7055</v>
      </c>
      <c r="B1431" s="4" t="s">
        <v>7056</v>
      </c>
      <c r="C1431" s="4" t="s">
        <v>1057</v>
      </c>
      <c r="D1431" s="3">
        <v>25.03193</v>
      </c>
      <c r="E1431" s="3">
        <v>121.508191</v>
      </c>
      <c r="F1431" s="3" t="s">
        <v>156</v>
      </c>
      <c r="G1431" s="4" t="s">
        <v>4157</v>
      </c>
      <c r="H1431" s="3"/>
    </row>
    <row r="1432" ht="15.75" customHeight="1">
      <c r="A1432" s="4" t="s">
        <v>7057</v>
      </c>
      <c r="B1432" s="4" t="s">
        <v>7058</v>
      </c>
      <c r="C1432" s="4" t="s">
        <v>3518</v>
      </c>
      <c r="D1432" s="3">
        <v>25.031396</v>
      </c>
      <c r="E1432" s="3">
        <v>121.509192</v>
      </c>
      <c r="F1432" s="3" t="s">
        <v>156</v>
      </c>
      <c r="G1432" s="4" t="s">
        <v>4157</v>
      </c>
      <c r="H1432" s="3"/>
    </row>
    <row r="1433" ht="15.75" customHeight="1">
      <c r="A1433" s="4" t="s">
        <v>7059</v>
      </c>
      <c r="B1433" s="4" t="s">
        <v>7060</v>
      </c>
      <c r="C1433" s="4" t="s">
        <v>1063</v>
      </c>
      <c r="D1433" s="3">
        <v>25.032061</v>
      </c>
      <c r="E1433" s="3">
        <v>121.508181</v>
      </c>
      <c r="F1433" s="3" t="s">
        <v>56</v>
      </c>
      <c r="G1433" s="4" t="s">
        <v>4157</v>
      </c>
      <c r="H1433" s="3"/>
    </row>
    <row r="1434" ht="15.75" customHeight="1">
      <c r="A1434" s="4" t="s">
        <v>7061</v>
      </c>
      <c r="B1434" s="4" t="s">
        <v>7062</v>
      </c>
      <c r="C1434" s="4" t="s">
        <v>729</v>
      </c>
      <c r="D1434" s="3">
        <v>25.031566</v>
      </c>
      <c r="E1434" s="3">
        <v>121.508965</v>
      </c>
      <c r="F1434" s="3" t="s">
        <v>156</v>
      </c>
      <c r="G1434" s="4" t="s">
        <v>4157</v>
      </c>
      <c r="H1434" s="3"/>
    </row>
    <row r="1435" ht="15.75" customHeight="1">
      <c r="A1435" s="4" t="s">
        <v>7063</v>
      </c>
      <c r="B1435" s="4" t="s">
        <v>7064</v>
      </c>
      <c r="C1435" s="4" t="s">
        <v>3536</v>
      </c>
      <c r="D1435" s="3">
        <v>25.031499</v>
      </c>
      <c r="E1435" s="3">
        <v>121.509222</v>
      </c>
      <c r="F1435" s="3" t="s">
        <v>156</v>
      </c>
      <c r="G1435" s="4" t="s">
        <v>4157</v>
      </c>
      <c r="H1435" s="3"/>
    </row>
    <row r="1436" ht="15.75" customHeight="1">
      <c r="A1436" s="4" t="s">
        <v>7065</v>
      </c>
      <c r="B1436" s="4" t="s">
        <v>7066</v>
      </c>
      <c r="C1436" s="4" t="s">
        <v>7067</v>
      </c>
      <c r="D1436" s="3">
        <v>25.031872</v>
      </c>
      <c r="E1436" s="3">
        <v>121.509012</v>
      </c>
      <c r="F1436" s="3" t="s">
        <v>156</v>
      </c>
      <c r="G1436" s="4" t="s">
        <v>4157</v>
      </c>
      <c r="H1436" s="3"/>
    </row>
    <row r="1437" ht="15.75" customHeight="1">
      <c r="A1437" s="4" t="s">
        <v>7068</v>
      </c>
      <c r="B1437" s="4" t="s">
        <v>7069</v>
      </c>
      <c r="C1437" s="4" t="s">
        <v>1054</v>
      </c>
      <c r="D1437" s="3">
        <v>25.03178</v>
      </c>
      <c r="E1437" s="3">
        <v>121.508318</v>
      </c>
      <c r="F1437" s="3" t="s">
        <v>156</v>
      </c>
      <c r="G1437" s="4" t="s">
        <v>4157</v>
      </c>
      <c r="H1437" s="3"/>
    </row>
    <row r="1438" ht="15.75" customHeight="1">
      <c r="A1438" s="4" t="s">
        <v>7070</v>
      </c>
      <c r="B1438" s="4" t="s">
        <v>7071</v>
      </c>
      <c r="C1438" s="4" t="s">
        <v>1059</v>
      </c>
      <c r="D1438" s="3">
        <v>25.031546</v>
      </c>
      <c r="E1438" s="3">
        <v>121.508862</v>
      </c>
      <c r="F1438" s="3" t="s">
        <v>156</v>
      </c>
      <c r="G1438" s="4" t="s">
        <v>4157</v>
      </c>
      <c r="H1438" s="3"/>
    </row>
    <row r="1439" ht="15.75" customHeight="1">
      <c r="A1439" s="4" t="s">
        <v>7072</v>
      </c>
      <c r="B1439" s="4" t="s">
        <v>7073</v>
      </c>
      <c r="C1439" s="4" t="s">
        <v>2895</v>
      </c>
      <c r="D1439" s="3">
        <v>25.031782</v>
      </c>
      <c r="E1439" s="3">
        <v>121.509545</v>
      </c>
      <c r="F1439" s="3" t="s">
        <v>156</v>
      </c>
      <c r="G1439" s="4" t="s">
        <v>4157</v>
      </c>
      <c r="H1439" s="3"/>
    </row>
    <row r="1440" ht="15.75" customHeight="1">
      <c r="A1440" s="4" t="s">
        <v>7074</v>
      </c>
      <c r="B1440" s="4" t="s">
        <v>7075</v>
      </c>
      <c r="C1440" s="4" t="s">
        <v>2908</v>
      </c>
      <c r="D1440" s="3">
        <v>25.031498</v>
      </c>
      <c r="E1440" s="3">
        <v>121.508523</v>
      </c>
      <c r="F1440" s="3" t="s">
        <v>156</v>
      </c>
      <c r="G1440" s="4" t="s">
        <v>4157</v>
      </c>
      <c r="H1440" s="3"/>
    </row>
    <row r="1441" ht="15.75" customHeight="1">
      <c r="A1441" s="4" t="s">
        <v>7076</v>
      </c>
      <c r="B1441" s="4" t="s">
        <v>7077</v>
      </c>
      <c r="C1441" s="4" t="s">
        <v>2902</v>
      </c>
      <c r="D1441" s="3">
        <v>25.031519</v>
      </c>
      <c r="E1441" s="3">
        <v>121.509489</v>
      </c>
      <c r="F1441" s="3" t="s">
        <v>156</v>
      </c>
      <c r="G1441" s="4" t="s">
        <v>4157</v>
      </c>
      <c r="H1441" s="3"/>
    </row>
    <row r="1442" ht="15.75" customHeight="1">
      <c r="A1442" s="4" t="s">
        <v>7078</v>
      </c>
      <c r="B1442" s="4" t="s">
        <v>7079</v>
      </c>
      <c r="C1442" s="4" t="s">
        <v>3516</v>
      </c>
      <c r="D1442" s="3">
        <v>25.031425</v>
      </c>
      <c r="E1442" s="3">
        <v>121.508972</v>
      </c>
      <c r="F1442" s="3" t="s">
        <v>156</v>
      </c>
      <c r="G1442" s="4" t="s">
        <v>4157</v>
      </c>
      <c r="H1442" s="3"/>
    </row>
    <row r="1443" ht="15.75" customHeight="1">
      <c r="A1443" s="4" t="s">
        <v>7080</v>
      </c>
      <c r="B1443" s="4" t="s">
        <v>7081</v>
      </c>
      <c r="C1443" s="4" t="s">
        <v>3516</v>
      </c>
      <c r="D1443" s="3">
        <v>25.031294</v>
      </c>
      <c r="E1443" s="3">
        <v>121.509209</v>
      </c>
      <c r="F1443" s="3" t="s">
        <v>156</v>
      </c>
      <c r="G1443" s="4" t="s">
        <v>4157</v>
      </c>
      <c r="H1443" s="3"/>
    </row>
    <row r="1444" ht="15.75" customHeight="1">
      <c r="A1444" s="4" t="s">
        <v>7082</v>
      </c>
      <c r="B1444" s="4" t="s">
        <v>7083</v>
      </c>
      <c r="C1444" s="4" t="s">
        <v>3511</v>
      </c>
      <c r="D1444" s="3">
        <v>25.03146</v>
      </c>
      <c r="E1444" s="3">
        <v>121.509105</v>
      </c>
      <c r="F1444" s="3" t="s">
        <v>156</v>
      </c>
      <c r="G1444" s="4" t="s">
        <v>4157</v>
      </c>
      <c r="H1444" s="3"/>
    </row>
    <row r="1445" ht="15.75" customHeight="1">
      <c r="A1445" s="4" t="s">
        <v>7084</v>
      </c>
      <c r="B1445" s="4" t="s">
        <v>7085</v>
      </c>
      <c r="C1445" s="4" t="s">
        <v>3530</v>
      </c>
      <c r="D1445" s="3">
        <v>25.031631</v>
      </c>
      <c r="E1445" s="3">
        <v>121.509072</v>
      </c>
      <c r="F1445" s="3" t="s">
        <v>156</v>
      </c>
      <c r="G1445" s="4" t="s">
        <v>4157</v>
      </c>
      <c r="H1445" s="3"/>
    </row>
    <row r="1446" ht="15.75" customHeight="1">
      <c r="A1446" s="4" t="s">
        <v>7086</v>
      </c>
      <c r="B1446" s="4" t="s">
        <v>7087</v>
      </c>
      <c r="C1446" s="4" t="s">
        <v>841</v>
      </c>
      <c r="D1446" s="3">
        <v>25.03144</v>
      </c>
      <c r="E1446" s="3">
        <v>121.508349</v>
      </c>
      <c r="F1446" s="3" t="s">
        <v>156</v>
      </c>
      <c r="G1446" s="4" t="s">
        <v>4157</v>
      </c>
      <c r="H1446" s="3"/>
    </row>
    <row r="1447" ht="15.75" customHeight="1">
      <c r="A1447" s="4" t="s">
        <v>7088</v>
      </c>
      <c r="B1447" s="4" t="s">
        <v>7089</v>
      </c>
      <c r="C1447" s="4" t="s">
        <v>841</v>
      </c>
      <c r="D1447" s="3">
        <v>25.031389</v>
      </c>
      <c r="E1447" s="3">
        <v>121.50918</v>
      </c>
      <c r="F1447" s="3" t="s">
        <v>156</v>
      </c>
      <c r="G1447" s="4" t="s">
        <v>4157</v>
      </c>
      <c r="H1447" s="3"/>
    </row>
    <row r="1448" ht="15.75" customHeight="1">
      <c r="A1448" s="4" t="s">
        <v>7090</v>
      </c>
      <c r="B1448" s="4" t="s">
        <v>7091</v>
      </c>
      <c r="C1448" s="4" t="s">
        <v>3513</v>
      </c>
      <c r="D1448" s="3">
        <v>25.031408</v>
      </c>
      <c r="E1448" s="3">
        <v>121.509203</v>
      </c>
      <c r="F1448" s="3" t="s">
        <v>156</v>
      </c>
      <c r="G1448" s="4" t="s">
        <v>4157</v>
      </c>
      <c r="H1448" s="3"/>
    </row>
    <row r="1449" ht="15.75" customHeight="1">
      <c r="A1449" s="7" t="s">
        <v>7092</v>
      </c>
      <c r="B1449" s="4" t="s">
        <v>7093</v>
      </c>
      <c r="C1449" s="9" t="s">
        <v>1335</v>
      </c>
      <c r="D1449" s="3">
        <v>25.031448</v>
      </c>
      <c r="E1449" s="3">
        <v>121.508169</v>
      </c>
      <c r="F1449" s="3" t="s">
        <v>156</v>
      </c>
      <c r="G1449" s="4" t="s">
        <v>4157</v>
      </c>
      <c r="H1449" s="3"/>
    </row>
    <row r="1450" ht="15.75" customHeight="1">
      <c r="A1450" s="4" t="s">
        <v>7094</v>
      </c>
      <c r="B1450" s="4" t="s">
        <v>7095</v>
      </c>
      <c r="C1450" s="4" t="s">
        <v>1323</v>
      </c>
      <c r="D1450" s="3">
        <v>25.031288</v>
      </c>
      <c r="E1450" s="3">
        <v>121.508543</v>
      </c>
      <c r="F1450" s="3" t="s">
        <v>156</v>
      </c>
      <c r="G1450" s="4" t="s">
        <v>4157</v>
      </c>
      <c r="H1450" s="3"/>
    </row>
    <row r="1451" ht="15.75" customHeight="1">
      <c r="A1451" s="4" t="s">
        <v>7096</v>
      </c>
      <c r="B1451" s="4" t="s">
        <v>7097</v>
      </c>
      <c r="C1451" s="4" t="s">
        <v>3525</v>
      </c>
      <c r="D1451" s="3">
        <v>25.031358</v>
      </c>
      <c r="E1451" s="3">
        <v>121.509048</v>
      </c>
      <c r="F1451" s="3" t="s">
        <v>156</v>
      </c>
      <c r="G1451" s="4" t="s">
        <v>4157</v>
      </c>
      <c r="H1451" s="3"/>
    </row>
    <row r="1452" ht="15.75" customHeight="1">
      <c r="A1452" s="4" t="s">
        <v>7098</v>
      </c>
      <c r="B1452" s="4" t="s">
        <v>7099</v>
      </c>
      <c r="C1452" s="4" t="s">
        <v>953</v>
      </c>
      <c r="D1452" s="3">
        <v>25.031399</v>
      </c>
      <c r="E1452" s="3">
        <v>121.50864</v>
      </c>
      <c r="F1452" s="3" t="s">
        <v>156</v>
      </c>
      <c r="G1452" s="4" t="s">
        <v>4157</v>
      </c>
      <c r="H1452" s="3"/>
    </row>
    <row r="1453" ht="15.75" customHeight="1">
      <c r="A1453" s="4" t="s">
        <v>7100</v>
      </c>
      <c r="B1453" s="4" t="s">
        <v>7101</v>
      </c>
      <c r="C1453" s="4" t="s">
        <v>3532</v>
      </c>
      <c r="D1453" s="3">
        <v>25.031546</v>
      </c>
      <c r="E1453" s="3">
        <v>121.50938</v>
      </c>
      <c r="F1453" s="3" t="s">
        <v>156</v>
      </c>
      <c r="G1453" s="4" t="s">
        <v>4157</v>
      </c>
      <c r="H1453" s="3"/>
    </row>
    <row r="1454" ht="15.75" customHeight="1">
      <c r="A1454" s="4" t="s">
        <v>7102</v>
      </c>
      <c r="B1454" s="4" t="s">
        <v>7103</v>
      </c>
      <c r="C1454" s="4" t="s">
        <v>1321</v>
      </c>
      <c r="D1454" s="3">
        <v>25.031415</v>
      </c>
      <c r="E1454" s="3">
        <v>121.508128</v>
      </c>
      <c r="F1454" s="3" t="s">
        <v>156</v>
      </c>
      <c r="G1454" s="4" t="s">
        <v>4157</v>
      </c>
      <c r="H1454" s="3"/>
    </row>
    <row r="1455" ht="15.75" customHeight="1">
      <c r="A1455" s="4" t="s">
        <v>7104</v>
      </c>
      <c r="B1455" s="4" t="s">
        <v>7105</v>
      </c>
      <c r="C1455" s="4" t="s">
        <v>3509</v>
      </c>
      <c r="D1455" s="3">
        <v>25.031098</v>
      </c>
      <c r="E1455" s="3">
        <v>121.508722</v>
      </c>
      <c r="F1455" s="3" t="s">
        <v>156</v>
      </c>
      <c r="G1455" s="4" t="s">
        <v>4157</v>
      </c>
      <c r="H1455" s="3"/>
    </row>
    <row r="1456" ht="15.75" customHeight="1">
      <c r="A1456" s="4" t="s">
        <v>7106</v>
      </c>
      <c r="B1456" s="4" t="s">
        <v>7107</v>
      </c>
      <c r="C1456" s="4" t="s">
        <v>3520</v>
      </c>
      <c r="D1456" s="3">
        <v>25.031299</v>
      </c>
      <c r="E1456" s="3">
        <v>121.509138</v>
      </c>
      <c r="F1456" s="3" t="s">
        <v>156</v>
      </c>
      <c r="G1456" s="4" t="s">
        <v>4157</v>
      </c>
      <c r="H1456" s="3"/>
    </row>
    <row r="1457" ht="15.75" customHeight="1">
      <c r="A1457" s="4" t="s">
        <v>7108</v>
      </c>
      <c r="B1457" s="4" t="s">
        <v>7109</v>
      </c>
      <c r="C1457" s="4" t="s">
        <v>899</v>
      </c>
      <c r="D1457" s="3">
        <v>25.031465</v>
      </c>
      <c r="E1457" s="3">
        <v>121.508561</v>
      </c>
      <c r="F1457" s="3" t="s">
        <v>156</v>
      </c>
      <c r="G1457" s="4" t="s">
        <v>4157</v>
      </c>
      <c r="H1457" s="3"/>
    </row>
    <row r="1458" ht="15.75" customHeight="1">
      <c r="A1458" s="4" t="s">
        <v>7110</v>
      </c>
      <c r="B1458" s="4" t="s">
        <v>7111</v>
      </c>
      <c r="C1458" s="4" t="s">
        <v>3549</v>
      </c>
      <c r="D1458" s="3">
        <v>25.031414</v>
      </c>
      <c r="E1458" s="3">
        <v>121.509019</v>
      </c>
      <c r="F1458" s="3" t="s">
        <v>156</v>
      </c>
      <c r="G1458" s="4" t="s">
        <v>4157</v>
      </c>
      <c r="H1458" s="3"/>
    </row>
    <row r="1459" ht="15.75" customHeight="1">
      <c r="A1459" s="4" t="s">
        <v>7112</v>
      </c>
      <c r="B1459" s="4" t="s">
        <v>7113</v>
      </c>
      <c r="C1459" s="4" t="s">
        <v>3569</v>
      </c>
      <c r="D1459" s="3">
        <v>25.031461</v>
      </c>
      <c r="E1459" s="3">
        <v>121.509069</v>
      </c>
      <c r="F1459" s="3" t="s">
        <v>156</v>
      </c>
      <c r="G1459" s="4" t="s">
        <v>4157</v>
      </c>
      <c r="H1459" s="3"/>
    </row>
    <row r="1460" ht="15.75" customHeight="1">
      <c r="A1460" s="4" t="s">
        <v>7114</v>
      </c>
      <c r="B1460" s="4" t="s">
        <v>7115</v>
      </c>
      <c r="C1460" s="4" t="s">
        <v>269</v>
      </c>
      <c r="D1460" s="3">
        <v>25.032702</v>
      </c>
      <c r="E1460" s="3">
        <v>121.509809</v>
      </c>
      <c r="F1460" s="3" t="s">
        <v>130</v>
      </c>
      <c r="G1460" s="4" t="s">
        <v>4157</v>
      </c>
      <c r="H1460" s="3"/>
    </row>
    <row r="1461" ht="15.75" customHeight="1">
      <c r="A1461" s="4" t="s">
        <v>7116</v>
      </c>
      <c r="B1461" s="4" t="s">
        <v>7117</v>
      </c>
      <c r="C1461" s="4" t="s">
        <v>3547</v>
      </c>
      <c r="D1461" s="3">
        <v>25.031358</v>
      </c>
      <c r="E1461" s="3">
        <v>121.509136</v>
      </c>
      <c r="F1461" s="3" t="s">
        <v>156</v>
      </c>
      <c r="G1461" s="4" t="s">
        <v>4157</v>
      </c>
      <c r="H1461" s="3"/>
    </row>
    <row r="1462" ht="15.75" customHeight="1">
      <c r="A1462" s="4" t="s">
        <v>7118</v>
      </c>
      <c r="B1462" s="4" t="s">
        <v>7119</v>
      </c>
      <c r="C1462" s="4" t="s">
        <v>1190</v>
      </c>
      <c r="D1462" s="3">
        <v>25.031681</v>
      </c>
      <c r="E1462" s="3">
        <v>121.509163</v>
      </c>
      <c r="F1462" s="3" t="s">
        <v>156</v>
      </c>
      <c r="G1462" s="4" t="s">
        <v>4157</v>
      </c>
      <c r="H1462" s="3"/>
    </row>
    <row r="1463" ht="15.75" customHeight="1">
      <c r="A1463" s="4" t="s">
        <v>7120</v>
      </c>
      <c r="B1463" s="4" t="s">
        <v>7121</v>
      </c>
      <c r="C1463" s="4" t="s">
        <v>1051</v>
      </c>
      <c r="D1463" s="3">
        <v>25.031739</v>
      </c>
      <c r="E1463" s="3">
        <v>121.508362</v>
      </c>
      <c r="F1463" s="3" t="s">
        <v>156</v>
      </c>
      <c r="G1463" s="4" t="s">
        <v>4157</v>
      </c>
      <c r="H1463" s="3"/>
    </row>
    <row r="1464" ht="15.75" customHeight="1">
      <c r="A1464" s="4" t="s">
        <v>7122</v>
      </c>
      <c r="B1464" s="4" t="s">
        <v>7123</v>
      </c>
      <c r="C1464" s="4" t="s">
        <v>3527</v>
      </c>
      <c r="D1464" s="3">
        <v>25.031289</v>
      </c>
      <c r="E1464" s="3">
        <v>121.509119</v>
      </c>
      <c r="F1464" s="3" t="s">
        <v>156</v>
      </c>
      <c r="G1464" s="4" t="s">
        <v>4157</v>
      </c>
      <c r="H1464" s="3"/>
    </row>
    <row r="1465" ht="15.75" customHeight="1">
      <c r="A1465" s="4" t="s">
        <v>7124</v>
      </c>
      <c r="B1465" s="4" t="s">
        <v>7125</v>
      </c>
      <c r="C1465" s="4" t="s">
        <v>296</v>
      </c>
      <c r="D1465" s="3">
        <v>25.032276</v>
      </c>
      <c r="E1465" s="3">
        <v>121.511165</v>
      </c>
      <c r="F1465" s="3" t="s">
        <v>44</v>
      </c>
      <c r="G1465" s="4" t="s">
        <v>4157</v>
      </c>
      <c r="H1465" s="3"/>
    </row>
    <row r="1466" ht="15.75" customHeight="1">
      <c r="A1466" s="4" t="s">
        <v>7126</v>
      </c>
      <c r="B1466" s="4" t="s">
        <v>7127</v>
      </c>
      <c r="C1466" s="4" t="s">
        <v>844</v>
      </c>
      <c r="D1466" s="3">
        <v>25.031901</v>
      </c>
      <c r="E1466" s="3">
        <v>121.511688</v>
      </c>
      <c r="F1466" s="3" t="s">
        <v>44</v>
      </c>
      <c r="G1466" s="4" t="s">
        <v>4157</v>
      </c>
      <c r="H1466" s="3"/>
    </row>
    <row r="1467" ht="15.75" customHeight="1">
      <c r="A1467" s="4" t="s">
        <v>7128</v>
      </c>
      <c r="B1467" s="4" t="s">
        <v>7129</v>
      </c>
      <c r="C1467" s="4" t="s">
        <v>844</v>
      </c>
      <c r="D1467" s="3">
        <v>25.031302</v>
      </c>
      <c r="E1467" s="3">
        <v>121.509344</v>
      </c>
      <c r="F1467" s="3" t="s">
        <v>156</v>
      </c>
      <c r="G1467" s="4" t="s">
        <v>4157</v>
      </c>
      <c r="H1467" s="3"/>
    </row>
    <row r="1468" ht="15.75" customHeight="1">
      <c r="A1468" s="4" t="s">
        <v>7130</v>
      </c>
      <c r="B1468" s="4" t="s">
        <v>7131</v>
      </c>
      <c r="C1468" s="4" t="s">
        <v>286</v>
      </c>
      <c r="D1468" s="3">
        <v>25.031281</v>
      </c>
      <c r="E1468" s="3">
        <v>121.50892</v>
      </c>
      <c r="F1468" s="3" t="s">
        <v>156</v>
      </c>
      <c r="G1468" s="4" t="s">
        <v>4157</v>
      </c>
      <c r="H1468" s="3"/>
    </row>
    <row r="1469" ht="15.75" customHeight="1">
      <c r="A1469" s="4" t="s">
        <v>7132</v>
      </c>
      <c r="B1469" s="4" t="s">
        <v>7133</v>
      </c>
      <c r="C1469" s="4" t="s">
        <v>722</v>
      </c>
      <c r="D1469" s="3">
        <v>25.031748</v>
      </c>
      <c r="E1469" s="3">
        <v>121.5091</v>
      </c>
      <c r="F1469" s="3" t="s">
        <v>156</v>
      </c>
      <c r="G1469" s="4" t="s">
        <v>4157</v>
      </c>
      <c r="H1469" s="3"/>
    </row>
    <row r="1470" ht="15.75" customHeight="1">
      <c r="A1470" s="4" t="s">
        <v>7134</v>
      </c>
      <c r="B1470" s="4" t="s">
        <v>7135</v>
      </c>
      <c r="C1470" s="4" t="s">
        <v>3554</v>
      </c>
      <c r="D1470" s="3">
        <v>25.031304</v>
      </c>
      <c r="E1470" s="3">
        <v>121.50927</v>
      </c>
      <c r="F1470" s="3" t="s">
        <v>156</v>
      </c>
      <c r="G1470" s="4" t="s">
        <v>4157</v>
      </c>
      <c r="H1470" s="3"/>
    </row>
    <row r="1471" ht="15.75" customHeight="1">
      <c r="A1471" s="4" t="s">
        <v>7136</v>
      </c>
      <c r="B1471" s="4" t="s">
        <v>7137</v>
      </c>
      <c r="C1471" s="4" t="s">
        <v>3573</v>
      </c>
      <c r="D1471" s="3">
        <v>25.031323</v>
      </c>
      <c r="E1471" s="3">
        <v>121.509137</v>
      </c>
      <c r="F1471" s="3" t="s">
        <v>156</v>
      </c>
      <c r="G1471" s="4" t="s">
        <v>4157</v>
      </c>
      <c r="H1471" s="3"/>
    </row>
    <row r="1472" ht="15.75" customHeight="1">
      <c r="A1472" s="4" t="s">
        <v>7138</v>
      </c>
      <c r="B1472" s="4" t="s">
        <v>7139</v>
      </c>
      <c r="C1472" s="4" t="s">
        <v>306</v>
      </c>
      <c r="D1472" s="3">
        <v>25.031309</v>
      </c>
      <c r="E1472" s="3">
        <v>121.508955</v>
      </c>
      <c r="F1472" s="3" t="s">
        <v>156</v>
      </c>
      <c r="G1472" s="4" t="s">
        <v>4157</v>
      </c>
      <c r="H1472" s="3"/>
    </row>
    <row r="1473" ht="15.75" customHeight="1">
      <c r="A1473" s="4" t="s">
        <v>7140</v>
      </c>
      <c r="B1473" s="4" t="s">
        <v>7141</v>
      </c>
      <c r="C1473" s="4" t="s">
        <v>2916</v>
      </c>
      <c r="D1473" s="3">
        <v>25.031751</v>
      </c>
      <c r="E1473" s="3">
        <v>121.50949</v>
      </c>
      <c r="F1473" s="3" t="s">
        <v>156</v>
      </c>
      <c r="G1473" s="4" t="s">
        <v>4157</v>
      </c>
      <c r="H1473" s="3"/>
    </row>
    <row r="1474" ht="15.75" customHeight="1">
      <c r="A1474" s="4" t="s">
        <v>7142</v>
      </c>
      <c r="B1474" s="4" t="s">
        <v>7143</v>
      </c>
      <c r="C1474" s="4" t="s">
        <v>1326</v>
      </c>
      <c r="D1474" s="3">
        <v>25.031486</v>
      </c>
      <c r="E1474" s="3">
        <v>121.508226</v>
      </c>
      <c r="F1474" s="3" t="s">
        <v>156</v>
      </c>
      <c r="G1474" s="4" t="s">
        <v>4157</v>
      </c>
      <c r="H1474" s="3"/>
    </row>
    <row r="1475" ht="15.75" customHeight="1">
      <c r="A1475" s="4" t="s">
        <v>7144</v>
      </c>
      <c r="B1475" s="4" t="s">
        <v>7145</v>
      </c>
      <c r="C1475" s="4" t="s">
        <v>2893</v>
      </c>
      <c r="D1475" s="3">
        <v>25.032038</v>
      </c>
      <c r="E1475" s="3">
        <v>121.509467</v>
      </c>
      <c r="F1475" s="3" t="s">
        <v>156</v>
      </c>
      <c r="G1475" s="4" t="s">
        <v>4157</v>
      </c>
      <c r="H1475" s="3"/>
    </row>
    <row r="1476" ht="15.75" customHeight="1">
      <c r="A1476" s="4" t="s">
        <v>7146</v>
      </c>
      <c r="B1476" s="4" t="s">
        <v>7147</v>
      </c>
      <c r="C1476" s="4" t="s">
        <v>289</v>
      </c>
      <c r="D1476" s="3">
        <v>25.031397</v>
      </c>
      <c r="E1476" s="3">
        <v>121.50892</v>
      </c>
      <c r="F1476" s="3" t="s">
        <v>156</v>
      </c>
      <c r="G1476" s="4" t="s">
        <v>4157</v>
      </c>
      <c r="H1476" s="3"/>
    </row>
    <row r="1477" ht="15.75" customHeight="1">
      <c r="A1477" s="4" t="s">
        <v>7148</v>
      </c>
      <c r="B1477" s="4" t="s">
        <v>7149</v>
      </c>
      <c r="C1477" s="4" t="s">
        <v>3564</v>
      </c>
      <c r="D1477" s="3">
        <v>25.03133</v>
      </c>
      <c r="E1477" s="3">
        <v>121.509247</v>
      </c>
      <c r="F1477" s="3" t="s">
        <v>156</v>
      </c>
      <c r="G1477" s="4" t="s">
        <v>4157</v>
      </c>
      <c r="H1477" s="3"/>
    </row>
    <row r="1478" ht="15.75" customHeight="1">
      <c r="A1478" s="4" t="s">
        <v>7150</v>
      </c>
      <c r="B1478" s="4" t="s">
        <v>7151</v>
      </c>
      <c r="C1478" s="4" t="s">
        <v>298</v>
      </c>
      <c r="D1478" s="3">
        <v>25.031294</v>
      </c>
      <c r="E1478" s="3">
        <v>121.508947</v>
      </c>
      <c r="F1478" s="3" t="s">
        <v>156</v>
      </c>
      <c r="G1478" s="4" t="s">
        <v>4157</v>
      </c>
      <c r="H1478" s="3"/>
    </row>
    <row r="1479" ht="15.75" customHeight="1">
      <c r="A1479" s="4" t="s">
        <v>7152</v>
      </c>
      <c r="B1479" s="4" t="s">
        <v>7153</v>
      </c>
      <c r="C1479" s="4" t="s">
        <v>301</v>
      </c>
      <c r="D1479" s="3">
        <v>25.0313</v>
      </c>
      <c r="E1479" s="3">
        <v>121.508811</v>
      </c>
      <c r="F1479" s="3" t="s">
        <v>156</v>
      </c>
      <c r="G1479" s="4" t="s">
        <v>4157</v>
      </c>
      <c r="H1479" s="3"/>
    </row>
    <row r="1480" ht="15.75" customHeight="1">
      <c r="A1480" s="4" t="s">
        <v>7154</v>
      </c>
      <c r="B1480" s="4" t="s">
        <v>7155</v>
      </c>
      <c r="C1480" s="4" t="s">
        <v>1347</v>
      </c>
      <c r="D1480" s="3">
        <v>25.032198</v>
      </c>
      <c r="E1480" s="3">
        <v>121.51046</v>
      </c>
      <c r="F1480" s="3" t="s">
        <v>44</v>
      </c>
      <c r="G1480" s="4" t="s">
        <v>4157</v>
      </c>
      <c r="H1480" s="3"/>
    </row>
    <row r="1481" ht="15.75" customHeight="1">
      <c r="A1481" s="4" t="s">
        <v>7156</v>
      </c>
      <c r="B1481" s="4" t="s">
        <v>7157</v>
      </c>
      <c r="C1481" s="4" t="s">
        <v>2913</v>
      </c>
      <c r="D1481" s="3">
        <v>25.031827</v>
      </c>
      <c r="E1481" s="3">
        <v>121.50954</v>
      </c>
      <c r="F1481" s="3" t="s">
        <v>156</v>
      </c>
      <c r="G1481" s="4" t="s">
        <v>4157</v>
      </c>
      <c r="H1481" s="3"/>
    </row>
    <row r="1482" ht="15.75" customHeight="1">
      <c r="A1482" s="4" t="s">
        <v>7158</v>
      </c>
      <c r="B1482" s="4" t="s">
        <v>7159</v>
      </c>
      <c r="C1482" s="4" t="s">
        <v>3562</v>
      </c>
      <c r="D1482" s="3">
        <v>25.031406</v>
      </c>
      <c r="E1482" s="3">
        <v>121.509113</v>
      </c>
      <c r="F1482" s="3" t="s">
        <v>156</v>
      </c>
      <c r="G1482" s="4" t="s">
        <v>4157</v>
      </c>
      <c r="H1482" s="3"/>
    </row>
    <row r="1483" ht="15.75" customHeight="1">
      <c r="A1483" s="4" t="s">
        <v>7160</v>
      </c>
      <c r="B1483" s="4" t="s">
        <v>7161</v>
      </c>
      <c r="C1483" s="4" t="s">
        <v>3579</v>
      </c>
      <c r="D1483" s="3">
        <v>25.031272</v>
      </c>
      <c r="E1483" s="3">
        <v>121.509099</v>
      </c>
      <c r="F1483" s="3" t="s">
        <v>156</v>
      </c>
      <c r="G1483" s="4" t="s">
        <v>4157</v>
      </c>
      <c r="H1483" s="3"/>
    </row>
    <row r="1484" ht="15.75" customHeight="1">
      <c r="A1484" s="4" t="s">
        <v>7162</v>
      </c>
      <c r="B1484" s="4" t="s">
        <v>7163</v>
      </c>
      <c r="C1484" s="4" t="s">
        <v>3446</v>
      </c>
      <c r="D1484" s="3">
        <v>25.031436</v>
      </c>
      <c r="E1484" s="3">
        <v>121.509074</v>
      </c>
      <c r="F1484" s="3" t="s">
        <v>156</v>
      </c>
      <c r="G1484" s="4" t="s">
        <v>4157</v>
      </c>
      <c r="H1484" s="3"/>
    </row>
    <row r="1485" ht="15.75" customHeight="1">
      <c r="A1485" s="4" t="s">
        <v>7164</v>
      </c>
      <c r="B1485" s="4" t="s">
        <v>7165</v>
      </c>
      <c r="C1485" s="4" t="s">
        <v>1357</v>
      </c>
      <c r="D1485" s="3">
        <v>25.031506</v>
      </c>
      <c r="E1485" s="3">
        <v>121.508105</v>
      </c>
      <c r="F1485" s="3" t="s">
        <v>156</v>
      </c>
      <c r="G1485" s="4" t="s">
        <v>4157</v>
      </c>
      <c r="H1485" s="3"/>
    </row>
    <row r="1486" ht="15.75" customHeight="1">
      <c r="A1486" s="4" t="s">
        <v>7166</v>
      </c>
      <c r="B1486" s="4" t="s">
        <v>7167</v>
      </c>
      <c r="C1486" s="4" t="s">
        <v>955</v>
      </c>
      <c r="D1486" s="3">
        <v>25.031527</v>
      </c>
      <c r="E1486" s="3">
        <v>121.508379</v>
      </c>
      <c r="F1486" s="3" t="s">
        <v>156</v>
      </c>
      <c r="G1486" s="4" t="s">
        <v>4157</v>
      </c>
      <c r="H1486" s="3"/>
    </row>
    <row r="1487" ht="15.75" customHeight="1">
      <c r="A1487" s="4" t="s">
        <v>7168</v>
      </c>
      <c r="B1487" s="4" t="s">
        <v>7169</v>
      </c>
      <c r="C1487" s="4" t="s">
        <v>1420</v>
      </c>
      <c r="D1487" s="3">
        <v>25.031386</v>
      </c>
      <c r="E1487" s="3">
        <v>121.50867</v>
      </c>
      <c r="F1487" s="3" t="s">
        <v>156</v>
      </c>
      <c r="G1487" s="4" t="s">
        <v>4157</v>
      </c>
      <c r="H1487" s="3"/>
    </row>
    <row r="1488" ht="15.75" customHeight="1">
      <c r="A1488" s="4" t="s">
        <v>7170</v>
      </c>
      <c r="B1488" s="4" t="s">
        <v>7171</v>
      </c>
      <c r="C1488" s="4" t="s">
        <v>3538</v>
      </c>
      <c r="D1488" s="3">
        <v>25.031418</v>
      </c>
      <c r="E1488" s="3">
        <v>121.509045</v>
      </c>
      <c r="F1488" s="3" t="s">
        <v>156</v>
      </c>
      <c r="G1488" s="4" t="s">
        <v>4157</v>
      </c>
      <c r="H1488" s="3"/>
    </row>
    <row r="1489" ht="15.75" customHeight="1">
      <c r="A1489" s="4" t="s">
        <v>7172</v>
      </c>
      <c r="B1489" s="4" t="s">
        <v>7173</v>
      </c>
      <c r="C1489" s="4" t="s">
        <v>1333</v>
      </c>
      <c r="D1489" s="3">
        <v>25.032744</v>
      </c>
      <c r="E1489" s="3">
        <v>121.509794</v>
      </c>
      <c r="F1489" s="3" t="s">
        <v>130</v>
      </c>
      <c r="G1489" s="4" t="s">
        <v>4157</v>
      </c>
      <c r="H1489" s="3"/>
    </row>
    <row r="1490" ht="15.75" customHeight="1">
      <c r="A1490" s="4" t="s">
        <v>7174</v>
      </c>
      <c r="B1490" s="4" t="s">
        <v>7175</v>
      </c>
      <c r="C1490" s="4" t="s">
        <v>968</v>
      </c>
      <c r="D1490" s="3">
        <v>25.031414</v>
      </c>
      <c r="E1490" s="3">
        <v>121.50861</v>
      </c>
      <c r="F1490" s="3" t="s">
        <v>156</v>
      </c>
      <c r="G1490" s="4" t="s">
        <v>4157</v>
      </c>
      <c r="H1490" s="3"/>
    </row>
    <row r="1491" ht="15.75" customHeight="1">
      <c r="A1491" s="4" t="s">
        <v>7176</v>
      </c>
      <c r="B1491" s="4" t="s">
        <v>7177</v>
      </c>
      <c r="C1491" s="4" t="s">
        <v>1354</v>
      </c>
      <c r="D1491" s="3">
        <v>25.031461</v>
      </c>
      <c r="E1491" s="3">
        <v>121.508267</v>
      </c>
      <c r="F1491" s="3" t="s">
        <v>156</v>
      </c>
      <c r="G1491" s="4" t="s">
        <v>4157</v>
      </c>
      <c r="H1491" s="3"/>
    </row>
    <row r="1492" ht="15.75" customHeight="1">
      <c r="A1492" s="4" t="s">
        <v>7178</v>
      </c>
      <c r="B1492" s="4" t="s">
        <v>7179</v>
      </c>
      <c r="C1492" s="4" t="s">
        <v>966</v>
      </c>
      <c r="D1492" s="3">
        <v>25.031431</v>
      </c>
      <c r="E1492" s="3">
        <v>121.508587</v>
      </c>
      <c r="F1492" s="3" t="s">
        <v>156</v>
      </c>
      <c r="G1492" s="4" t="s">
        <v>4157</v>
      </c>
      <c r="H1492" s="3"/>
    </row>
    <row r="1493" ht="15.75" customHeight="1">
      <c r="A1493" s="4" t="s">
        <v>7180</v>
      </c>
      <c r="B1493" s="4" t="s">
        <v>7181</v>
      </c>
      <c r="C1493" s="4" t="s">
        <v>2921</v>
      </c>
      <c r="D1493" s="3">
        <v>25.03165</v>
      </c>
      <c r="E1493" s="3">
        <v>121.509259</v>
      </c>
      <c r="F1493" s="3" t="s">
        <v>156</v>
      </c>
      <c r="G1493" s="4" t="s">
        <v>4157</v>
      </c>
      <c r="H1493" s="3"/>
    </row>
    <row r="1494" ht="15.75" customHeight="1">
      <c r="A1494" s="4" t="s">
        <v>7182</v>
      </c>
      <c r="B1494" s="4" t="s">
        <v>7183</v>
      </c>
      <c r="C1494" s="4" t="s">
        <v>282</v>
      </c>
      <c r="D1494" s="3">
        <v>25.031405</v>
      </c>
      <c r="E1494" s="3">
        <v>121.508899</v>
      </c>
      <c r="F1494" s="3" t="s">
        <v>156</v>
      </c>
      <c r="G1494" s="4" t="s">
        <v>4157</v>
      </c>
      <c r="H1494" s="3"/>
    </row>
    <row r="1495" ht="15.75" customHeight="1">
      <c r="A1495" s="4" t="s">
        <v>7184</v>
      </c>
      <c r="B1495" s="4" t="s">
        <v>7185</v>
      </c>
      <c r="C1495" s="4" t="s">
        <v>1339</v>
      </c>
      <c r="D1495" s="3">
        <v>25.031496</v>
      </c>
      <c r="E1495" s="3">
        <v>121.508207</v>
      </c>
      <c r="F1495" s="3" t="s">
        <v>156</v>
      </c>
      <c r="G1495" s="4" t="s">
        <v>4157</v>
      </c>
      <c r="H1495" s="3"/>
    </row>
    <row r="1496" ht="15.75" customHeight="1">
      <c r="A1496" s="9" t="s">
        <v>3571</v>
      </c>
      <c r="B1496" s="4" t="s">
        <v>7186</v>
      </c>
      <c r="C1496" s="9" t="s">
        <v>3571</v>
      </c>
      <c r="D1496" s="3">
        <v>25.03136</v>
      </c>
      <c r="E1496" s="3">
        <v>121.509199</v>
      </c>
      <c r="F1496" s="3" t="s">
        <v>156</v>
      </c>
      <c r="G1496" s="4" t="s">
        <v>4157</v>
      </c>
      <c r="H1496" s="3"/>
    </row>
    <row r="1497" ht="15.75" customHeight="1">
      <c r="A1497" s="4" t="s">
        <v>7187</v>
      </c>
      <c r="B1497" s="4" t="s">
        <v>7188</v>
      </c>
      <c r="C1497" s="4" t="s">
        <v>3560</v>
      </c>
      <c r="D1497" s="3">
        <v>25.031413</v>
      </c>
      <c r="E1497" s="3">
        <v>121.50932</v>
      </c>
      <c r="F1497" s="3" t="s">
        <v>156</v>
      </c>
      <c r="G1497" s="4" t="s">
        <v>4157</v>
      </c>
      <c r="H1497" s="3"/>
    </row>
    <row r="1498" ht="15.75" customHeight="1">
      <c r="A1498" s="4" t="s">
        <v>7189</v>
      </c>
      <c r="B1498" s="4" t="s">
        <v>7190</v>
      </c>
      <c r="C1498" s="4" t="s">
        <v>3541</v>
      </c>
      <c r="D1498" s="3">
        <v>25.031454</v>
      </c>
      <c r="E1498" s="3">
        <v>121.509066</v>
      </c>
      <c r="F1498" s="3" t="s">
        <v>156</v>
      </c>
      <c r="G1498" s="4" t="s">
        <v>4157</v>
      </c>
      <c r="H1498" s="3"/>
    </row>
    <row r="1499" ht="15.75" customHeight="1">
      <c r="A1499" s="4" t="s">
        <v>7191</v>
      </c>
      <c r="B1499" s="4" t="s">
        <v>7192</v>
      </c>
      <c r="C1499" s="4" t="s">
        <v>3545</v>
      </c>
      <c r="D1499" s="3">
        <v>25.031361</v>
      </c>
      <c r="E1499" s="3">
        <v>121.509165</v>
      </c>
      <c r="F1499" s="3" t="s">
        <v>156</v>
      </c>
      <c r="G1499" s="4" t="s">
        <v>4157</v>
      </c>
      <c r="H1499" s="3"/>
    </row>
    <row r="1500" ht="15.75" customHeight="1">
      <c r="A1500" s="4" t="s">
        <v>7193</v>
      </c>
      <c r="B1500" s="4" t="s">
        <v>7194</v>
      </c>
      <c r="C1500" s="4" t="s">
        <v>1065</v>
      </c>
      <c r="D1500" s="3">
        <v>25.031787</v>
      </c>
      <c r="E1500" s="3">
        <v>121.508338</v>
      </c>
      <c r="F1500" s="3" t="s">
        <v>156</v>
      </c>
      <c r="G1500" s="4" t="s">
        <v>4157</v>
      </c>
      <c r="H1500" s="3"/>
    </row>
    <row r="1501" ht="15.75" customHeight="1">
      <c r="A1501" s="4" t="s">
        <v>7195</v>
      </c>
      <c r="B1501" s="4" t="s">
        <v>7196</v>
      </c>
      <c r="C1501" s="4" t="s">
        <v>2919</v>
      </c>
      <c r="D1501" s="3">
        <v>25.031668</v>
      </c>
      <c r="E1501" s="3">
        <v>121.509519</v>
      </c>
      <c r="F1501" s="3" t="s">
        <v>156</v>
      </c>
      <c r="G1501" s="4" t="s">
        <v>4157</v>
      </c>
      <c r="H1501" s="3"/>
    </row>
    <row r="1502" ht="15.75" customHeight="1">
      <c r="A1502" s="4" t="s">
        <v>7197</v>
      </c>
      <c r="B1502" s="4" t="s">
        <v>7198</v>
      </c>
      <c r="C1502" s="4" t="s">
        <v>3558</v>
      </c>
      <c r="D1502" s="3">
        <v>25.0314</v>
      </c>
      <c r="E1502" s="3">
        <v>121.509448</v>
      </c>
      <c r="F1502" s="3" t="s">
        <v>156</v>
      </c>
      <c r="G1502" s="4" t="s">
        <v>4157</v>
      </c>
      <c r="H1502" s="3"/>
    </row>
    <row r="1503" ht="15.75" customHeight="1">
      <c r="A1503" s="4" t="s">
        <v>7199</v>
      </c>
      <c r="B1503" s="4" t="s">
        <v>7200</v>
      </c>
      <c r="C1503" s="4" t="s">
        <v>3556</v>
      </c>
      <c r="D1503" s="3">
        <v>25.031333</v>
      </c>
      <c r="E1503" s="3">
        <v>121.509076</v>
      </c>
      <c r="F1503" s="3" t="s">
        <v>156</v>
      </c>
      <c r="G1503" s="4" t="s">
        <v>4157</v>
      </c>
      <c r="H1503" s="3"/>
    </row>
    <row r="1504" ht="15.75" customHeight="1">
      <c r="A1504" s="4" t="s">
        <v>7201</v>
      </c>
      <c r="B1504" s="4" t="s">
        <v>7202</v>
      </c>
      <c r="C1504" s="4" t="s">
        <v>963</v>
      </c>
      <c r="D1504" s="3">
        <v>25.03135</v>
      </c>
      <c r="E1504" s="3">
        <v>121.508663</v>
      </c>
      <c r="F1504" s="3" t="s">
        <v>156</v>
      </c>
      <c r="G1504" s="4" t="s">
        <v>4157</v>
      </c>
      <c r="H1504" s="3"/>
    </row>
    <row r="1505" ht="15.75" customHeight="1">
      <c r="A1505" s="4" t="s">
        <v>7203</v>
      </c>
      <c r="B1505" s="4" t="s">
        <v>7204</v>
      </c>
      <c r="C1505" s="4" t="s">
        <v>3543</v>
      </c>
      <c r="D1505" s="3">
        <v>25.031445</v>
      </c>
      <c r="E1505" s="3">
        <v>121.509059</v>
      </c>
      <c r="F1505" s="3" t="s">
        <v>156</v>
      </c>
      <c r="G1505" s="4" t="s">
        <v>4157</v>
      </c>
      <c r="H1505" s="3"/>
    </row>
    <row r="1506" ht="15.75" customHeight="1">
      <c r="A1506" s="4" t="s">
        <v>7205</v>
      </c>
      <c r="B1506" s="4" t="s">
        <v>7206</v>
      </c>
      <c r="C1506" s="4" t="s">
        <v>937</v>
      </c>
      <c r="D1506" s="3">
        <v>25.031364</v>
      </c>
      <c r="E1506" s="3">
        <v>121.508395</v>
      </c>
      <c r="F1506" s="3" t="s">
        <v>156</v>
      </c>
      <c r="G1506" s="4" t="s">
        <v>4157</v>
      </c>
      <c r="H1506" s="3"/>
    </row>
    <row r="1507" ht="15.75" customHeight="1">
      <c r="A1507" s="4" t="s">
        <v>7207</v>
      </c>
      <c r="B1507" s="4" t="s">
        <v>7208</v>
      </c>
      <c r="C1507" s="4" t="s">
        <v>1319</v>
      </c>
      <c r="D1507" s="3">
        <v>25.031627</v>
      </c>
      <c r="E1507" s="3">
        <v>121.508253</v>
      </c>
      <c r="F1507" s="3" t="s">
        <v>156</v>
      </c>
      <c r="G1507" s="4" t="s">
        <v>4157</v>
      </c>
      <c r="H1507" s="3"/>
    </row>
    <row r="1508" ht="15.75" customHeight="1">
      <c r="A1508" s="4" t="s">
        <v>7209</v>
      </c>
      <c r="B1508" s="4" t="s">
        <v>7210</v>
      </c>
      <c r="C1508" s="4" t="s">
        <v>1310</v>
      </c>
      <c r="D1508" s="3">
        <v>25.032438</v>
      </c>
      <c r="E1508" s="3">
        <v>121.511035</v>
      </c>
      <c r="F1508" s="3" t="s">
        <v>44</v>
      </c>
      <c r="G1508" s="4" t="s">
        <v>4157</v>
      </c>
      <c r="H1508" s="3"/>
    </row>
    <row r="1509" ht="15.75" customHeight="1">
      <c r="A1509" s="4" t="s">
        <v>7211</v>
      </c>
      <c r="B1509" s="4" t="s">
        <v>7212</v>
      </c>
      <c r="C1509" s="4" t="s">
        <v>293</v>
      </c>
      <c r="D1509" s="3">
        <v>25.03141</v>
      </c>
      <c r="E1509" s="3">
        <v>121.508871</v>
      </c>
      <c r="F1509" s="3" t="s">
        <v>156</v>
      </c>
      <c r="G1509" s="4" t="s">
        <v>4157</v>
      </c>
      <c r="H1509" s="3"/>
    </row>
    <row r="1510" ht="15.75" customHeight="1">
      <c r="A1510" s="4" t="s">
        <v>7213</v>
      </c>
      <c r="B1510" s="4" t="s">
        <v>7214</v>
      </c>
      <c r="C1510" s="4" t="s">
        <v>3577</v>
      </c>
      <c r="D1510" s="3">
        <v>25.031362</v>
      </c>
      <c r="E1510" s="3">
        <v>121.509032</v>
      </c>
      <c r="F1510" s="3" t="s">
        <v>156</v>
      </c>
      <c r="G1510" s="4" t="s">
        <v>4157</v>
      </c>
      <c r="H1510" s="3"/>
    </row>
    <row r="1511" ht="15.75" customHeight="1">
      <c r="A1511" s="4" t="s">
        <v>7215</v>
      </c>
      <c r="B1511" s="4" t="s">
        <v>7216</v>
      </c>
      <c r="C1511" s="4" t="s">
        <v>7217</v>
      </c>
      <c r="D1511" s="3">
        <v>25.031555</v>
      </c>
      <c r="E1511" s="3">
        <v>121.509596</v>
      </c>
      <c r="F1511" s="3" t="s">
        <v>156</v>
      </c>
      <c r="G1511" s="4" t="s">
        <v>4157</v>
      </c>
      <c r="H1511" s="3"/>
    </row>
    <row r="1512" ht="15.75" customHeight="1">
      <c r="A1512" s="4" t="s">
        <v>7218</v>
      </c>
      <c r="B1512" s="4" t="s">
        <v>7219</v>
      </c>
      <c r="C1512" s="4" t="s">
        <v>861</v>
      </c>
      <c r="D1512" s="3">
        <v>25.030966</v>
      </c>
      <c r="E1512" s="3">
        <v>121.508946</v>
      </c>
      <c r="F1512" s="3" t="s">
        <v>156</v>
      </c>
      <c r="G1512" s="4" t="s">
        <v>4157</v>
      </c>
      <c r="H1512" s="3"/>
    </row>
    <row r="1513" ht="15.75" customHeight="1">
      <c r="A1513" s="4" t="s">
        <v>7220</v>
      </c>
      <c r="B1513" s="4" t="s">
        <v>7221</v>
      </c>
      <c r="C1513" s="4" t="s">
        <v>3575</v>
      </c>
      <c r="D1513" s="3">
        <v>25.031406</v>
      </c>
      <c r="E1513" s="3">
        <v>121.509234</v>
      </c>
      <c r="F1513" s="3" t="s">
        <v>156</v>
      </c>
      <c r="G1513" s="4" t="s">
        <v>4157</v>
      </c>
      <c r="H1513" s="3"/>
    </row>
    <row r="1514" ht="15.75" customHeight="1">
      <c r="A1514" s="4" t="s">
        <v>7222</v>
      </c>
      <c r="B1514" s="4" t="s">
        <v>7223</v>
      </c>
      <c r="C1514" s="4" t="s">
        <v>3294</v>
      </c>
      <c r="D1514" s="3">
        <v>25.032002</v>
      </c>
      <c r="E1514" s="3">
        <v>121.509478</v>
      </c>
      <c r="F1514" s="3" t="s">
        <v>156</v>
      </c>
      <c r="G1514" s="4" t="s">
        <v>4157</v>
      </c>
      <c r="H1514" s="3"/>
    </row>
    <row r="1515" ht="15.75" customHeight="1">
      <c r="A1515" s="4" t="s">
        <v>7224</v>
      </c>
      <c r="B1515" s="4" t="s">
        <v>7225</v>
      </c>
      <c r="C1515" s="4" t="s">
        <v>3610</v>
      </c>
      <c r="D1515" s="3">
        <v>25.031565</v>
      </c>
      <c r="E1515" s="3">
        <v>121.50917</v>
      </c>
      <c r="F1515" s="3" t="s">
        <v>156</v>
      </c>
      <c r="G1515" s="4" t="s">
        <v>4157</v>
      </c>
      <c r="H1515" s="3"/>
    </row>
    <row r="1516" ht="15.75" customHeight="1">
      <c r="A1516" s="4" t="s">
        <v>7226</v>
      </c>
      <c r="B1516" s="4" t="s">
        <v>7227</v>
      </c>
      <c r="C1516" s="4" t="s">
        <v>3619</v>
      </c>
      <c r="D1516" s="3">
        <v>25.031472</v>
      </c>
      <c r="E1516" s="3">
        <v>121.509017</v>
      </c>
      <c r="F1516" s="3" t="s">
        <v>156</v>
      </c>
      <c r="G1516" s="4" t="s">
        <v>4157</v>
      </c>
      <c r="H1516" s="3"/>
    </row>
    <row r="1517" ht="15.75" customHeight="1">
      <c r="A1517" s="4" t="s">
        <v>7228</v>
      </c>
      <c r="B1517" s="4" t="s">
        <v>7229</v>
      </c>
      <c r="C1517" s="4" t="s">
        <v>2933</v>
      </c>
      <c r="D1517" s="3">
        <v>25.031824</v>
      </c>
      <c r="E1517" s="3">
        <v>121.50944</v>
      </c>
      <c r="F1517" s="3" t="s">
        <v>156</v>
      </c>
      <c r="G1517" s="4" t="s">
        <v>4157</v>
      </c>
      <c r="H1517" s="3"/>
    </row>
    <row r="1518" ht="15.75" customHeight="1">
      <c r="A1518" s="4" t="s">
        <v>7230</v>
      </c>
      <c r="B1518" s="4" t="s">
        <v>7231</v>
      </c>
      <c r="C1518" s="4" t="s">
        <v>2933</v>
      </c>
      <c r="D1518" s="3">
        <v>25.032746</v>
      </c>
      <c r="E1518" s="3">
        <v>121.509662</v>
      </c>
      <c r="F1518" s="3" t="s">
        <v>130</v>
      </c>
      <c r="G1518" s="4" t="s">
        <v>4157</v>
      </c>
      <c r="H1518" s="3"/>
    </row>
    <row r="1519" ht="15.75" customHeight="1">
      <c r="A1519" s="4" t="s">
        <v>7232</v>
      </c>
      <c r="B1519" s="4" t="s">
        <v>7233</v>
      </c>
      <c r="C1519" s="4" t="s">
        <v>2923</v>
      </c>
      <c r="D1519" s="3">
        <v>25.032149</v>
      </c>
      <c r="E1519" s="3">
        <v>121.509625</v>
      </c>
      <c r="F1519" s="3" t="s">
        <v>156</v>
      </c>
      <c r="G1519" s="4" t="s">
        <v>4157</v>
      </c>
      <c r="H1519" s="3"/>
    </row>
    <row r="1520" ht="15.75" customHeight="1">
      <c r="A1520" s="4" t="s">
        <v>7234</v>
      </c>
      <c r="B1520" s="4" t="s">
        <v>7235</v>
      </c>
      <c r="C1520" s="4" t="s">
        <v>735</v>
      </c>
      <c r="D1520" s="3">
        <v>25.031966</v>
      </c>
      <c r="E1520" s="3">
        <v>121.508947</v>
      </c>
      <c r="F1520" s="3" t="s">
        <v>156</v>
      </c>
      <c r="G1520" s="4" t="s">
        <v>4157</v>
      </c>
      <c r="H1520" s="3"/>
    </row>
    <row r="1521" ht="15.75" customHeight="1">
      <c r="A1521" s="4" t="s">
        <v>7236</v>
      </c>
      <c r="B1521" s="4" t="s">
        <v>7237</v>
      </c>
      <c r="C1521" s="4" t="s">
        <v>3982</v>
      </c>
      <c r="D1521" s="3">
        <v>25.031656</v>
      </c>
      <c r="E1521" s="3">
        <v>121.509005</v>
      </c>
      <c r="F1521" s="3" t="s">
        <v>156</v>
      </c>
      <c r="G1521" s="4" t="s">
        <v>4157</v>
      </c>
      <c r="H1521" s="3"/>
    </row>
    <row r="1522" ht="15.75" customHeight="1">
      <c r="A1522" s="4" t="s">
        <v>7238</v>
      </c>
      <c r="B1522" s="4" t="s">
        <v>7239</v>
      </c>
      <c r="C1522" s="4" t="s">
        <v>3581</v>
      </c>
      <c r="D1522" s="3">
        <v>25.031447</v>
      </c>
      <c r="E1522" s="3">
        <v>121.50927</v>
      </c>
      <c r="F1522" s="3" t="s">
        <v>156</v>
      </c>
      <c r="G1522" s="4" t="s">
        <v>4157</v>
      </c>
      <c r="H1522" s="3"/>
    </row>
    <row r="1523" ht="15.75" customHeight="1">
      <c r="A1523" s="4" t="s">
        <v>7240</v>
      </c>
      <c r="B1523" s="4" t="s">
        <v>7241</v>
      </c>
      <c r="C1523" s="4" t="s">
        <v>3587</v>
      </c>
      <c r="D1523" s="3">
        <v>25.031425</v>
      </c>
      <c r="E1523" s="3">
        <v>121.509268</v>
      </c>
      <c r="F1523" s="3" t="s">
        <v>156</v>
      </c>
      <c r="G1523" s="4" t="s">
        <v>4157</v>
      </c>
      <c r="H1523" s="3"/>
    </row>
    <row r="1524" ht="15.75" customHeight="1">
      <c r="A1524" s="4" t="s">
        <v>7242</v>
      </c>
      <c r="B1524" s="4" t="s">
        <v>7243</v>
      </c>
      <c r="C1524" s="4" t="s">
        <v>789</v>
      </c>
      <c r="D1524" s="3">
        <v>25.032294</v>
      </c>
      <c r="E1524" s="3">
        <v>121.509652</v>
      </c>
      <c r="F1524" s="3" t="s">
        <v>156</v>
      </c>
      <c r="G1524" s="4" t="s">
        <v>4157</v>
      </c>
      <c r="H1524" s="3"/>
    </row>
    <row r="1525" ht="15.75" customHeight="1">
      <c r="A1525" s="4" t="s">
        <v>7244</v>
      </c>
      <c r="B1525" s="4" t="s">
        <v>7245</v>
      </c>
      <c r="C1525" s="4" t="s">
        <v>3498</v>
      </c>
      <c r="D1525" s="3">
        <v>25.031503</v>
      </c>
      <c r="E1525" s="3">
        <v>121.509261</v>
      </c>
      <c r="F1525" s="3" t="s">
        <v>156</v>
      </c>
      <c r="G1525" s="4" t="s">
        <v>4157</v>
      </c>
      <c r="H1525" s="3"/>
    </row>
    <row r="1526" ht="15.75" customHeight="1">
      <c r="A1526" s="4" t="s">
        <v>7246</v>
      </c>
      <c r="B1526" s="4" t="s">
        <v>7247</v>
      </c>
      <c r="C1526" s="4" t="s">
        <v>2376</v>
      </c>
      <c r="D1526" s="3">
        <v>25.031428</v>
      </c>
      <c r="E1526" s="3">
        <v>121.508429</v>
      </c>
      <c r="F1526" s="3" t="s">
        <v>156</v>
      </c>
      <c r="G1526" s="4" t="s">
        <v>4157</v>
      </c>
      <c r="H1526" s="3"/>
    </row>
    <row r="1527" ht="15.75" customHeight="1">
      <c r="A1527" s="4" t="s">
        <v>7248</v>
      </c>
      <c r="B1527" s="4" t="s">
        <v>7249</v>
      </c>
      <c r="C1527" s="4" t="s">
        <v>874</v>
      </c>
      <c r="D1527" s="3">
        <v>25.031304</v>
      </c>
      <c r="E1527" s="3">
        <v>121.509382</v>
      </c>
      <c r="F1527" s="3" t="s">
        <v>156</v>
      </c>
      <c r="G1527" s="4" t="s">
        <v>4157</v>
      </c>
      <c r="H1527" s="3"/>
    </row>
    <row r="1528" ht="15.75" customHeight="1">
      <c r="A1528" s="4" t="s">
        <v>7250</v>
      </c>
      <c r="B1528" s="4" t="s">
        <v>7251</v>
      </c>
      <c r="C1528" s="4" t="s">
        <v>1705</v>
      </c>
      <c r="D1528" s="3">
        <v>25.031895</v>
      </c>
      <c r="E1528" s="3">
        <v>121.508093</v>
      </c>
      <c r="F1528" s="3" t="s">
        <v>156</v>
      </c>
      <c r="G1528" s="4" t="s">
        <v>4157</v>
      </c>
      <c r="H1528" s="3"/>
    </row>
    <row r="1529" ht="15.75" customHeight="1">
      <c r="A1529" s="4" t="s">
        <v>7252</v>
      </c>
      <c r="B1529" s="4" t="s">
        <v>7253</v>
      </c>
      <c r="C1529" s="4" t="s">
        <v>3599</v>
      </c>
      <c r="D1529" s="3">
        <v>25.031379</v>
      </c>
      <c r="E1529" s="3">
        <v>121.50921</v>
      </c>
      <c r="F1529" s="3" t="s">
        <v>156</v>
      </c>
      <c r="G1529" s="4" t="s">
        <v>4157</v>
      </c>
      <c r="H1529" s="3"/>
    </row>
    <row r="1530" ht="15.75" customHeight="1">
      <c r="A1530" s="4" t="s">
        <v>7254</v>
      </c>
      <c r="B1530" s="4" t="s">
        <v>7255</v>
      </c>
      <c r="C1530" s="4" t="s">
        <v>3612</v>
      </c>
      <c r="D1530" s="3">
        <v>25.031479</v>
      </c>
      <c r="E1530" s="3">
        <v>121.509231</v>
      </c>
      <c r="F1530" s="3" t="s">
        <v>156</v>
      </c>
      <c r="G1530" s="4" t="s">
        <v>4157</v>
      </c>
      <c r="H1530" s="3"/>
    </row>
    <row r="1531" ht="15.75" customHeight="1">
      <c r="A1531" s="4" t="s">
        <v>7256</v>
      </c>
      <c r="B1531" s="4" t="s">
        <v>7257</v>
      </c>
      <c r="C1531" s="4" t="s">
        <v>856</v>
      </c>
      <c r="D1531" s="3">
        <v>25.031211</v>
      </c>
      <c r="E1531" s="3">
        <v>121.509205</v>
      </c>
      <c r="F1531" s="3" t="s">
        <v>156</v>
      </c>
      <c r="G1531" s="4" t="s">
        <v>4157</v>
      </c>
      <c r="H1531" s="3"/>
    </row>
    <row r="1532" ht="15.75" customHeight="1">
      <c r="A1532" s="4" t="s">
        <v>7258</v>
      </c>
      <c r="B1532" s="4" t="s">
        <v>7259</v>
      </c>
      <c r="C1532" s="4" t="s">
        <v>3590</v>
      </c>
      <c r="D1532" s="3">
        <v>25.031341</v>
      </c>
      <c r="E1532" s="3">
        <v>121.509115</v>
      </c>
      <c r="F1532" s="3" t="s">
        <v>156</v>
      </c>
      <c r="G1532" s="4" t="s">
        <v>4157</v>
      </c>
      <c r="H1532" s="3"/>
    </row>
    <row r="1533" ht="15.75" customHeight="1">
      <c r="A1533" s="4" t="s">
        <v>7260</v>
      </c>
      <c r="B1533" s="4" t="s">
        <v>7261</v>
      </c>
      <c r="C1533" s="4" t="s">
        <v>3597</v>
      </c>
      <c r="D1533" s="3">
        <v>25.031464</v>
      </c>
      <c r="E1533" s="3">
        <v>121.509214</v>
      </c>
      <c r="F1533" s="3" t="s">
        <v>156</v>
      </c>
      <c r="G1533" s="4" t="s">
        <v>4157</v>
      </c>
      <c r="H1533" s="3"/>
    </row>
    <row r="1534" ht="15.75" customHeight="1">
      <c r="A1534" s="4" t="s">
        <v>7262</v>
      </c>
      <c r="B1534" s="4" t="s">
        <v>7263</v>
      </c>
      <c r="C1534" s="4" t="s">
        <v>859</v>
      </c>
      <c r="D1534" s="3">
        <v>25.031117</v>
      </c>
      <c r="E1534" s="3">
        <v>121.508994</v>
      </c>
      <c r="F1534" s="3" t="s">
        <v>156</v>
      </c>
      <c r="G1534" s="4" t="s">
        <v>4157</v>
      </c>
      <c r="H1534" s="3"/>
    </row>
    <row r="1535" ht="15.75" customHeight="1">
      <c r="A1535" s="4" t="s">
        <v>7264</v>
      </c>
      <c r="B1535" s="4" t="s">
        <v>7265</v>
      </c>
      <c r="C1535" s="4" t="s">
        <v>2929</v>
      </c>
      <c r="D1535" s="3">
        <v>25.032209</v>
      </c>
      <c r="E1535" s="3">
        <v>121.509618</v>
      </c>
      <c r="F1535" s="3" t="s">
        <v>156</v>
      </c>
      <c r="G1535" s="4" t="s">
        <v>4157</v>
      </c>
      <c r="H1535" s="3"/>
    </row>
    <row r="1536" ht="15.75" customHeight="1">
      <c r="A1536" s="4" t="s">
        <v>7266</v>
      </c>
      <c r="B1536" s="4" t="s">
        <v>7267</v>
      </c>
      <c r="C1536" s="4" t="s">
        <v>2931</v>
      </c>
      <c r="D1536" s="3">
        <v>25.031911</v>
      </c>
      <c r="E1536" s="3">
        <v>121.509548</v>
      </c>
      <c r="F1536" s="3" t="s">
        <v>156</v>
      </c>
      <c r="G1536" s="4" t="s">
        <v>4157</v>
      </c>
      <c r="H1536" s="3"/>
    </row>
    <row r="1537" ht="15.75" customHeight="1">
      <c r="A1537" s="4" t="s">
        <v>7268</v>
      </c>
      <c r="B1537" s="4" t="s">
        <v>7269</v>
      </c>
      <c r="C1537" s="4" t="s">
        <v>2925</v>
      </c>
      <c r="D1537" s="3">
        <v>25.032198</v>
      </c>
      <c r="E1537" s="3">
        <v>121.509646</v>
      </c>
      <c r="F1537" s="3" t="s">
        <v>156</v>
      </c>
      <c r="G1537" s="4" t="s">
        <v>4157</v>
      </c>
      <c r="H1537" s="3"/>
    </row>
    <row r="1538" ht="15.75" customHeight="1">
      <c r="A1538" s="4" t="s">
        <v>7270</v>
      </c>
      <c r="B1538" s="4" t="s">
        <v>7271</v>
      </c>
      <c r="C1538" s="4" t="s">
        <v>3584</v>
      </c>
      <c r="D1538" s="3">
        <v>25.031429</v>
      </c>
      <c r="E1538" s="3">
        <v>121.509229</v>
      </c>
      <c r="F1538" s="3" t="s">
        <v>156</v>
      </c>
      <c r="G1538" s="4" t="s">
        <v>4157</v>
      </c>
      <c r="H1538" s="3"/>
    </row>
    <row r="1539" ht="15.75" customHeight="1">
      <c r="A1539" s="4" t="s">
        <v>7272</v>
      </c>
      <c r="B1539" s="4" t="s">
        <v>7273</v>
      </c>
      <c r="C1539" s="4" t="s">
        <v>3607</v>
      </c>
      <c r="D1539" s="3">
        <v>25.031414</v>
      </c>
      <c r="E1539" s="3">
        <v>121.509389</v>
      </c>
      <c r="F1539" s="3" t="s">
        <v>156</v>
      </c>
      <c r="G1539" s="4" t="s">
        <v>4157</v>
      </c>
      <c r="H1539" s="3"/>
    </row>
    <row r="1540" ht="15.75" customHeight="1">
      <c r="A1540" s="4" t="s">
        <v>7274</v>
      </c>
      <c r="B1540" s="4" t="s">
        <v>7275</v>
      </c>
      <c r="C1540" s="4" t="s">
        <v>3614</v>
      </c>
      <c r="D1540" s="3">
        <v>25.031323</v>
      </c>
      <c r="E1540" s="3">
        <v>121.509115</v>
      </c>
      <c r="F1540" s="3" t="s">
        <v>156</v>
      </c>
      <c r="G1540" s="4" t="s">
        <v>4157</v>
      </c>
      <c r="H1540" s="3"/>
    </row>
    <row r="1541" ht="15.75" customHeight="1">
      <c r="A1541" s="4" t="s">
        <v>7276</v>
      </c>
      <c r="B1541" s="4" t="s">
        <v>7277</v>
      </c>
      <c r="C1541" s="4" t="s">
        <v>895</v>
      </c>
      <c r="D1541" s="3">
        <v>25.031307</v>
      </c>
      <c r="E1541" s="3">
        <v>121.508659</v>
      </c>
      <c r="F1541" s="3" t="s">
        <v>156</v>
      </c>
      <c r="G1541" s="4" t="s">
        <v>4157</v>
      </c>
      <c r="H1541" s="3"/>
    </row>
    <row r="1542" ht="15.75" customHeight="1">
      <c r="A1542" s="4" t="s">
        <v>7278</v>
      </c>
      <c r="B1542" s="4" t="s">
        <v>7279</v>
      </c>
      <c r="C1542" s="4" t="s">
        <v>2936</v>
      </c>
      <c r="D1542" s="3">
        <v>25.031608</v>
      </c>
      <c r="E1542" s="3">
        <v>121.509532</v>
      </c>
      <c r="F1542" s="3" t="s">
        <v>156</v>
      </c>
      <c r="G1542" s="4" t="s">
        <v>4157</v>
      </c>
      <c r="H1542" s="3"/>
    </row>
    <row r="1543" ht="15.75" customHeight="1">
      <c r="A1543" s="4" t="s">
        <v>7280</v>
      </c>
      <c r="B1543" s="4" t="s">
        <v>7281</v>
      </c>
      <c r="C1543" s="4" t="s">
        <v>2173</v>
      </c>
      <c r="D1543" s="3">
        <v>25.031502</v>
      </c>
      <c r="E1543" s="3">
        <v>121.509516</v>
      </c>
      <c r="F1543" s="3" t="s">
        <v>156</v>
      </c>
      <c r="G1543" s="4" t="s">
        <v>4157</v>
      </c>
      <c r="H1543" s="3"/>
    </row>
    <row r="1544" ht="15.75" customHeight="1">
      <c r="A1544" s="4" t="s">
        <v>7282</v>
      </c>
      <c r="B1544" s="4" t="s">
        <v>7283</v>
      </c>
      <c r="C1544" s="4" t="s">
        <v>832</v>
      </c>
      <c r="D1544" s="3">
        <v>25.031349</v>
      </c>
      <c r="E1544" s="3">
        <v>121.509433</v>
      </c>
      <c r="F1544" s="3" t="s">
        <v>156</v>
      </c>
      <c r="G1544" s="4" t="s">
        <v>4157</v>
      </c>
      <c r="H1544" s="3"/>
    </row>
    <row r="1545" ht="15.75" customHeight="1">
      <c r="A1545" s="4" t="s">
        <v>2965</v>
      </c>
      <c r="B1545" s="3"/>
      <c r="C1545" s="4" t="s">
        <v>2965</v>
      </c>
      <c r="D1545" s="3">
        <v>25.031737</v>
      </c>
      <c r="E1545" s="3">
        <v>121.511318</v>
      </c>
      <c r="F1545" s="3" t="s">
        <v>44</v>
      </c>
      <c r="G1545" s="4" t="s">
        <v>4157</v>
      </c>
      <c r="H1545" s="3"/>
    </row>
    <row r="1546" ht="15.75" customHeight="1">
      <c r="A1546" s="4" t="s">
        <v>7284</v>
      </c>
      <c r="B1546" s="4" t="s">
        <v>7285</v>
      </c>
      <c r="C1546" s="4" t="s">
        <v>518</v>
      </c>
      <c r="D1546" s="3">
        <v>25.0322924</v>
      </c>
      <c r="E1546" s="3">
        <v>121.509711</v>
      </c>
      <c r="F1546" s="3" t="s">
        <v>44</v>
      </c>
      <c r="G1546" s="4" t="s">
        <v>4157</v>
      </c>
      <c r="H1546" s="3"/>
    </row>
    <row r="1547" ht="15.75" customHeight="1">
      <c r="A1547" s="4" t="s">
        <v>7286</v>
      </c>
      <c r="B1547" s="4" t="s">
        <v>7287</v>
      </c>
      <c r="C1547" s="4" t="s">
        <v>523</v>
      </c>
      <c r="D1547" s="3">
        <v>25.0321891</v>
      </c>
      <c r="E1547" s="3">
        <v>121.509275</v>
      </c>
      <c r="F1547" s="3" t="s">
        <v>156</v>
      </c>
      <c r="G1547" s="4" t="s">
        <v>4157</v>
      </c>
      <c r="H1547" s="3"/>
    </row>
    <row r="1548" ht="15.75" customHeight="1">
      <c r="A1548" s="4" t="s">
        <v>7288</v>
      </c>
      <c r="B1548" s="4" t="s">
        <v>7289</v>
      </c>
      <c r="C1548" s="4" t="s">
        <v>526</v>
      </c>
      <c r="D1548" s="3">
        <v>25.0321988</v>
      </c>
      <c r="E1548" s="3">
        <v>121.5093071</v>
      </c>
      <c r="F1548" s="3" t="s">
        <v>156</v>
      </c>
      <c r="G1548" s="4" t="s">
        <v>4157</v>
      </c>
      <c r="H1548" s="3"/>
    </row>
    <row r="1549" ht="15.75" customHeight="1">
      <c r="A1549" s="4" t="s">
        <v>7290</v>
      </c>
      <c r="B1549" s="4" t="s">
        <v>7291</v>
      </c>
      <c r="C1549" s="4" t="s">
        <v>533</v>
      </c>
      <c r="D1549" s="3">
        <v>25.0327067</v>
      </c>
      <c r="E1549" s="3">
        <v>121.5100794</v>
      </c>
      <c r="F1549" s="3" t="s">
        <v>130</v>
      </c>
      <c r="G1549" s="4" t="s">
        <v>4157</v>
      </c>
      <c r="H1549" s="3"/>
    </row>
    <row r="1550" ht="15.75" customHeight="1">
      <c r="A1550" s="4" t="s">
        <v>7292</v>
      </c>
      <c r="B1550" s="4" t="s">
        <v>7293</v>
      </c>
      <c r="C1550" s="4" t="s">
        <v>536</v>
      </c>
      <c r="D1550" s="3">
        <v>25.0326739</v>
      </c>
      <c r="E1550" s="3">
        <v>121.5101047</v>
      </c>
      <c r="F1550" s="3" t="s">
        <v>130</v>
      </c>
      <c r="G1550" s="4" t="s">
        <v>4157</v>
      </c>
      <c r="H1550" s="3"/>
    </row>
    <row r="1551" ht="15.75" customHeight="1">
      <c r="A1551" s="7" t="s">
        <v>7294</v>
      </c>
      <c r="B1551" s="4" t="s">
        <v>7295</v>
      </c>
      <c r="C1551" s="9" t="s">
        <v>53</v>
      </c>
      <c r="D1551" s="3">
        <v>25.0316909</v>
      </c>
      <c r="E1551" s="3">
        <v>121.5090277</v>
      </c>
      <c r="F1551" s="3" t="s">
        <v>156</v>
      </c>
      <c r="G1551" s="4" t="s">
        <v>4157</v>
      </c>
      <c r="H1551" s="3"/>
    </row>
    <row r="1552" ht="15.75" customHeight="1">
      <c r="A1552" s="4" t="s">
        <v>7296</v>
      </c>
      <c r="B1552" s="4" t="s">
        <v>7297</v>
      </c>
      <c r="C1552" s="4" t="s">
        <v>541</v>
      </c>
      <c r="D1552" s="3">
        <v>25.0326581</v>
      </c>
      <c r="E1552" s="3">
        <v>121.510083</v>
      </c>
      <c r="F1552" s="3" t="s">
        <v>130</v>
      </c>
      <c r="G1552" s="4" t="s">
        <v>4157</v>
      </c>
      <c r="H1552" s="3"/>
    </row>
    <row r="1553" ht="15.75" customHeight="1">
      <c r="A1553" s="4" t="s">
        <v>7298</v>
      </c>
      <c r="B1553" s="4" t="s">
        <v>7299</v>
      </c>
      <c r="C1553" s="4" t="s">
        <v>359</v>
      </c>
      <c r="D1553" s="3">
        <v>25.0316799</v>
      </c>
      <c r="E1553" s="3">
        <v>121.510394</v>
      </c>
      <c r="F1553" s="3" t="s">
        <v>44</v>
      </c>
      <c r="G1553" s="4" t="s">
        <v>4157</v>
      </c>
      <c r="H1553" s="3"/>
    </row>
    <row r="1554" ht="15.75" customHeight="1">
      <c r="A1554" s="4" t="s">
        <v>7300</v>
      </c>
      <c r="B1554" s="4" t="s">
        <v>7301</v>
      </c>
      <c r="C1554" s="4" t="s">
        <v>546</v>
      </c>
      <c r="D1554" s="3">
        <v>25.0319924</v>
      </c>
      <c r="E1554" s="3">
        <v>121.5115148</v>
      </c>
      <c r="F1554" s="3" t="s">
        <v>44</v>
      </c>
      <c r="G1554" s="4" t="s">
        <v>4157</v>
      </c>
      <c r="H1554" s="3"/>
    </row>
    <row r="1555" ht="15.75" customHeight="1">
      <c r="A1555" s="4" t="s">
        <v>7302</v>
      </c>
      <c r="B1555" s="4" t="s">
        <v>7303</v>
      </c>
      <c r="C1555" s="4" t="s">
        <v>550</v>
      </c>
      <c r="D1555" s="3">
        <v>25.0327009</v>
      </c>
      <c r="E1555" s="3">
        <v>121.5100301</v>
      </c>
      <c r="F1555" s="3" t="s">
        <v>130</v>
      </c>
      <c r="G1555" s="4" t="s">
        <v>4157</v>
      </c>
      <c r="H1555" s="3"/>
    </row>
    <row r="1556" ht="15.75" customHeight="1">
      <c r="A1556" s="4" t="s">
        <v>7304</v>
      </c>
      <c r="B1556" s="4" t="s">
        <v>7305</v>
      </c>
      <c r="C1556" s="4" t="s">
        <v>552</v>
      </c>
      <c r="D1556" s="3">
        <v>25.032329</v>
      </c>
      <c r="E1556" s="3">
        <v>121.5105329</v>
      </c>
      <c r="F1556" s="3" t="s">
        <v>44</v>
      </c>
      <c r="G1556" s="4" t="s">
        <v>4157</v>
      </c>
      <c r="H1556" s="3"/>
    </row>
    <row r="1557" ht="15.75" customHeight="1">
      <c r="A1557" s="4" t="s">
        <v>7306</v>
      </c>
      <c r="B1557" s="4" t="s">
        <v>7307</v>
      </c>
      <c r="C1557" s="4" t="s">
        <v>555</v>
      </c>
      <c r="D1557" s="3">
        <v>25.0318478</v>
      </c>
      <c r="E1557" s="3">
        <v>121.5090213</v>
      </c>
      <c r="F1557" s="3" t="s">
        <v>156</v>
      </c>
      <c r="G1557" s="4" t="s">
        <v>4157</v>
      </c>
      <c r="H1557" s="3"/>
    </row>
    <row r="1558" ht="15.75" customHeight="1">
      <c r="A1558" s="4" t="s">
        <v>7308</v>
      </c>
      <c r="B1558" s="4" t="s">
        <v>7309</v>
      </c>
      <c r="C1558" s="4" t="s">
        <v>7310</v>
      </c>
      <c r="D1558" s="3">
        <v>25.0321662</v>
      </c>
      <c r="E1558" s="3">
        <v>121.5091312</v>
      </c>
      <c r="F1558" s="3" t="s">
        <v>156</v>
      </c>
      <c r="G1558" s="4" t="s">
        <v>4157</v>
      </c>
      <c r="H1558" s="3"/>
    </row>
    <row r="1559" ht="15.75" customHeight="1">
      <c r="A1559" s="4" t="s">
        <v>7311</v>
      </c>
      <c r="B1559" s="4" t="s">
        <v>7312</v>
      </c>
      <c r="C1559" s="4" t="s">
        <v>565</v>
      </c>
      <c r="D1559" s="3">
        <v>25.0324518</v>
      </c>
      <c r="E1559" s="3">
        <v>121.5110957</v>
      </c>
      <c r="F1559" s="3" t="s">
        <v>44</v>
      </c>
      <c r="G1559" s="4" t="s">
        <v>4157</v>
      </c>
      <c r="H1559" s="3"/>
    </row>
    <row r="1560" ht="15.75" customHeight="1">
      <c r="A1560" s="4" t="s">
        <v>7313</v>
      </c>
      <c r="B1560" s="4" t="s">
        <v>7314</v>
      </c>
      <c r="C1560" s="4" t="s">
        <v>569</v>
      </c>
      <c r="D1560" s="3">
        <v>25.032617</v>
      </c>
      <c r="E1560" s="3">
        <v>121.5098267</v>
      </c>
      <c r="F1560" s="3" t="s">
        <v>130</v>
      </c>
      <c r="G1560" s="4" t="s">
        <v>4157</v>
      </c>
      <c r="H1560" s="3"/>
    </row>
    <row r="1561" ht="15.75" customHeight="1">
      <c r="A1561" s="4" t="s">
        <v>7315</v>
      </c>
      <c r="B1561" s="4" t="s">
        <v>7316</v>
      </c>
      <c r="C1561" s="4" t="s">
        <v>571</v>
      </c>
      <c r="D1561" s="3">
        <v>25.0326498</v>
      </c>
      <c r="E1561" s="3">
        <v>121.5099688</v>
      </c>
      <c r="F1561" s="3" t="s">
        <v>130</v>
      </c>
      <c r="G1561" s="4" t="s">
        <v>4157</v>
      </c>
      <c r="H1561" s="3"/>
    </row>
    <row r="1562" ht="15.75" customHeight="1">
      <c r="A1562" s="4" t="s">
        <v>7317</v>
      </c>
      <c r="B1562" s="4" t="s">
        <v>7318</v>
      </c>
      <c r="C1562" s="4" t="s">
        <v>574</v>
      </c>
      <c r="D1562" s="3">
        <v>25.0312612</v>
      </c>
      <c r="E1562" s="3">
        <v>121.5088607</v>
      </c>
      <c r="F1562" s="3" t="s">
        <v>156</v>
      </c>
      <c r="G1562" s="4" t="s">
        <v>4157</v>
      </c>
      <c r="H1562" s="3"/>
    </row>
    <row r="1563" ht="15.75" customHeight="1">
      <c r="A1563" s="4" t="s">
        <v>7319</v>
      </c>
      <c r="B1563" s="4" t="s">
        <v>7320</v>
      </c>
      <c r="C1563" s="4" t="s">
        <v>576</v>
      </c>
      <c r="D1563" s="3">
        <v>25.0327582</v>
      </c>
      <c r="E1563" s="3">
        <v>121.5102674</v>
      </c>
      <c r="F1563" s="3" t="s">
        <v>44</v>
      </c>
      <c r="G1563" s="4" t="s">
        <v>4157</v>
      </c>
      <c r="H1563" s="3"/>
    </row>
    <row r="1564" ht="15.75" customHeight="1">
      <c r="A1564" s="4" t="s">
        <v>7321</v>
      </c>
      <c r="B1564" s="4" t="s">
        <v>7322</v>
      </c>
      <c r="C1564" s="4" t="s">
        <v>579</v>
      </c>
      <c r="D1564" s="3">
        <v>25.0327096</v>
      </c>
      <c r="E1564" s="3">
        <v>121.5098945</v>
      </c>
      <c r="F1564" s="3" t="s">
        <v>130</v>
      </c>
      <c r="G1564" s="4" t="s">
        <v>4157</v>
      </c>
      <c r="H1564" s="3"/>
    </row>
    <row r="1565" ht="15.75" customHeight="1">
      <c r="A1565" s="4" t="s">
        <v>7323</v>
      </c>
      <c r="B1565" s="4" t="s">
        <v>7324</v>
      </c>
      <c r="C1565" s="4" t="s">
        <v>582</v>
      </c>
      <c r="D1565" s="3">
        <v>25.0313729</v>
      </c>
      <c r="E1565" s="3">
        <v>121.5088456</v>
      </c>
      <c r="F1565" s="3" t="s">
        <v>156</v>
      </c>
      <c r="G1565" s="4" t="s">
        <v>4157</v>
      </c>
      <c r="H1565" s="3"/>
    </row>
    <row r="1566" ht="15.75" customHeight="1">
      <c r="A1566" s="4" t="s">
        <v>7325</v>
      </c>
      <c r="B1566" s="4" t="s">
        <v>7326</v>
      </c>
      <c r="C1566" s="4" t="s">
        <v>584</v>
      </c>
      <c r="D1566" s="3">
        <v>25.0326306</v>
      </c>
      <c r="E1566" s="3">
        <v>121.5098567</v>
      </c>
      <c r="F1566" s="3" t="s">
        <v>130</v>
      </c>
      <c r="G1566" s="4" t="s">
        <v>4157</v>
      </c>
      <c r="H1566" s="3"/>
    </row>
    <row r="1567" ht="15.75" customHeight="1">
      <c r="A1567" s="4" t="s">
        <v>7327</v>
      </c>
      <c r="B1567" s="4" t="s">
        <v>7328</v>
      </c>
      <c r="C1567" s="4" t="s">
        <v>587</v>
      </c>
      <c r="D1567" s="3">
        <v>25.0317946</v>
      </c>
      <c r="E1567" s="3">
        <v>121.5082701</v>
      </c>
      <c r="F1567" s="3" t="s">
        <v>156</v>
      </c>
      <c r="G1567" s="4" t="s">
        <v>4157</v>
      </c>
      <c r="H1567" s="3"/>
    </row>
    <row r="1568" ht="15.75" customHeight="1">
      <c r="A1568" s="4" t="s">
        <v>7329</v>
      </c>
      <c r="B1568" s="4" t="s">
        <v>7330</v>
      </c>
      <c r="C1568" s="4" t="s">
        <v>591</v>
      </c>
      <c r="D1568" s="3">
        <v>25.0313365</v>
      </c>
      <c r="E1568" s="3">
        <v>121.5089459</v>
      </c>
      <c r="F1568" s="3" t="s">
        <v>156</v>
      </c>
      <c r="G1568" s="4" t="s">
        <v>4157</v>
      </c>
      <c r="H1568" s="3"/>
    </row>
    <row r="1569" ht="15.75" customHeight="1">
      <c r="A1569" s="4" t="s">
        <v>7331</v>
      </c>
      <c r="B1569" s="4" t="s">
        <v>7332</v>
      </c>
      <c r="C1569" s="4" t="s">
        <v>594</v>
      </c>
      <c r="D1569" s="3">
        <v>25.0326816</v>
      </c>
      <c r="E1569" s="3">
        <v>121.5098724</v>
      </c>
      <c r="F1569" s="3" t="s">
        <v>130</v>
      </c>
      <c r="G1569" s="4" t="s">
        <v>4157</v>
      </c>
      <c r="H1569" s="3"/>
    </row>
    <row r="1570" ht="15.75" customHeight="1">
      <c r="A1570" s="4" t="s">
        <v>7333</v>
      </c>
      <c r="B1570" s="4" t="s">
        <v>7334</v>
      </c>
      <c r="C1570" s="4" t="s">
        <v>597</v>
      </c>
      <c r="D1570" s="3">
        <v>25.032661</v>
      </c>
      <c r="E1570" s="3">
        <v>121.5098495</v>
      </c>
      <c r="F1570" s="3" t="s">
        <v>130</v>
      </c>
      <c r="G1570" s="4" t="s">
        <v>4157</v>
      </c>
      <c r="H1570" s="3"/>
    </row>
    <row r="1571" ht="15.75" customHeight="1">
      <c r="A1571" s="4" t="s">
        <v>7335</v>
      </c>
      <c r="B1571" s="4" t="s">
        <v>7336</v>
      </c>
      <c r="C1571" s="4" t="s">
        <v>600</v>
      </c>
      <c r="D1571" s="3">
        <v>25.032616</v>
      </c>
      <c r="E1571" s="3">
        <v>121.5100197</v>
      </c>
      <c r="F1571" s="3" t="s">
        <v>130</v>
      </c>
      <c r="G1571" s="4" t="s">
        <v>4157</v>
      </c>
      <c r="H1571" s="3"/>
    </row>
    <row r="1572" ht="15.75" customHeight="1">
      <c r="A1572" s="4" t="s">
        <v>7337</v>
      </c>
      <c r="B1572" s="4" t="s">
        <v>7338</v>
      </c>
      <c r="C1572" s="4" t="s">
        <v>603</v>
      </c>
      <c r="D1572" s="3">
        <v>25.0336406</v>
      </c>
      <c r="E1572" s="3">
        <v>121.5106444</v>
      </c>
      <c r="F1572" s="3" t="s">
        <v>44</v>
      </c>
      <c r="G1572" s="4" t="s">
        <v>4157</v>
      </c>
      <c r="H1572" s="3"/>
    </row>
    <row r="1573" ht="15.75" customHeight="1">
      <c r="A1573" s="4" t="s">
        <v>7339</v>
      </c>
      <c r="B1573" s="4" t="s">
        <v>7340</v>
      </c>
      <c r="C1573" s="4" t="s">
        <v>605</v>
      </c>
      <c r="D1573" s="3">
        <v>25.032592</v>
      </c>
      <c r="E1573" s="3">
        <v>121.5099523</v>
      </c>
      <c r="F1573" s="3" t="s">
        <v>130</v>
      </c>
      <c r="G1573" s="4" t="s">
        <v>4157</v>
      </c>
      <c r="H1573" s="3"/>
    </row>
    <row r="1574" ht="15.75" customHeight="1">
      <c r="A1574" s="4" t="s">
        <v>7341</v>
      </c>
      <c r="B1574" s="4" t="s">
        <v>7342</v>
      </c>
      <c r="C1574" s="4" t="s">
        <v>607</v>
      </c>
      <c r="D1574" s="3">
        <v>25.0326491</v>
      </c>
      <c r="E1574" s="3">
        <v>121.5103599</v>
      </c>
      <c r="F1574" s="3" t="s">
        <v>44</v>
      </c>
      <c r="G1574" s="4" t="s">
        <v>4157</v>
      </c>
      <c r="H1574" s="3"/>
    </row>
    <row r="1575" ht="15.75" customHeight="1">
      <c r="A1575" s="4" t="s">
        <v>7343</v>
      </c>
      <c r="B1575" s="4" t="s">
        <v>7344</v>
      </c>
      <c r="C1575" s="4" t="s">
        <v>609</v>
      </c>
      <c r="D1575" s="3">
        <v>25.032615</v>
      </c>
      <c r="E1575" s="3">
        <v>121.5099869</v>
      </c>
      <c r="F1575" s="3" t="s">
        <v>130</v>
      </c>
      <c r="G1575" s="4" t="s">
        <v>4157</v>
      </c>
      <c r="H1575" s="3"/>
    </row>
    <row r="1576" ht="15.75" customHeight="1">
      <c r="A1576" s="4" t="s">
        <v>7345</v>
      </c>
      <c r="B1576" s="4" t="s">
        <v>7346</v>
      </c>
      <c r="C1576" s="4" t="s">
        <v>611</v>
      </c>
      <c r="D1576" s="3">
        <v>25.0321472</v>
      </c>
      <c r="E1576" s="3">
        <v>121.5093699</v>
      </c>
      <c r="F1576" s="3" t="s">
        <v>156</v>
      </c>
      <c r="G1576" s="4" t="s">
        <v>4157</v>
      </c>
      <c r="H1576" s="3"/>
    </row>
    <row r="1577" ht="15.75" customHeight="1">
      <c r="A1577" s="4" t="s">
        <v>7347</v>
      </c>
      <c r="B1577" s="4" t="s">
        <v>7348</v>
      </c>
      <c r="C1577" s="4" t="s">
        <v>613</v>
      </c>
      <c r="D1577" s="3">
        <v>25.0324838</v>
      </c>
      <c r="E1577" s="3">
        <v>121.5098123</v>
      </c>
      <c r="F1577" s="3" t="s">
        <v>130</v>
      </c>
      <c r="G1577" s="4" t="s">
        <v>4157</v>
      </c>
      <c r="H1577" s="3"/>
    </row>
    <row r="1578" ht="15.75" customHeight="1">
      <c r="A1578" s="4" t="s">
        <v>7349</v>
      </c>
      <c r="B1578" s="4" t="s">
        <v>7350</v>
      </c>
      <c r="C1578" s="4" t="s">
        <v>615</v>
      </c>
      <c r="D1578" s="3">
        <v>25.031372</v>
      </c>
      <c r="E1578" s="3">
        <v>121.508927</v>
      </c>
      <c r="F1578" s="3" t="s">
        <v>156</v>
      </c>
      <c r="G1578" s="4" t="s">
        <v>4157</v>
      </c>
      <c r="H1578" s="3"/>
    </row>
    <row r="1579" ht="15.75" customHeight="1">
      <c r="A1579" s="4" t="s">
        <v>7351</v>
      </c>
      <c r="B1579" s="4" t="s">
        <v>7352</v>
      </c>
      <c r="C1579" s="4" t="s">
        <v>619</v>
      </c>
      <c r="D1579" s="3">
        <v>25.0324875</v>
      </c>
      <c r="E1579" s="3">
        <v>121.5099072</v>
      </c>
      <c r="F1579" s="3" t="s">
        <v>130</v>
      </c>
      <c r="G1579" s="4" t="s">
        <v>4157</v>
      </c>
      <c r="H1579" s="3"/>
    </row>
    <row r="1580" ht="15.75" customHeight="1">
      <c r="A1580" s="4" t="s">
        <v>7353</v>
      </c>
      <c r="B1580" s="4" t="s">
        <v>7354</v>
      </c>
      <c r="C1580" s="4" t="s">
        <v>622</v>
      </c>
      <c r="D1580" s="3">
        <v>25.0326614</v>
      </c>
      <c r="E1580" s="3">
        <v>121.5100664</v>
      </c>
      <c r="F1580" s="3" t="s">
        <v>130</v>
      </c>
      <c r="G1580" s="4" t="s">
        <v>4157</v>
      </c>
      <c r="H1580" s="3"/>
    </row>
    <row r="1581" ht="15.75" customHeight="1">
      <c r="A1581" s="4" t="s">
        <v>7355</v>
      </c>
      <c r="B1581" s="4" t="s">
        <v>7356</v>
      </c>
      <c r="C1581" s="4" t="s">
        <v>625</v>
      </c>
      <c r="D1581" s="3">
        <v>25.0317039</v>
      </c>
      <c r="E1581" s="3">
        <v>121.5090417</v>
      </c>
      <c r="F1581" s="3" t="s">
        <v>156</v>
      </c>
      <c r="G1581" s="4" t="s">
        <v>4157</v>
      </c>
      <c r="H1581" s="3"/>
    </row>
    <row r="1582" ht="15.75" customHeight="1">
      <c r="A1582" s="4" t="s">
        <v>7357</v>
      </c>
      <c r="B1582" s="4" t="s">
        <v>7358</v>
      </c>
      <c r="C1582" s="4" t="s">
        <v>628</v>
      </c>
      <c r="D1582" s="3">
        <v>25.0316104</v>
      </c>
      <c r="E1582" s="3">
        <v>121.5090563</v>
      </c>
      <c r="F1582" s="3" t="s">
        <v>156</v>
      </c>
      <c r="G1582" s="4" t="s">
        <v>4157</v>
      </c>
      <c r="H1582" s="3"/>
    </row>
    <row r="1583" ht="15.75" customHeight="1">
      <c r="A1583" s="7" t="s">
        <v>7359</v>
      </c>
      <c r="B1583" s="4" t="s">
        <v>7360</v>
      </c>
      <c r="C1583" s="4" t="s">
        <v>262</v>
      </c>
      <c r="D1583" s="3">
        <v>25.0312628</v>
      </c>
      <c r="E1583" s="3">
        <v>121.5089046</v>
      </c>
      <c r="F1583" s="3" t="s">
        <v>156</v>
      </c>
      <c r="G1583" s="4" t="s">
        <v>4157</v>
      </c>
      <c r="H1583" s="3"/>
    </row>
    <row r="1584" ht="15.75" customHeight="1">
      <c r="A1584" s="4" t="s">
        <v>7361</v>
      </c>
      <c r="B1584" s="4" t="s">
        <v>7362</v>
      </c>
      <c r="C1584" s="4" t="s">
        <v>633</v>
      </c>
      <c r="D1584" s="3">
        <v>25.0326323</v>
      </c>
      <c r="E1584" s="3">
        <v>121.5100417</v>
      </c>
      <c r="F1584" s="3" t="s">
        <v>130</v>
      </c>
      <c r="G1584" s="4" t="s">
        <v>4157</v>
      </c>
      <c r="H1584" s="3"/>
    </row>
    <row r="1585" ht="15.75" customHeight="1">
      <c r="A1585" s="4" t="s">
        <v>7363</v>
      </c>
      <c r="B1585" s="4" t="s">
        <v>7364</v>
      </c>
      <c r="C1585" s="4" t="s">
        <v>637</v>
      </c>
      <c r="D1585" s="3">
        <v>25.032772</v>
      </c>
      <c r="E1585" s="3">
        <v>121.5100107</v>
      </c>
      <c r="F1585" s="3" t="s">
        <v>44</v>
      </c>
      <c r="G1585" s="4" t="s">
        <v>4157</v>
      </c>
      <c r="H1585" s="3"/>
    </row>
    <row r="1586" ht="15.75" customHeight="1">
      <c r="A1586" s="4" t="s">
        <v>7365</v>
      </c>
      <c r="B1586" s="4" t="s">
        <v>7366</v>
      </c>
      <c r="C1586" s="4" t="s">
        <v>640</v>
      </c>
      <c r="D1586" s="3">
        <v>25.0325898</v>
      </c>
      <c r="E1586" s="3">
        <v>121.5099796</v>
      </c>
      <c r="F1586" s="3" t="s">
        <v>130</v>
      </c>
      <c r="G1586" s="4" t="s">
        <v>4157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9" t="s">
        <v>7367</v>
      </c>
      <c r="B1" s="19" t="s">
        <v>7368</v>
      </c>
      <c r="C1" s="19" t="s">
        <v>35</v>
      </c>
      <c r="D1" s="19" t="s">
        <v>7369</v>
      </c>
    </row>
    <row r="2">
      <c r="A2" s="21" t="s">
        <v>7370</v>
      </c>
      <c r="B2" s="21" t="s">
        <v>7371</v>
      </c>
      <c r="C2" s="21" t="s">
        <v>1391</v>
      </c>
      <c r="D2" s="21" t="s">
        <v>7372</v>
      </c>
    </row>
    <row r="3">
      <c r="A3" s="21" t="s">
        <v>7373</v>
      </c>
      <c r="B3" s="21" t="s">
        <v>7371</v>
      </c>
      <c r="C3" s="21" t="s">
        <v>1391</v>
      </c>
      <c r="D3" s="21" t="s">
        <v>7372</v>
      </c>
    </row>
    <row r="4">
      <c r="A4" s="21" t="s">
        <v>7374</v>
      </c>
      <c r="B4" s="21" t="s">
        <v>7371</v>
      </c>
      <c r="C4" s="21" t="s">
        <v>946</v>
      </c>
      <c r="D4" s="21" t="s">
        <v>7375</v>
      </c>
    </row>
    <row r="5">
      <c r="A5" s="21" t="s">
        <v>7376</v>
      </c>
      <c r="B5" s="21" t="s">
        <v>7371</v>
      </c>
      <c r="C5" s="21" t="s">
        <v>983</v>
      </c>
      <c r="D5" s="21" t="s">
        <v>7372</v>
      </c>
    </row>
    <row r="6">
      <c r="A6" s="21" t="s">
        <v>7377</v>
      </c>
      <c r="B6" s="21" t="s">
        <v>7371</v>
      </c>
      <c r="C6" s="21" t="s">
        <v>1080</v>
      </c>
      <c r="D6" s="21" t="s">
        <v>7372</v>
      </c>
    </row>
    <row r="7">
      <c r="A7" s="21" t="s">
        <v>7378</v>
      </c>
      <c r="B7" s="21" t="s">
        <v>381</v>
      </c>
      <c r="C7" s="6"/>
      <c r="D7" s="21" t="s">
        <v>7379</v>
      </c>
    </row>
    <row r="8">
      <c r="A8" s="21" t="s">
        <v>7380</v>
      </c>
      <c r="B8" s="21" t="s">
        <v>381</v>
      </c>
      <c r="C8" s="6"/>
      <c r="D8" s="21" t="s">
        <v>7379</v>
      </c>
    </row>
    <row r="9">
      <c r="A9" s="21" t="s">
        <v>7381</v>
      </c>
      <c r="B9" s="21" t="s">
        <v>381</v>
      </c>
      <c r="C9" s="6"/>
      <c r="D9" s="21" t="s">
        <v>7379</v>
      </c>
    </row>
    <row r="10">
      <c r="A10" s="21" t="s">
        <v>7382</v>
      </c>
      <c r="B10" s="21" t="s">
        <v>381</v>
      </c>
      <c r="C10" s="6"/>
      <c r="D10" s="21" t="s">
        <v>7383</v>
      </c>
    </row>
    <row r="11">
      <c r="A11" s="21" t="s">
        <v>3441</v>
      </c>
      <c r="B11" s="21" t="s">
        <v>7384</v>
      </c>
      <c r="C11" s="6"/>
      <c r="D11" s="21" t="s">
        <v>7385</v>
      </c>
    </row>
    <row r="12">
      <c r="A12" s="21" t="s">
        <v>3455</v>
      </c>
      <c r="B12" s="21" t="s">
        <v>7384</v>
      </c>
      <c r="C12" s="6"/>
      <c r="D12" s="21" t="s">
        <v>7385</v>
      </c>
    </row>
    <row r="13">
      <c r="A13" s="21" t="s">
        <v>676</v>
      </c>
      <c r="B13" s="21" t="s">
        <v>7384</v>
      </c>
      <c r="C13" s="6"/>
      <c r="D13" s="21" t="s">
        <v>7386</v>
      </c>
    </row>
    <row r="14">
      <c r="A14" s="21" t="s">
        <v>3648</v>
      </c>
      <c r="B14" s="21" t="s">
        <v>7387</v>
      </c>
      <c r="C14" s="6"/>
      <c r="D14" s="21" t="s">
        <v>7388</v>
      </c>
    </row>
    <row r="15">
      <c r="A15" s="21" t="s">
        <v>1259</v>
      </c>
      <c r="B15" s="21" t="s">
        <v>7384</v>
      </c>
      <c r="C15" s="6"/>
      <c r="D15" s="21" t="s">
        <v>7389</v>
      </c>
    </row>
    <row r="16">
      <c r="A16" s="21" t="s">
        <v>1261</v>
      </c>
      <c r="B16" s="21" t="s">
        <v>7384</v>
      </c>
      <c r="C16" s="6"/>
      <c r="D16" s="21" t="s">
        <v>7389</v>
      </c>
    </row>
    <row r="17">
      <c r="A17" s="21" t="s">
        <v>3089</v>
      </c>
      <c r="B17" s="21" t="s">
        <v>7384</v>
      </c>
      <c r="C17" s="6"/>
      <c r="D17" s="21" t="s">
        <v>7389</v>
      </c>
    </row>
    <row r="18">
      <c r="A18" s="21" t="s">
        <v>3277</v>
      </c>
      <c r="B18" s="21" t="s">
        <v>7384</v>
      </c>
      <c r="C18" s="6"/>
      <c r="D18" s="21" t="s">
        <v>7389</v>
      </c>
    </row>
    <row r="19">
      <c r="A19" s="21" t="s">
        <v>1342</v>
      </c>
      <c r="B19" s="21" t="s">
        <v>7384</v>
      </c>
      <c r="C19" s="6"/>
      <c r="D19" s="21" t="s">
        <v>7389</v>
      </c>
    </row>
    <row r="20">
      <c r="A20" s="21" t="s">
        <v>1350</v>
      </c>
      <c r="B20" s="21" t="s">
        <v>7384</v>
      </c>
      <c r="C20" s="6"/>
      <c r="D20" s="21" t="s">
        <v>7389</v>
      </c>
    </row>
    <row r="21" ht="15.75" customHeight="1">
      <c r="A21" s="21" t="s">
        <v>1068</v>
      </c>
      <c r="B21" s="21" t="s">
        <v>7384</v>
      </c>
      <c r="C21" s="6"/>
      <c r="D21" s="21" t="s">
        <v>7389</v>
      </c>
    </row>
    <row r="22" ht="15.75" customHeight="1">
      <c r="A22" s="21" t="s">
        <v>7390</v>
      </c>
      <c r="B22" s="21" t="s">
        <v>381</v>
      </c>
      <c r="C22" s="6"/>
      <c r="D22" s="21" t="s">
        <v>7391</v>
      </c>
    </row>
    <row r="23" ht="15.75" customHeight="1">
      <c r="A23" s="21" t="s">
        <v>7392</v>
      </c>
      <c r="B23" s="21" t="s">
        <v>381</v>
      </c>
      <c r="C23" s="6"/>
      <c r="D23" s="21" t="s">
        <v>7393</v>
      </c>
    </row>
    <row r="24" ht="15.75" customHeight="1">
      <c r="A24" s="21" t="s">
        <v>7394</v>
      </c>
      <c r="B24" s="21" t="s">
        <v>381</v>
      </c>
      <c r="C24" s="6"/>
      <c r="D24" s="21" t="s">
        <v>7393</v>
      </c>
    </row>
    <row r="25" ht="15.75" customHeight="1">
      <c r="A25" s="21" t="s">
        <v>7395</v>
      </c>
      <c r="B25" s="21" t="s">
        <v>381</v>
      </c>
      <c r="C25" s="6"/>
      <c r="D25" s="21" t="s">
        <v>7383</v>
      </c>
    </row>
    <row r="26" ht="15.75" customHeight="1">
      <c r="A26" s="21" t="s">
        <v>7396</v>
      </c>
      <c r="B26" s="21" t="s">
        <v>381</v>
      </c>
      <c r="C26" s="6"/>
      <c r="D26" s="21" t="s">
        <v>7397</v>
      </c>
    </row>
    <row r="27" ht="15.75" customHeight="1">
      <c r="A27" s="21" t="s">
        <v>957</v>
      </c>
      <c r="B27" s="21" t="s">
        <v>7398</v>
      </c>
      <c r="C27" s="6"/>
      <c r="D27" s="21" t="s">
        <v>7399</v>
      </c>
    </row>
    <row r="28" ht="15.75" customHeight="1">
      <c r="A28" s="21" t="s">
        <v>7400</v>
      </c>
      <c r="B28" s="21" t="s">
        <v>7398</v>
      </c>
      <c r="C28" s="6"/>
      <c r="D28" s="21" t="s">
        <v>7387</v>
      </c>
    </row>
    <row r="29" ht="15.75" customHeight="1">
      <c r="A29" s="21" t="s">
        <v>562</v>
      </c>
      <c r="B29" s="22" t="s">
        <v>7401</v>
      </c>
      <c r="C29" s="6"/>
      <c r="D29" s="22" t="s">
        <v>1558</v>
      </c>
    </row>
    <row r="30" ht="15.75" customHeight="1">
      <c r="A30" s="21" t="s">
        <v>7402</v>
      </c>
      <c r="B30" s="21" t="s">
        <v>7398</v>
      </c>
      <c r="C30" s="6"/>
      <c r="D30" s="21" t="s">
        <v>7387</v>
      </c>
    </row>
    <row r="31" ht="15.75" customHeight="1">
      <c r="A31" s="21" t="s">
        <v>7403</v>
      </c>
      <c r="B31" s="21" t="s">
        <v>7398</v>
      </c>
      <c r="C31" s="6"/>
      <c r="D31" s="21" t="s">
        <v>7387</v>
      </c>
    </row>
    <row r="32" ht="15.75" customHeight="1">
      <c r="A32" s="21" t="s">
        <v>7404</v>
      </c>
      <c r="B32" s="21" t="s">
        <v>7371</v>
      </c>
      <c r="C32" s="21" t="s">
        <v>359</v>
      </c>
      <c r="D32" s="21" t="s">
        <v>7375</v>
      </c>
    </row>
    <row r="33" ht="15.75" customHeight="1">
      <c r="A33" s="21" t="s">
        <v>7405</v>
      </c>
      <c r="B33" s="21" t="s">
        <v>7371</v>
      </c>
      <c r="C33" s="21" t="s">
        <v>2998</v>
      </c>
      <c r="D33" s="21" t="s">
        <v>7372</v>
      </c>
    </row>
    <row r="34" ht="15.75" customHeight="1">
      <c r="A34" s="21" t="s">
        <v>7406</v>
      </c>
      <c r="B34" s="21" t="s">
        <v>7371</v>
      </c>
      <c r="C34" s="21" t="s">
        <v>3924</v>
      </c>
      <c r="D34" s="21" t="s">
        <v>7407</v>
      </c>
    </row>
    <row r="35" ht="15.75" customHeight="1">
      <c r="A35" s="21" t="s">
        <v>7408</v>
      </c>
      <c r="B35" s="21" t="s">
        <v>381</v>
      </c>
      <c r="C35" s="6"/>
      <c r="D35" s="21" t="s">
        <v>7391</v>
      </c>
    </row>
    <row r="36" ht="15.75" customHeight="1">
      <c r="A36" s="21" t="s">
        <v>7409</v>
      </c>
      <c r="B36" s="21" t="s">
        <v>381</v>
      </c>
      <c r="C36" s="6"/>
      <c r="D36" s="21" t="s">
        <v>7393</v>
      </c>
    </row>
    <row r="37" ht="15.75" customHeight="1">
      <c r="A37" s="21" t="s">
        <v>7410</v>
      </c>
      <c r="B37" s="21" t="s">
        <v>381</v>
      </c>
      <c r="C37" s="6"/>
      <c r="D37" s="21" t="s">
        <v>7411</v>
      </c>
    </row>
    <row r="38" ht="15.75" customHeight="1">
      <c r="A38" s="21" t="s">
        <v>7412</v>
      </c>
      <c r="B38" s="21" t="s">
        <v>7371</v>
      </c>
      <c r="C38" s="21" t="s">
        <v>1875</v>
      </c>
      <c r="D38" s="21" t="s">
        <v>7413</v>
      </c>
    </row>
    <row r="39" ht="15.75" customHeight="1">
      <c r="A39" s="21" t="s">
        <v>7414</v>
      </c>
      <c r="B39" s="21" t="s">
        <v>7371</v>
      </c>
      <c r="C39" s="21" t="s">
        <v>587</v>
      </c>
      <c r="D39" s="21" t="s">
        <v>7407</v>
      </c>
    </row>
    <row r="40" ht="15.75" customHeight="1">
      <c r="A40" s="21" t="s">
        <v>7415</v>
      </c>
      <c r="B40" s="21" t="s">
        <v>381</v>
      </c>
      <c r="C40" s="6"/>
      <c r="D40" s="21" t="s">
        <v>7416</v>
      </c>
    </row>
    <row r="41" ht="15.75" customHeight="1">
      <c r="A41" s="21" t="s">
        <v>7417</v>
      </c>
      <c r="B41" s="21" t="s">
        <v>381</v>
      </c>
      <c r="C41" s="6"/>
      <c r="D41" s="21" t="s">
        <v>7411</v>
      </c>
    </row>
    <row r="42" ht="15.75" customHeight="1">
      <c r="A42" s="21" t="s">
        <v>7418</v>
      </c>
      <c r="B42" s="21" t="s">
        <v>381</v>
      </c>
      <c r="C42" s="6"/>
      <c r="D42" s="21" t="s">
        <v>7411</v>
      </c>
    </row>
    <row r="43" ht="15.75" customHeight="1">
      <c r="A43" s="6" t="s">
        <v>7419</v>
      </c>
      <c r="B43" s="21" t="s">
        <v>381</v>
      </c>
      <c r="C43" s="6"/>
      <c r="D43" s="21" t="s">
        <v>7411</v>
      </c>
    </row>
    <row r="44" ht="15.75" customHeight="1">
      <c r="A44" s="21" t="s">
        <v>7420</v>
      </c>
      <c r="B44" s="21" t="s">
        <v>381</v>
      </c>
      <c r="C44" s="6"/>
      <c r="D44" s="21" t="s">
        <v>7383</v>
      </c>
    </row>
    <row r="45" ht="15.75" customHeight="1">
      <c r="A45" s="21" t="s">
        <v>7421</v>
      </c>
      <c r="B45" s="21" t="s">
        <v>381</v>
      </c>
      <c r="C45" s="6"/>
      <c r="D45" s="21" t="s">
        <v>7422</v>
      </c>
    </row>
    <row r="46" ht="15.75" customHeight="1">
      <c r="A46" s="21" t="s">
        <v>7423</v>
      </c>
      <c r="B46" s="21" t="s">
        <v>381</v>
      </c>
      <c r="C46" s="6"/>
      <c r="D46" s="21" t="s">
        <v>7422</v>
      </c>
    </row>
    <row r="47" ht="15.75" customHeight="1">
      <c r="A47" s="20" t="s">
        <v>7424</v>
      </c>
      <c r="B47" s="21" t="s">
        <v>7371</v>
      </c>
      <c r="C47" s="20" t="s">
        <v>3571</v>
      </c>
      <c r="D47" s="20" t="s">
        <v>7372</v>
      </c>
    </row>
    <row r="48" ht="15.75" customHeight="1">
      <c r="A48" s="20" t="s">
        <v>1976</v>
      </c>
      <c r="B48" s="20" t="s">
        <v>7371</v>
      </c>
      <c r="C48" s="20" t="s">
        <v>1968</v>
      </c>
      <c r="D48" s="20" t="s">
        <v>7372</v>
      </c>
    </row>
    <row r="49" ht="15.75" customHeight="1">
      <c r="A49" s="20" t="s">
        <v>2405</v>
      </c>
      <c r="B49" s="20" t="s">
        <v>7371</v>
      </c>
      <c r="C49" s="20" t="s">
        <v>2402</v>
      </c>
      <c r="D49" s="20" t="s">
        <v>7372</v>
      </c>
    </row>
    <row r="50" ht="15.75" customHeight="1">
      <c r="A50" s="20" t="s">
        <v>830</v>
      </c>
      <c r="B50" s="20" t="s">
        <v>7371</v>
      </c>
      <c r="C50" s="20" t="s">
        <v>828</v>
      </c>
      <c r="D50" s="20" t="s">
        <v>7372</v>
      </c>
    </row>
    <row r="51" ht="15.75" customHeight="1">
      <c r="A51" s="20" t="s">
        <v>7067</v>
      </c>
      <c r="B51" s="20" t="s">
        <v>7371</v>
      </c>
      <c r="C51" s="20" t="s">
        <v>562</v>
      </c>
      <c r="D51" s="20" t="s">
        <v>7372</v>
      </c>
    </row>
    <row r="52" ht="15.75" customHeight="1">
      <c r="A52" s="20" t="s">
        <v>6659</v>
      </c>
      <c r="B52" s="20" t="s">
        <v>381</v>
      </c>
      <c r="D52" s="20" t="s">
        <v>7425</v>
      </c>
    </row>
    <row r="53" ht="15.75" customHeight="1">
      <c r="A53" s="20" t="s">
        <v>5432</v>
      </c>
      <c r="B53" s="20" t="s">
        <v>7371</v>
      </c>
      <c r="C53" s="20" t="s">
        <v>1114</v>
      </c>
      <c r="D53" s="20" t="s">
        <v>7425</v>
      </c>
    </row>
    <row r="54" ht="15.75" customHeight="1">
      <c r="A54" s="20" t="s">
        <v>7426</v>
      </c>
      <c r="B54" s="20" t="s">
        <v>7371</v>
      </c>
      <c r="C54" s="20" t="s">
        <v>388</v>
      </c>
      <c r="D54" s="20" t="s">
        <v>7372</v>
      </c>
    </row>
    <row r="55" ht="15.75" customHeight="1">
      <c r="A55" s="20" t="s">
        <v>6618</v>
      </c>
      <c r="B55" s="20" t="s">
        <v>7371</v>
      </c>
      <c r="C55" s="20" t="s">
        <v>1374</v>
      </c>
      <c r="D55" s="20" t="s">
        <v>7425</v>
      </c>
    </row>
    <row r="56" ht="15.75" customHeight="1">
      <c r="A56" s="20" t="s">
        <v>1748</v>
      </c>
      <c r="B56" s="20" t="s">
        <v>7371</v>
      </c>
      <c r="C56" s="20" t="s">
        <v>907</v>
      </c>
      <c r="D56" s="20" t="s">
        <v>7372</v>
      </c>
    </row>
    <row r="57" ht="15.75" customHeight="1">
      <c r="A57" s="20" t="s">
        <v>1898</v>
      </c>
      <c r="B57" s="20" t="s">
        <v>7371</v>
      </c>
      <c r="C57" s="20" t="s">
        <v>1894</v>
      </c>
      <c r="D57" s="20" t="s">
        <v>7372</v>
      </c>
    </row>
    <row r="58" ht="15.75" customHeight="1">
      <c r="A58" s="20" t="s">
        <v>1932</v>
      </c>
      <c r="B58" s="20" t="s">
        <v>7371</v>
      </c>
      <c r="C58" s="20" t="s">
        <v>1932</v>
      </c>
      <c r="D58" s="20" t="s">
        <v>7425</v>
      </c>
    </row>
    <row r="59" ht="15.75" customHeight="1">
      <c r="A59" s="20" t="s">
        <v>4566</v>
      </c>
      <c r="B59" s="20" t="s">
        <v>7371</v>
      </c>
      <c r="C59" s="20" t="s">
        <v>1948</v>
      </c>
      <c r="D59" s="20" t="s">
        <v>7372</v>
      </c>
    </row>
    <row r="60" ht="15.75" customHeight="1">
      <c r="A60" s="20" t="s">
        <v>2228</v>
      </c>
      <c r="B60" s="20" t="s">
        <v>7371</v>
      </c>
      <c r="C60" s="20" t="s">
        <v>696</v>
      </c>
      <c r="D60" s="20" t="s">
        <v>7372</v>
      </c>
    </row>
    <row r="61" ht="15.75" customHeight="1">
      <c r="A61" s="20" t="s">
        <v>4763</v>
      </c>
      <c r="B61" s="20" t="s">
        <v>7371</v>
      </c>
      <c r="C61" s="20" t="s">
        <v>2689</v>
      </c>
      <c r="D61" s="20" t="s">
        <v>7425</v>
      </c>
    </row>
    <row r="62" ht="15.75" customHeight="1">
      <c r="A62" s="20" t="s">
        <v>2619</v>
      </c>
      <c r="B62" s="20" t="s">
        <v>7371</v>
      </c>
      <c r="C62" s="20" t="s">
        <v>4224</v>
      </c>
      <c r="D62" s="20" t="s">
        <v>7372</v>
      </c>
    </row>
    <row r="63" ht="15.75" customHeight="1">
      <c r="A63" s="20" t="s">
        <v>2940</v>
      </c>
      <c r="B63" s="20" t="s">
        <v>7371</v>
      </c>
      <c r="C63" s="20" t="s">
        <v>2919</v>
      </c>
      <c r="D63" s="20" t="s">
        <v>7372</v>
      </c>
    </row>
    <row r="64" ht="15.75" customHeight="1">
      <c r="A64" s="20" t="s">
        <v>3106</v>
      </c>
      <c r="B64" s="20" t="s">
        <v>7371</v>
      </c>
      <c r="C64" s="20" t="s">
        <v>3063</v>
      </c>
      <c r="D64" s="20" t="s">
        <v>7372</v>
      </c>
    </row>
    <row r="65" ht="15.75" customHeight="1">
      <c r="A65" s="20" t="s">
        <v>5692</v>
      </c>
      <c r="B65" s="20" t="s">
        <v>7371</v>
      </c>
      <c r="C65" s="20" t="s">
        <v>3125</v>
      </c>
      <c r="D65" s="20" t="s">
        <v>7372</v>
      </c>
    </row>
    <row r="66" ht="15.75" customHeight="1">
      <c r="A66" s="20" t="s">
        <v>3164</v>
      </c>
      <c r="B66" s="20" t="s">
        <v>7371</v>
      </c>
      <c r="C66" s="20" t="s">
        <v>2747</v>
      </c>
      <c r="D66" s="20" t="s">
        <v>7372</v>
      </c>
    </row>
    <row r="67" ht="15.75" customHeight="1">
      <c r="A67" s="4" t="s">
        <v>3648</v>
      </c>
      <c r="B67" s="20" t="s">
        <v>7371</v>
      </c>
      <c r="C67" s="4" t="s">
        <v>3644</v>
      </c>
      <c r="D67" s="20" t="s">
        <v>7425</v>
      </c>
    </row>
    <row r="68" ht="15.75" customHeight="1">
      <c r="A68" s="20" t="s">
        <v>3820</v>
      </c>
      <c r="B68" s="20" t="s">
        <v>7371</v>
      </c>
      <c r="C68" s="20" t="s">
        <v>5777</v>
      </c>
      <c r="D68" s="20" t="s">
        <v>7425</v>
      </c>
    </row>
    <row r="69" ht="15.75" customHeight="1">
      <c r="A69" s="20" t="s">
        <v>4019</v>
      </c>
      <c r="B69" s="20" t="s">
        <v>7371</v>
      </c>
      <c r="C69" s="4" t="s">
        <v>4016</v>
      </c>
      <c r="D69" s="20" t="s">
        <v>7425</v>
      </c>
    </row>
    <row r="70" ht="15.75" customHeight="1">
      <c r="A70" s="20" t="s">
        <v>6509</v>
      </c>
      <c r="B70" s="20" t="s">
        <v>7371</v>
      </c>
      <c r="C70" s="20" t="s">
        <v>859</v>
      </c>
      <c r="D70" s="20" t="s">
        <v>7425</v>
      </c>
    </row>
    <row r="71" ht="15.75" customHeight="1">
      <c r="A71" s="11" t="s">
        <v>4277</v>
      </c>
      <c r="B71" s="20" t="s">
        <v>7371</v>
      </c>
      <c r="C71" s="20" t="s">
        <v>2543</v>
      </c>
      <c r="D71" s="20" t="s">
        <v>7425</v>
      </c>
    </row>
    <row r="72" ht="15.75" customHeight="1">
      <c r="A72" s="11" t="s">
        <v>2730</v>
      </c>
      <c r="B72" s="20" t="s">
        <v>7371</v>
      </c>
      <c r="C72" s="11" t="s">
        <v>2630</v>
      </c>
      <c r="D72" s="20" t="s">
        <v>7425</v>
      </c>
    </row>
    <row r="73" ht="15.75" customHeight="1">
      <c r="A73" s="20" t="s">
        <v>1169</v>
      </c>
      <c r="B73" s="20" t="s">
        <v>7371</v>
      </c>
      <c r="C73" s="20" t="s">
        <v>1155</v>
      </c>
      <c r="D73" s="20" t="s">
        <v>7372</v>
      </c>
    </row>
    <row r="74" ht="15.75" customHeight="1">
      <c r="A74" s="20" t="s">
        <v>7217</v>
      </c>
      <c r="B74" s="20" t="s">
        <v>7371</v>
      </c>
      <c r="C74" s="20" t="s">
        <v>3992</v>
      </c>
      <c r="D74" s="20" t="s">
        <v>7372</v>
      </c>
    </row>
    <row r="75" ht="15.75" customHeight="1">
      <c r="A75" s="20" t="s">
        <v>1556</v>
      </c>
      <c r="B75" s="20" t="s">
        <v>7371</v>
      </c>
      <c r="C75" s="20" t="s">
        <v>1595</v>
      </c>
      <c r="D75" s="20" t="s">
        <v>7372</v>
      </c>
    </row>
    <row r="76" ht="15.75" customHeight="1">
      <c r="A76" s="23" t="s">
        <v>3303</v>
      </c>
      <c r="B76" s="20" t="s">
        <v>7371</v>
      </c>
      <c r="C76" s="20" t="s">
        <v>3301</v>
      </c>
      <c r="D76" s="20" t="s">
        <v>7372</v>
      </c>
    </row>
    <row r="77" ht="15.75" customHeight="1">
      <c r="A77" s="20" t="s">
        <v>631</v>
      </c>
      <c r="B77" s="20" t="s">
        <v>7371</v>
      </c>
      <c r="C77" s="20" t="s">
        <v>262</v>
      </c>
      <c r="D77" s="20" t="s">
        <v>7425</v>
      </c>
    </row>
    <row r="78" ht="15.75" customHeight="1">
      <c r="D78" s="24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